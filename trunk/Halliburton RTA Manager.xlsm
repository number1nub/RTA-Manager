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showSheetTabs="0" xWindow="9525" yWindow="135" windowWidth="4725" windowHeight="8250"/>
  </bookViews>
  <sheets>
    <sheet name="Intro Checker" sheetId="10" r:id="rId1"/>
    <sheet name="RTA Manager" sheetId="4" state="hidden" r:id="rId2"/>
    <sheet name="Settings" sheetId="3" state="hidden" r:id="rId3"/>
    <sheet name="RTAimport" sheetId="5" state="hidden" r:id="rId4"/>
    <sheet name="PriorityLoad" sheetId="9" state="hidden" r:id="rId5"/>
    <sheet name="Report" sheetId="7" state="hidden" r:id="rId6"/>
  </sheets>
  <functionGroups builtInGroupCount="17">
    <functionGroup name="Utility"/>
    <functionGroup name="Array"/>
  </functionGroups>
  <definedNames>
    <definedName name="_xlnm._FilterDatabase" localSheetId="1" hidden="1">'RTA Manager'!$A$1:$C$1</definedName>
    <definedName name="aisHide">'RTA Manager'!$F:$H</definedName>
    <definedName name="ATTRclass">Table1[Class]</definedName>
    <definedName name="cFilt">Settings!$O$3</definedName>
    <definedName name="COLappv">Settings!#REF!</definedName>
    <definedName name="COLassTo">Settings!#REF!</definedName>
    <definedName name="COLcheck">Settings!#REF!</definedName>
    <definedName name="COLclass">Settings!#REF!</definedName>
    <definedName name="COLcode">Settings!#REF!</definedName>
    <definedName name="COLcom">Settings!#REF!</definedName>
    <definedName name="COLdept">Settings!#REF!</definedName>
    <definedName name="COLdes">Settings!#REF!</definedName>
    <definedName name="COLdesc">Settings!#REF!</definedName>
    <definedName name="COLdraft">Settings!#REF!</definedName>
    <definedName name="COLlab">Settings!#REF!</definedName>
    <definedName name="COLnums" localSheetId="0">#REF!</definedName>
    <definedName name="COLnums">#REF!</definedName>
    <definedName name="COLreqComp">Settings!#REF!</definedName>
    <definedName name="COLrta">Settings!#REF!</definedName>
    <definedName name="COLstate">Settings!#REF!</definedName>
    <definedName name="COLtechRev">Settings!#REF!</definedName>
    <definedName name="COLtechStart">Settings!#REF!</definedName>
    <definedName name="COLtype">Settings!#REF!</definedName>
    <definedName name="deptHide">'RTA Manager'!$M:$P,'RTA Manager'!$W:$AJ,'RTA Manager'!$V:$V,'RTA Manager'!$S:$U,'RTA Manager'!$E:$E,'RTA Manager'!$K:$K,'RTA Manager'!$L:$L,'RTA Manager'!$AA:$AA</definedName>
    <definedName name="DIcode">Settings!$D$17:$M$17</definedName>
    <definedName name="Digital_Infrastructure_Names" localSheetId="2" hidden="1">Settings!$E$29:$E$46</definedName>
    <definedName name="DIgroup">Settings!$D$19:$M$19</definedName>
    <definedName name="DIgroupDelim">Settings!$D$20:$M$20</definedName>
    <definedName name="DIlab">Settings!$D$16:$M$16</definedName>
    <definedName name="DIstate">Settings!$D$18:$M$18</definedName>
    <definedName name="DItype">Settings!$D$15:$M$15</definedName>
    <definedName name="FCcode">Settings!$D$11:$M$11</definedName>
    <definedName name="FCgroup">Settings!$D$13:$M$13</definedName>
    <definedName name="FCgroupDelim">Settings!$D$14:$M$14</definedName>
    <definedName name="FClab">Settings!$D$10:$M$10</definedName>
    <definedName name="FCstate">Settings!$D$12:$M$12</definedName>
    <definedName name="FCtype">Settings!$D$9:$M$9</definedName>
    <definedName name="Flow_Control_Names" localSheetId="2" hidden="1">Settings!$D$29:$D$74</definedName>
    <definedName name="FullScreenMode">Settings!$Q$9</definedName>
    <definedName name="inProc">Settings!$O$9</definedName>
    <definedName name="ltRange">Settings!#REF!</definedName>
    <definedName name="nameQuery">'RTA Manager'!$I$4</definedName>
    <definedName name="Permanent_Monitoring_Names" localSheetId="2" hidden="1">Settings!$C$29:$C$53</definedName>
    <definedName name="pltRange">Settings!#REF!</definedName>
    <definedName name="PMcode">Settings!$D$5:$M$5</definedName>
    <definedName name="PMgroup">Settings!$D$7:$M$7</definedName>
    <definedName name="PMgroupDelim">Settings!$D$8:$M$8</definedName>
    <definedName name="PMlab">Settings!$D$4:$M$4</definedName>
    <definedName name="PMstate">Settings!$D$6:$M$6</definedName>
    <definedName name="PMThide">'RTA Manager'!$E$6:$E$1437,'RTA Manager'!$I$6:$I$1437,'RTA Manager'!$K$6:$Q$1437,'RTA Manager'!$S$6:$W$1437,'RTA Manager'!$X:$X,'RTA Manager'!$Y:$Y,'RTA Manager'!$Z:$Z,'RTA Manager'!$X:$X,'RTA Manager'!$Y:$Y,'RTA Manager'!$Z:$Z,'RTA Manager'!$S:$W,'RTA Manager'!$S:$S,'RTA Manager'!$T:$T,'RTA Manager'!$U:$U,'RTA Manager'!$V:$V,'RTA Manager'!$W:$W,'RTA Manager'!$T:$T,'RTA Manager'!$T:$T,'RTA Manager'!$S:$S,'RTA Manager'!$S:$S,'RTA Manager'!$S:$S,'RTA Manager'!$U:$U,'RTA Manager'!$V:$V,'RTA Manager'!$S:$AA,'RTA Manager'!$U:$U,'RTA Manager'!$V:$V</definedName>
    <definedName name="PMtype">Settings!$D$3:$M$3</definedName>
    <definedName name="_xlnm.Print_Area" localSheetId="1">'RTA Manager'!$A$5:$R$81</definedName>
    <definedName name="reportHide">'RTA Manager'!$E:$E,'RTA Manager'!$G:$G,'RTA Manager'!$G:$G,'RTA Manager'!$G:$H,'RTA Manager'!$K:$Q,'RTA Manager'!$S:$AA</definedName>
    <definedName name="rtaDatesHide">'RTA Manager'!$G:$K,'RTA Manager'!$M:$P,'RTA Manager'!$S:$W,'RTA Manager'!$J:$J,'RTA Manager'!$X:$X,'RTA Manager'!$Y:$Y,'RTA Manager'!$Z:$Z,'RTA Manager'!$AA:$AA</definedName>
    <definedName name="schedHide">'RTA Manager'!$M:$P</definedName>
    <definedName name="Scode">Settings!$D$23:$M$23</definedName>
    <definedName name="Sgroup">Settings!$D$25:$M$25</definedName>
    <definedName name="SgroupDelim">Settings!$D$26:$M$26</definedName>
    <definedName name="sheetViewMode">Settings!$Q$3</definedName>
    <definedName name="showAll">'RTA Manager'!$M:$P</definedName>
    <definedName name="Slab">Settings!$D$22:$M$22</definedName>
    <definedName name="Software_Names" localSheetId="2" hidden="1">Settings!$F$29:$F$38</definedName>
    <definedName name="sortCol">Settings!$O$11</definedName>
    <definedName name="sortOrder">Settings!$Q$11</definedName>
    <definedName name="Sstate">Settings!$D$24:$M$24</definedName>
    <definedName name="Stype">Settings!$D$21:$M$21</definedName>
    <definedName name="trackRtaHide">'RTA Manager'!$E:$H,'RTA Manager'!$K:$Q,'RTA Manager'!$S:$S,'RTA Manager'!$T:$T,'RTA Manager'!$V:$W,'RTA Manager'!$X:$X,'RTA Manager'!$R:$R</definedName>
    <definedName name="Unique_Depts" localSheetId="2" hidden="1">Settings!$G$28:$G$40</definedName>
    <definedName name="Unique_RTA_Attributes_1" localSheetId="2">Settings!#REF!</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Manager'!$B$5:$AA$1437</definedName>
  </definedNames>
  <calcPr calcId="145621"/>
</workbook>
</file>

<file path=xl/calcChain.xml><?xml version="1.0" encoding="utf-8"?>
<calcChain xmlns="http://schemas.openxmlformats.org/spreadsheetml/2006/main">
  <c r="H112" i="4" l="1"/>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91"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64"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103"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6"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87" i="4"/>
  <c r="H355" i="4"/>
  <c r="H356" i="4"/>
  <c r="H357" i="4"/>
  <c r="H358" i="4"/>
  <c r="H359" i="4"/>
  <c r="H360" i="4"/>
  <c r="H361" i="4"/>
  <c r="H362" i="4"/>
  <c r="H56"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74" i="4"/>
  <c r="H106" i="4"/>
  <c r="H76" i="4"/>
  <c r="H597" i="4"/>
  <c r="H598" i="4"/>
  <c r="H599" i="4"/>
  <c r="H600" i="4"/>
  <c r="H601" i="4"/>
  <c r="H602" i="4"/>
  <c r="H603" i="4"/>
  <c r="H604" i="4"/>
  <c r="H102"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80"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92" i="4"/>
  <c r="H672" i="4"/>
  <c r="H673" i="4"/>
  <c r="H674" i="4"/>
  <c r="H675" i="4"/>
  <c r="H676" i="4"/>
  <c r="H677" i="4"/>
  <c r="H678" i="4"/>
  <c r="H679" i="4"/>
  <c r="H680" i="4"/>
  <c r="H681" i="4"/>
  <c r="H682" i="4"/>
  <c r="H683" i="4"/>
  <c r="H684"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94" i="4"/>
  <c r="H34" i="4"/>
  <c r="H752" i="4"/>
  <c r="H753" i="4"/>
  <c r="H754" i="4"/>
  <c r="H755" i="4"/>
  <c r="H756" i="4"/>
  <c r="H757" i="4"/>
  <c r="H758" i="4"/>
  <c r="H759" i="4"/>
  <c r="H760" i="4"/>
  <c r="H761" i="4"/>
  <c r="H762" i="4"/>
  <c r="H763" i="4"/>
  <c r="H764" i="4"/>
  <c r="H765" i="4"/>
  <c r="H766" i="4"/>
  <c r="H767" i="4"/>
  <c r="H31"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7" i="4"/>
  <c r="H847" i="4"/>
  <c r="H848" i="4"/>
  <c r="H849" i="4"/>
  <c r="H850" i="4"/>
  <c r="H851" i="4"/>
  <c r="H852" i="4"/>
  <c r="H853" i="4"/>
  <c r="H854" i="4"/>
  <c r="H855" i="4"/>
  <c r="H856" i="4"/>
  <c r="H857" i="4"/>
  <c r="H858" i="4"/>
  <c r="H859" i="4"/>
  <c r="H860" i="4"/>
  <c r="H861" i="4"/>
  <c r="H862" i="4"/>
  <c r="H863" i="4"/>
  <c r="H864" i="4"/>
  <c r="H865" i="4"/>
  <c r="H44"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 i="4"/>
  <c r="H957" i="4"/>
  <c r="H958" i="4"/>
  <c r="H959" i="4"/>
  <c r="H960" i="4"/>
  <c r="H961" i="4"/>
  <c r="H962" i="4"/>
  <c r="H963" i="4"/>
  <c r="H964" i="4"/>
  <c r="H965" i="4"/>
  <c r="H966" i="4"/>
  <c r="H967" i="4"/>
  <c r="H968" i="4"/>
  <c r="H969" i="4"/>
  <c r="H970" i="4"/>
  <c r="H971" i="4"/>
  <c r="H972" i="4"/>
  <c r="H973" i="4"/>
  <c r="H974" i="4"/>
  <c r="H975" i="4"/>
  <c r="H976" i="4"/>
  <c r="H977" i="4"/>
  <c r="H978" i="4"/>
  <c r="H67" i="4"/>
  <c r="H979" i="4"/>
  <c r="H980" i="4"/>
  <c r="H981" i="4"/>
  <c r="H982" i="4"/>
  <c r="H983" i="4"/>
  <c r="H984" i="4"/>
  <c r="H985" i="4"/>
  <c r="H986" i="4"/>
  <c r="H55" i="4"/>
  <c r="H987" i="4"/>
  <c r="H45"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1050" i="4"/>
  <c r="H8" i="4"/>
  <c r="H1051" i="4"/>
  <c r="H1052" i="4"/>
  <c r="H1053" i="4"/>
  <c r="H1054" i="4"/>
  <c r="H1055" i="4"/>
  <c r="H1056" i="4"/>
  <c r="H1057" i="4"/>
  <c r="H1058" i="4"/>
  <c r="H1059" i="4"/>
  <c r="H1060" i="4"/>
  <c r="H77" i="4"/>
  <c r="H1061" i="4"/>
  <c r="H1062" i="4"/>
  <c r="H1063" i="4"/>
  <c r="H17" i="4"/>
  <c r="H1064" i="4"/>
  <c r="H48" i="4"/>
  <c r="H1065" i="4"/>
  <c r="H1066" i="4"/>
  <c r="H1067" i="4"/>
  <c r="H1068" i="4"/>
  <c r="H1069" i="4"/>
  <c r="H1070" i="4"/>
  <c r="H1071" i="4"/>
  <c r="H1072" i="4"/>
  <c r="H1073" i="4"/>
  <c r="H1074" i="4"/>
  <c r="H1075" i="4"/>
  <c r="H1076" i="4"/>
  <c r="H1077" i="4"/>
  <c r="H1078" i="4"/>
  <c r="H1079" i="4"/>
  <c r="H1080" i="4"/>
  <c r="H1081" i="4"/>
  <c r="H1082" i="4"/>
  <c r="H1083" i="4"/>
  <c r="H1084" i="4"/>
  <c r="H1085" i="4"/>
  <c r="H1086" i="4"/>
  <c r="H1087" i="4"/>
  <c r="H1088" i="4"/>
  <c r="H1089" i="4"/>
  <c r="H1090" i="4"/>
  <c r="H1091" i="4"/>
  <c r="H1092" i="4"/>
  <c r="H1093" i="4"/>
  <c r="H85" i="4"/>
  <c r="H1094" i="4"/>
  <c r="H1095" i="4"/>
  <c r="H1096" i="4"/>
  <c r="H1097" i="4"/>
  <c r="H1098" i="4"/>
  <c r="H1099" i="4"/>
  <c r="H1100" i="4"/>
  <c r="H1101" i="4"/>
  <c r="H1102" i="4"/>
  <c r="H1103" i="4"/>
  <c r="H1104" i="4"/>
  <c r="H1105" i="4"/>
  <c r="H1106" i="4"/>
  <c r="H1107" i="4"/>
  <c r="H1108" i="4"/>
  <c r="H1109" i="4"/>
  <c r="H1110" i="4"/>
  <c r="H1111" i="4"/>
  <c r="H1112" i="4"/>
  <c r="H72" i="4"/>
  <c r="H1113" i="4"/>
  <c r="H98" i="4"/>
  <c r="H1114" i="4"/>
  <c r="H1115" i="4"/>
  <c r="H1116" i="4"/>
  <c r="H1117" i="4"/>
  <c r="H1118" i="4"/>
  <c r="H1119" i="4"/>
  <c r="H1120"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59" i="4"/>
  <c r="H1160" i="4"/>
  <c r="H1161" i="4"/>
  <c r="H1162" i="4"/>
  <c r="H1163" i="4"/>
  <c r="H1164" i="4"/>
  <c r="H1165" i="4"/>
  <c r="H1166" i="4"/>
  <c r="H1167" i="4"/>
  <c r="H1168" i="4"/>
  <c r="H1169" i="4"/>
  <c r="H1170" i="4"/>
  <c r="H1171" i="4"/>
  <c r="H1172" i="4"/>
  <c r="H1173" i="4"/>
  <c r="H1174" i="4"/>
  <c r="H1175" i="4"/>
  <c r="H1176" i="4"/>
  <c r="H1177" i="4"/>
  <c r="H1178" i="4"/>
  <c r="H1179" i="4"/>
  <c r="H1180" i="4"/>
  <c r="H1181" i="4"/>
  <c r="H1182" i="4"/>
  <c r="H1183" i="4"/>
  <c r="H1184" i="4"/>
  <c r="H1185" i="4"/>
  <c r="H1186" i="4"/>
  <c r="H1187" i="4"/>
  <c r="H1188" i="4"/>
  <c r="H1189" i="4"/>
  <c r="H1190" i="4"/>
  <c r="H1191" i="4"/>
  <c r="H1192" i="4"/>
  <c r="H1193" i="4"/>
  <c r="H1194" i="4"/>
  <c r="H1195" i="4"/>
  <c r="H73" i="4"/>
  <c r="H1196" i="4"/>
  <c r="H1197" i="4"/>
  <c r="H1198" i="4"/>
  <c r="H1199" i="4"/>
  <c r="H1200" i="4"/>
  <c r="H1201" i="4"/>
  <c r="H1202" i="4"/>
  <c r="H1203" i="4"/>
  <c r="H68" i="4"/>
  <c r="H1204" i="4"/>
  <c r="H1205" i="4"/>
  <c r="H1206" i="4"/>
  <c r="H1207" i="4"/>
  <c r="H111" i="4"/>
  <c r="H1208" i="4"/>
  <c r="H1209" i="4"/>
  <c r="H1210" i="4"/>
  <c r="H1211" i="4"/>
  <c r="H1212" i="4"/>
  <c r="H1213" i="4"/>
  <c r="H1214" i="4"/>
  <c r="H1215" i="4"/>
  <c r="H1216" i="4"/>
  <c r="H1217" i="4"/>
  <c r="H1218" i="4"/>
  <c r="H1219" i="4"/>
  <c r="H1220" i="4"/>
  <c r="H1221" i="4"/>
  <c r="H1222" i="4"/>
  <c r="H1223" i="4"/>
  <c r="H1224" i="4"/>
  <c r="H1225" i="4"/>
  <c r="H1226" i="4"/>
  <c r="H107" i="4"/>
  <c r="H16" i="4"/>
  <c r="H1227" i="4"/>
  <c r="H1228" i="4"/>
  <c r="H1229" i="4"/>
  <c r="H1230" i="4"/>
  <c r="H1231" i="4"/>
  <c r="H1232" i="4"/>
  <c r="H40" i="4"/>
  <c r="H43" i="4"/>
  <c r="H1233" i="4"/>
  <c r="H1234" i="4"/>
  <c r="H1235" i="4"/>
  <c r="H1236" i="4"/>
  <c r="H1237" i="4"/>
  <c r="H1238" i="4"/>
  <c r="H1239" i="4"/>
  <c r="H1240" i="4"/>
  <c r="H1241" i="4"/>
  <c r="H1242" i="4"/>
  <c r="H1243" i="4"/>
  <c r="H1244" i="4"/>
  <c r="H1245" i="4"/>
  <c r="H1246" i="4"/>
  <c r="H1247" i="4"/>
  <c r="H1248" i="4"/>
  <c r="H1249" i="4"/>
  <c r="H105" i="4"/>
  <c r="H60" i="4"/>
  <c r="H88" i="4"/>
  <c r="H96"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73" i="4"/>
  <c r="H1274" i="4"/>
  <c r="H1275" i="4"/>
  <c r="H1276" i="4"/>
  <c r="H101" i="4"/>
  <c r="H1277" i="4"/>
  <c r="H1278" i="4"/>
  <c r="H1279" i="4"/>
  <c r="H1280" i="4"/>
  <c r="H1281" i="4"/>
  <c r="H1282" i="4"/>
  <c r="H1283" i="4"/>
  <c r="H1284" i="4"/>
  <c r="H1285" i="4"/>
  <c r="H1286" i="4"/>
  <c r="H1287" i="4"/>
  <c r="H1288" i="4"/>
  <c r="H1289" i="4"/>
  <c r="H1290" i="4"/>
  <c r="H1291" i="4"/>
  <c r="H1292" i="4"/>
  <c r="H1293" i="4"/>
  <c r="H1294" i="4"/>
  <c r="H1295" i="4"/>
  <c r="H1296" i="4"/>
  <c r="H1297" i="4"/>
  <c r="H104" i="4"/>
  <c r="H1298" i="4"/>
  <c r="H1299" i="4"/>
  <c r="H1300" i="4"/>
  <c r="H1301" i="4"/>
  <c r="H1302" i="4"/>
  <c r="H1303" i="4"/>
  <c r="H1304" i="4"/>
  <c r="H1305" i="4"/>
  <c r="H1306" i="4"/>
  <c r="H1307" i="4"/>
  <c r="H1308" i="4"/>
  <c r="H1309" i="4"/>
  <c r="H1310" i="4"/>
  <c r="H1311" i="4"/>
  <c r="H9" i="4"/>
  <c r="H1312" i="4"/>
  <c r="H1313" i="4"/>
  <c r="H1314" i="4"/>
  <c r="H1315" i="4"/>
  <c r="H1316" i="4"/>
  <c r="H1317" i="4"/>
  <c r="H1318" i="4"/>
  <c r="H1319" i="4"/>
  <c r="H1320" i="4"/>
  <c r="H1321" i="4"/>
  <c r="H1322" i="4"/>
  <c r="H1323" i="4"/>
  <c r="H1324" i="4"/>
  <c r="H1325" i="4"/>
  <c r="H1326" i="4"/>
  <c r="H1327" i="4"/>
  <c r="H1328" i="4"/>
  <c r="H1329" i="4"/>
  <c r="H1330" i="4"/>
  <c r="H1331" i="4"/>
  <c r="H1332" i="4"/>
  <c r="H1333" i="4"/>
  <c r="H1334" i="4"/>
  <c r="H1335" i="4"/>
  <c r="H1336" i="4"/>
  <c r="H1337" i="4"/>
  <c r="H1338" i="4"/>
  <c r="H1339" i="4"/>
  <c r="H1340" i="4"/>
  <c r="H1341" i="4"/>
  <c r="H1342" i="4"/>
  <c r="H1343" i="4"/>
  <c r="H1344" i="4"/>
  <c r="H1345" i="4"/>
  <c r="H1346" i="4"/>
  <c r="H1347" i="4"/>
  <c r="H1348" i="4"/>
  <c r="H1349" i="4"/>
  <c r="H1350" i="4"/>
  <c r="H1351" i="4"/>
  <c r="H1352" i="4"/>
  <c r="H1353" i="4"/>
  <c r="H1354" i="4"/>
  <c r="H1355" i="4"/>
  <c r="H1356" i="4"/>
  <c r="H1357" i="4"/>
  <c r="H1358" i="4"/>
  <c r="H99" i="4"/>
  <c r="H1359" i="4"/>
  <c r="H1360" i="4"/>
  <c r="H1361" i="4"/>
  <c r="H1362" i="4"/>
  <c r="H1363" i="4"/>
  <c r="H1364" i="4"/>
  <c r="H1365" i="4"/>
  <c r="H10" i="4"/>
  <c r="H1366" i="4"/>
  <c r="H1367" i="4"/>
  <c r="H15" i="4"/>
  <c r="H1368" i="4"/>
  <c r="H1369" i="4"/>
  <c r="H1370" i="4"/>
  <c r="H110" i="4"/>
  <c r="H108" i="4"/>
  <c r="H1371" i="4"/>
  <c r="H1372" i="4"/>
  <c r="H81" i="4"/>
  <c r="H1373" i="4"/>
  <c r="H46" i="4"/>
  <c r="H1374" i="4"/>
  <c r="H18" i="4"/>
  <c r="H11" i="4"/>
  <c r="H82" i="4"/>
  <c r="H1375" i="4"/>
  <c r="H1376" i="4"/>
  <c r="H1377" i="4"/>
  <c r="H57" i="4"/>
  <c r="H36" i="4"/>
  <c r="H1378" i="4"/>
  <c r="H1379" i="4"/>
  <c r="H1380" i="4"/>
  <c r="H65" i="4"/>
  <c r="H32" i="4"/>
  <c r="H1381" i="4"/>
  <c r="H97" i="4"/>
  <c r="H89" i="4"/>
  <c r="H90" i="4"/>
  <c r="H93" i="4"/>
  <c r="H26" i="4"/>
  <c r="H1382" i="4"/>
  <c r="H1383" i="4"/>
  <c r="H75" i="4"/>
  <c r="H1384" i="4"/>
  <c r="H1385" i="4"/>
  <c r="H1386" i="4"/>
  <c r="H78" i="4"/>
  <c r="H1387" i="4"/>
  <c r="H1388" i="4"/>
  <c r="H1389" i="4"/>
  <c r="H1390" i="4"/>
  <c r="H1391" i="4"/>
  <c r="H1392" i="4"/>
  <c r="H1393" i="4"/>
  <c r="H49" i="4"/>
  <c r="H1394" i="4"/>
  <c r="H1395" i="4"/>
  <c r="H69" i="4"/>
  <c r="H12" i="4"/>
  <c r="H19" i="4"/>
  <c r="H1396" i="4"/>
  <c r="H58" i="4"/>
  <c r="H1397" i="4"/>
  <c r="H1398" i="4"/>
  <c r="H22" i="4"/>
  <c r="H1399" i="4"/>
  <c r="H27" i="4"/>
  <c r="H24" i="4"/>
  <c r="H1400" i="4"/>
  <c r="H1401" i="4"/>
  <c r="H1402" i="4"/>
  <c r="H100" i="4"/>
  <c r="H1403" i="4"/>
  <c r="H70" i="4"/>
  <c r="H1404" i="4"/>
  <c r="H1405" i="4"/>
  <c r="H83" i="4"/>
  <c r="H1406" i="4"/>
  <c r="H1407" i="4"/>
  <c r="H1408" i="4"/>
  <c r="H61" i="4"/>
  <c r="H1409" i="4"/>
  <c r="H25" i="4"/>
  <c r="H20" i="4"/>
  <c r="H1410" i="4"/>
  <c r="H1411" i="4"/>
  <c r="H1412" i="4"/>
  <c r="H1413" i="4"/>
  <c r="H28" i="4"/>
  <c r="H29" i="4"/>
  <c r="H23" i="4"/>
  <c r="H38" i="4"/>
  <c r="H35" i="4"/>
  <c r="H37" i="4"/>
  <c r="H51" i="4"/>
  <c r="H39" i="4"/>
  <c r="H41" i="4"/>
  <c r="H50" i="4"/>
  <c r="H47" i="4"/>
  <c r="H62" i="4"/>
  <c r="H1414" i="4"/>
  <c r="H52" i="4"/>
  <c r="H33" i="4"/>
  <c r="H63" i="4"/>
  <c r="H109" i="4"/>
  <c r="H84" i="4"/>
  <c r="H1415" i="4"/>
  <c r="H54" i="4"/>
  <c r="H53" i="4"/>
  <c r="H59" i="4"/>
  <c r="H86" i="4"/>
  <c r="H66" i="4"/>
  <c r="H79" i="4"/>
  <c r="H1416" i="4"/>
  <c r="H1417" i="4"/>
  <c r="H42" i="4"/>
  <c r="H30" i="4"/>
  <c r="H1418" i="4"/>
  <c r="H13" i="4"/>
  <c r="H1419" i="4"/>
  <c r="H1420" i="4"/>
  <c r="H21" i="4"/>
  <c r="H1421" i="4"/>
  <c r="H1422" i="4"/>
  <c r="H1423" i="4"/>
  <c r="H1424" i="4"/>
  <c r="H1425" i="4"/>
  <c r="H1426" i="4"/>
  <c r="H1427" i="4"/>
  <c r="H1428" i="4"/>
  <c r="H1429" i="4"/>
  <c r="H1430" i="4"/>
  <c r="H1431" i="4"/>
  <c r="H1432" i="4"/>
  <c r="H1433" i="4"/>
  <c r="H14" i="4"/>
  <c r="H1434" i="4"/>
  <c r="H71" i="4"/>
  <c r="H1435" i="4"/>
  <c r="H1436" i="4"/>
  <c r="H1437"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91"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64"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103"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6"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87" i="4"/>
  <c r="M355" i="4"/>
  <c r="M356" i="4"/>
  <c r="M357" i="4"/>
  <c r="M358" i="4"/>
  <c r="M359" i="4"/>
  <c r="M360" i="4"/>
  <c r="M361" i="4"/>
  <c r="M362" i="4"/>
  <c r="M56"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74" i="4"/>
  <c r="M106" i="4"/>
  <c r="M76" i="4"/>
  <c r="M597" i="4"/>
  <c r="M598" i="4"/>
  <c r="M599" i="4"/>
  <c r="M600" i="4"/>
  <c r="M601" i="4"/>
  <c r="M602" i="4"/>
  <c r="M603" i="4"/>
  <c r="M604" i="4"/>
  <c r="M102"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80"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92"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94" i="4"/>
  <c r="M34" i="4"/>
  <c r="M752" i="4"/>
  <c r="M753" i="4"/>
  <c r="M754" i="4"/>
  <c r="M755" i="4"/>
  <c r="M756" i="4"/>
  <c r="M757" i="4"/>
  <c r="M758" i="4"/>
  <c r="M759" i="4"/>
  <c r="M760" i="4"/>
  <c r="M761" i="4"/>
  <c r="M762" i="4"/>
  <c r="M763" i="4"/>
  <c r="M764" i="4"/>
  <c r="M765" i="4"/>
  <c r="M766" i="4"/>
  <c r="M767" i="4"/>
  <c r="M31"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7" i="4"/>
  <c r="M847" i="4"/>
  <c r="M848" i="4"/>
  <c r="M849" i="4"/>
  <c r="M850" i="4"/>
  <c r="M851" i="4"/>
  <c r="M852" i="4"/>
  <c r="M853" i="4"/>
  <c r="M854" i="4"/>
  <c r="M855" i="4"/>
  <c r="M856" i="4"/>
  <c r="M857" i="4"/>
  <c r="M858" i="4"/>
  <c r="M859" i="4"/>
  <c r="M860" i="4"/>
  <c r="M861" i="4"/>
  <c r="M862" i="4"/>
  <c r="M863" i="4"/>
  <c r="M864" i="4"/>
  <c r="M865" i="4"/>
  <c r="M44"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 i="4"/>
  <c r="M957" i="4"/>
  <c r="M958" i="4"/>
  <c r="M959" i="4"/>
  <c r="M960" i="4"/>
  <c r="M961" i="4"/>
  <c r="M962" i="4"/>
  <c r="M963" i="4"/>
  <c r="M964" i="4"/>
  <c r="M965" i="4"/>
  <c r="M966" i="4"/>
  <c r="M967" i="4"/>
  <c r="M968" i="4"/>
  <c r="M969" i="4"/>
  <c r="M970" i="4"/>
  <c r="M971" i="4"/>
  <c r="M972" i="4"/>
  <c r="M973" i="4"/>
  <c r="M974" i="4"/>
  <c r="M975" i="4"/>
  <c r="M976" i="4"/>
  <c r="M977" i="4"/>
  <c r="M978" i="4"/>
  <c r="M67" i="4"/>
  <c r="M979" i="4"/>
  <c r="M980" i="4"/>
  <c r="M981" i="4"/>
  <c r="M982" i="4"/>
  <c r="M983" i="4"/>
  <c r="M984" i="4"/>
  <c r="M985" i="4"/>
  <c r="M986" i="4"/>
  <c r="M55" i="4"/>
  <c r="M987" i="4"/>
  <c r="M45" i="4"/>
  <c r="M988" i="4"/>
  <c r="M989" i="4"/>
  <c r="M990" i="4"/>
  <c r="M991" i="4"/>
  <c r="M992" i="4"/>
  <c r="M993"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1050" i="4"/>
  <c r="M8" i="4"/>
  <c r="M1051" i="4"/>
  <c r="M1052" i="4"/>
  <c r="M1053" i="4"/>
  <c r="M1054" i="4"/>
  <c r="M1055" i="4"/>
  <c r="M1056" i="4"/>
  <c r="M1057" i="4"/>
  <c r="M1058" i="4"/>
  <c r="M1059" i="4"/>
  <c r="M1060" i="4"/>
  <c r="M77" i="4"/>
  <c r="M1061" i="4"/>
  <c r="M1062" i="4"/>
  <c r="M1063" i="4"/>
  <c r="M17" i="4"/>
  <c r="M1064" i="4"/>
  <c r="M48" i="4"/>
  <c r="M1065" i="4"/>
  <c r="M1066" i="4"/>
  <c r="M1067" i="4"/>
  <c r="M1068" i="4"/>
  <c r="M1069" i="4"/>
  <c r="M1070" i="4"/>
  <c r="M1071" i="4"/>
  <c r="M1072" i="4"/>
  <c r="M1073" i="4"/>
  <c r="M1074" i="4"/>
  <c r="M1075" i="4"/>
  <c r="M1076" i="4"/>
  <c r="M1077" i="4"/>
  <c r="M1078" i="4"/>
  <c r="M1079" i="4"/>
  <c r="M1080" i="4"/>
  <c r="M1081" i="4"/>
  <c r="M1082" i="4"/>
  <c r="M1083" i="4"/>
  <c r="M1084" i="4"/>
  <c r="M1085" i="4"/>
  <c r="M1086" i="4"/>
  <c r="M1087" i="4"/>
  <c r="M1088" i="4"/>
  <c r="M1089" i="4"/>
  <c r="M1090" i="4"/>
  <c r="M1091" i="4"/>
  <c r="M1092" i="4"/>
  <c r="M1093" i="4"/>
  <c r="M85" i="4"/>
  <c r="M1094" i="4"/>
  <c r="M1095" i="4"/>
  <c r="M1096" i="4"/>
  <c r="M1097" i="4"/>
  <c r="M1098" i="4"/>
  <c r="M1099" i="4"/>
  <c r="M1100" i="4"/>
  <c r="M1101" i="4"/>
  <c r="M1102" i="4"/>
  <c r="M1103" i="4"/>
  <c r="M1104" i="4"/>
  <c r="M1105" i="4"/>
  <c r="M1106" i="4"/>
  <c r="M1107" i="4"/>
  <c r="M1108" i="4"/>
  <c r="M1109" i="4"/>
  <c r="M1110" i="4"/>
  <c r="M1111" i="4"/>
  <c r="M1112" i="4"/>
  <c r="M72" i="4"/>
  <c r="M1113" i="4"/>
  <c r="M98" i="4"/>
  <c r="M1114" i="4"/>
  <c r="M1115" i="4"/>
  <c r="M1116" i="4"/>
  <c r="M1117" i="4"/>
  <c r="M1118" i="4"/>
  <c r="M1119" i="4"/>
  <c r="M1120" i="4"/>
  <c r="M1121" i="4"/>
  <c r="M1122" i="4"/>
  <c r="M1123" i="4"/>
  <c r="M1124" i="4"/>
  <c r="M1125" i="4"/>
  <c r="M1126" i="4"/>
  <c r="M1127" i="4"/>
  <c r="M1128" i="4"/>
  <c r="M1129" i="4"/>
  <c r="M1130" i="4"/>
  <c r="M1131" i="4"/>
  <c r="M1132" i="4"/>
  <c r="M1133" i="4"/>
  <c r="M1134" i="4"/>
  <c r="M1135" i="4"/>
  <c r="M1136" i="4"/>
  <c r="M1137" i="4"/>
  <c r="M1138" i="4"/>
  <c r="M1139" i="4"/>
  <c r="M1140" i="4"/>
  <c r="M1141" i="4"/>
  <c r="M1142" i="4"/>
  <c r="M1143" i="4"/>
  <c r="M1144" i="4"/>
  <c r="M1145" i="4"/>
  <c r="M1146" i="4"/>
  <c r="M1147" i="4"/>
  <c r="M1148" i="4"/>
  <c r="M1149" i="4"/>
  <c r="M1150" i="4"/>
  <c r="M1151" i="4"/>
  <c r="M1152" i="4"/>
  <c r="M1153" i="4"/>
  <c r="M1154" i="4"/>
  <c r="M1155" i="4"/>
  <c r="M1156" i="4"/>
  <c r="M1157" i="4"/>
  <c r="M1158" i="4"/>
  <c r="M1159" i="4"/>
  <c r="M1160" i="4"/>
  <c r="M1161" i="4"/>
  <c r="M1162" i="4"/>
  <c r="M1163" i="4"/>
  <c r="M1164" i="4"/>
  <c r="M1165" i="4"/>
  <c r="M1166" i="4"/>
  <c r="M1167" i="4"/>
  <c r="M1168" i="4"/>
  <c r="M1169" i="4"/>
  <c r="M1170" i="4"/>
  <c r="M1171" i="4"/>
  <c r="M1172" i="4"/>
  <c r="M1173" i="4"/>
  <c r="M1174" i="4"/>
  <c r="M1175" i="4"/>
  <c r="M1176" i="4"/>
  <c r="M1177" i="4"/>
  <c r="M1178" i="4"/>
  <c r="M1179" i="4"/>
  <c r="M1180" i="4"/>
  <c r="M1181" i="4"/>
  <c r="M1182" i="4"/>
  <c r="M1183" i="4"/>
  <c r="M1184" i="4"/>
  <c r="M1185" i="4"/>
  <c r="M1186" i="4"/>
  <c r="M1187" i="4"/>
  <c r="M1188" i="4"/>
  <c r="M1189" i="4"/>
  <c r="M1190" i="4"/>
  <c r="M1191" i="4"/>
  <c r="M1192" i="4"/>
  <c r="M1193" i="4"/>
  <c r="M1194" i="4"/>
  <c r="M1195" i="4"/>
  <c r="M73" i="4"/>
  <c r="M1196" i="4"/>
  <c r="M1197" i="4"/>
  <c r="M1198" i="4"/>
  <c r="M1199" i="4"/>
  <c r="M1200" i="4"/>
  <c r="M1201" i="4"/>
  <c r="M1202" i="4"/>
  <c r="M1203" i="4"/>
  <c r="M68" i="4"/>
  <c r="M1204" i="4"/>
  <c r="M1205" i="4"/>
  <c r="M1206" i="4"/>
  <c r="M1207" i="4"/>
  <c r="M111" i="4"/>
  <c r="M1208" i="4"/>
  <c r="M1209" i="4"/>
  <c r="M1210" i="4"/>
  <c r="M1211" i="4"/>
  <c r="M1212" i="4"/>
  <c r="M1213" i="4"/>
  <c r="M1214" i="4"/>
  <c r="M1215" i="4"/>
  <c r="M1216" i="4"/>
  <c r="M1217" i="4"/>
  <c r="M1218" i="4"/>
  <c r="M1219" i="4"/>
  <c r="M1220" i="4"/>
  <c r="M1221" i="4"/>
  <c r="M1222" i="4"/>
  <c r="M1223" i="4"/>
  <c r="M1224" i="4"/>
  <c r="M1225" i="4"/>
  <c r="M1226" i="4"/>
  <c r="M107" i="4"/>
  <c r="M16" i="4"/>
  <c r="M1227" i="4"/>
  <c r="M1228" i="4"/>
  <c r="M1229" i="4"/>
  <c r="M1230" i="4"/>
  <c r="M1231" i="4"/>
  <c r="M1232" i="4"/>
  <c r="M40" i="4"/>
  <c r="M43" i="4"/>
  <c r="M1233" i="4"/>
  <c r="M1234" i="4"/>
  <c r="M1235" i="4"/>
  <c r="M1236" i="4"/>
  <c r="M1237" i="4"/>
  <c r="M1238" i="4"/>
  <c r="M1239" i="4"/>
  <c r="M1240" i="4"/>
  <c r="M1241" i="4"/>
  <c r="M1242" i="4"/>
  <c r="M1243" i="4"/>
  <c r="M1244" i="4"/>
  <c r="M1245" i="4"/>
  <c r="M1246" i="4"/>
  <c r="M1247" i="4"/>
  <c r="M1248" i="4"/>
  <c r="M1249" i="4"/>
  <c r="M105" i="4"/>
  <c r="M60" i="4"/>
  <c r="M88" i="4"/>
  <c r="M96" i="4"/>
  <c r="M1250" i="4"/>
  <c r="M1251" i="4"/>
  <c r="M1252" i="4"/>
  <c r="M1253" i="4"/>
  <c r="M1254" i="4"/>
  <c r="M1255" i="4"/>
  <c r="M1256" i="4"/>
  <c r="M1257" i="4"/>
  <c r="M1258" i="4"/>
  <c r="M1259" i="4"/>
  <c r="M1260" i="4"/>
  <c r="M1261" i="4"/>
  <c r="M1262" i="4"/>
  <c r="M1263" i="4"/>
  <c r="M1264" i="4"/>
  <c r="M1265" i="4"/>
  <c r="M1266" i="4"/>
  <c r="M1267" i="4"/>
  <c r="M1268" i="4"/>
  <c r="M1269" i="4"/>
  <c r="M1270" i="4"/>
  <c r="M1271" i="4"/>
  <c r="M1272" i="4"/>
  <c r="M1273" i="4"/>
  <c r="M1274" i="4"/>
  <c r="M1275" i="4"/>
  <c r="M1276" i="4"/>
  <c r="M101" i="4"/>
  <c r="M1277" i="4"/>
  <c r="M1278" i="4"/>
  <c r="M1279" i="4"/>
  <c r="M1280" i="4"/>
  <c r="M1281" i="4"/>
  <c r="M1282" i="4"/>
  <c r="M1283" i="4"/>
  <c r="M1284" i="4"/>
  <c r="M1285" i="4"/>
  <c r="M1286" i="4"/>
  <c r="M1287" i="4"/>
  <c r="M1288" i="4"/>
  <c r="M1289" i="4"/>
  <c r="M1290" i="4"/>
  <c r="M1291" i="4"/>
  <c r="M1292" i="4"/>
  <c r="M1293" i="4"/>
  <c r="M1294" i="4"/>
  <c r="M1295" i="4"/>
  <c r="M1296" i="4"/>
  <c r="M1297" i="4"/>
  <c r="M104" i="4"/>
  <c r="M1298" i="4"/>
  <c r="M1299" i="4"/>
  <c r="M1300" i="4"/>
  <c r="M1301" i="4"/>
  <c r="M1302" i="4"/>
  <c r="M1303" i="4"/>
  <c r="M1304" i="4"/>
  <c r="M1305" i="4"/>
  <c r="M1306" i="4"/>
  <c r="M1307" i="4"/>
  <c r="M1308" i="4"/>
  <c r="M1309" i="4"/>
  <c r="M1310" i="4"/>
  <c r="M1311" i="4"/>
  <c r="M9" i="4"/>
  <c r="M1312" i="4"/>
  <c r="M1313" i="4"/>
  <c r="M1314" i="4"/>
  <c r="M1315" i="4"/>
  <c r="M1316" i="4"/>
  <c r="M1317" i="4"/>
  <c r="M1318" i="4"/>
  <c r="M1319" i="4"/>
  <c r="M1320" i="4"/>
  <c r="M1321" i="4"/>
  <c r="M1322" i="4"/>
  <c r="M1323" i="4"/>
  <c r="M1324" i="4"/>
  <c r="M1325" i="4"/>
  <c r="M1326" i="4"/>
  <c r="M1327" i="4"/>
  <c r="M1328" i="4"/>
  <c r="M1329" i="4"/>
  <c r="M1330" i="4"/>
  <c r="M1331" i="4"/>
  <c r="M1332" i="4"/>
  <c r="M1333" i="4"/>
  <c r="M1334" i="4"/>
  <c r="M1335" i="4"/>
  <c r="M1336" i="4"/>
  <c r="M1337" i="4"/>
  <c r="M1338" i="4"/>
  <c r="M1339" i="4"/>
  <c r="M1340" i="4"/>
  <c r="M1341" i="4"/>
  <c r="M1342" i="4"/>
  <c r="M1343" i="4"/>
  <c r="M1344" i="4"/>
  <c r="M1345" i="4"/>
  <c r="M1346" i="4"/>
  <c r="M1347" i="4"/>
  <c r="M1348" i="4"/>
  <c r="M1349" i="4"/>
  <c r="M1350" i="4"/>
  <c r="M1351" i="4"/>
  <c r="M1352" i="4"/>
  <c r="M1353" i="4"/>
  <c r="M1354" i="4"/>
  <c r="M1355" i="4"/>
  <c r="M1356" i="4"/>
  <c r="M1357" i="4"/>
  <c r="M1358" i="4"/>
  <c r="M99" i="4"/>
  <c r="M1359" i="4"/>
  <c r="M1360" i="4"/>
  <c r="M1361" i="4"/>
  <c r="M1362" i="4"/>
  <c r="M1363" i="4"/>
  <c r="M1364" i="4"/>
  <c r="M1365" i="4"/>
  <c r="M10" i="4"/>
  <c r="M1366" i="4"/>
  <c r="M1367" i="4"/>
  <c r="M15" i="4"/>
  <c r="M1368" i="4"/>
  <c r="M1369" i="4"/>
  <c r="M1370" i="4"/>
  <c r="M110" i="4"/>
  <c r="M108" i="4"/>
  <c r="M1371" i="4"/>
  <c r="M1372" i="4"/>
  <c r="M81" i="4"/>
  <c r="M1373" i="4"/>
  <c r="M46" i="4"/>
  <c r="M1374" i="4"/>
  <c r="M18" i="4"/>
  <c r="M11" i="4"/>
  <c r="M82" i="4"/>
  <c r="M1375" i="4"/>
  <c r="M1376" i="4"/>
  <c r="M1377" i="4"/>
  <c r="M57" i="4"/>
  <c r="M36" i="4"/>
  <c r="M1378" i="4"/>
  <c r="M1379" i="4"/>
  <c r="M1380" i="4"/>
  <c r="M65" i="4"/>
  <c r="M32" i="4"/>
  <c r="M1381" i="4"/>
  <c r="M97" i="4"/>
  <c r="M89" i="4"/>
  <c r="M90" i="4"/>
  <c r="M93" i="4"/>
  <c r="M26" i="4"/>
  <c r="M1382" i="4"/>
  <c r="M1383" i="4"/>
  <c r="M75" i="4"/>
  <c r="M1384" i="4"/>
  <c r="M1385" i="4"/>
  <c r="M1386" i="4"/>
  <c r="M78" i="4"/>
  <c r="M1387" i="4"/>
  <c r="M1388" i="4"/>
  <c r="M1389" i="4"/>
  <c r="M1390" i="4"/>
  <c r="M1391" i="4"/>
  <c r="M1392" i="4"/>
  <c r="M1393" i="4"/>
  <c r="M49" i="4"/>
  <c r="M1394" i="4"/>
  <c r="M1395" i="4"/>
  <c r="M69" i="4"/>
  <c r="M12" i="4"/>
  <c r="M19" i="4"/>
  <c r="M1396" i="4"/>
  <c r="M58" i="4"/>
  <c r="M1397" i="4"/>
  <c r="M1398" i="4"/>
  <c r="M22" i="4"/>
  <c r="M1399" i="4"/>
  <c r="M27" i="4"/>
  <c r="M24" i="4"/>
  <c r="M1400" i="4"/>
  <c r="M1401" i="4"/>
  <c r="M1402" i="4"/>
  <c r="M100" i="4"/>
  <c r="M1403" i="4"/>
  <c r="M70" i="4"/>
  <c r="M1404" i="4"/>
  <c r="M1405" i="4"/>
  <c r="M83" i="4"/>
  <c r="M1406" i="4"/>
  <c r="M1407" i="4"/>
  <c r="M1408" i="4"/>
  <c r="M61" i="4"/>
  <c r="M1409" i="4"/>
  <c r="M25" i="4"/>
  <c r="M20" i="4"/>
  <c r="M1410" i="4"/>
  <c r="M1411" i="4"/>
  <c r="M1412" i="4"/>
  <c r="M1413" i="4"/>
  <c r="M28" i="4"/>
  <c r="M29" i="4"/>
  <c r="M23" i="4"/>
  <c r="M38" i="4"/>
  <c r="M35" i="4"/>
  <c r="M37" i="4"/>
  <c r="M51" i="4"/>
  <c r="M39" i="4"/>
  <c r="M41" i="4"/>
  <c r="M50" i="4"/>
  <c r="M47" i="4"/>
  <c r="M62" i="4"/>
  <c r="M1414" i="4"/>
  <c r="M52" i="4"/>
  <c r="M33" i="4"/>
  <c r="M63" i="4"/>
  <c r="M109" i="4"/>
  <c r="M84" i="4"/>
  <c r="M1415" i="4"/>
  <c r="M54" i="4"/>
  <c r="M53" i="4"/>
  <c r="M59" i="4"/>
  <c r="M86" i="4"/>
  <c r="M66" i="4"/>
  <c r="M79" i="4"/>
  <c r="M1416" i="4"/>
  <c r="M1417" i="4"/>
  <c r="M42" i="4"/>
  <c r="M30" i="4"/>
  <c r="M1418" i="4"/>
  <c r="M13" i="4"/>
  <c r="M1419" i="4"/>
  <c r="M1420" i="4"/>
  <c r="M21" i="4"/>
  <c r="M1421" i="4"/>
  <c r="M1422" i="4"/>
  <c r="M1423" i="4"/>
  <c r="M1424" i="4"/>
  <c r="M1425" i="4"/>
  <c r="M1426" i="4"/>
  <c r="M1427" i="4"/>
  <c r="M1428" i="4"/>
  <c r="M1429" i="4"/>
  <c r="M1430" i="4"/>
  <c r="M1431" i="4"/>
  <c r="M1432" i="4"/>
  <c r="M1433" i="4"/>
  <c r="M14" i="4"/>
  <c r="M1434" i="4"/>
  <c r="M71" i="4"/>
  <c r="M1435" i="4"/>
  <c r="M1436" i="4"/>
  <c r="M1437"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91"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64"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103"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6"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87" i="4"/>
  <c r="N355" i="4"/>
  <c r="N356" i="4"/>
  <c r="N357" i="4"/>
  <c r="N358" i="4"/>
  <c r="N359" i="4"/>
  <c r="N360" i="4"/>
  <c r="N361" i="4"/>
  <c r="N362" i="4"/>
  <c r="N56"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74" i="4"/>
  <c r="N106" i="4"/>
  <c r="N76" i="4"/>
  <c r="N597" i="4"/>
  <c r="N598" i="4"/>
  <c r="N599" i="4"/>
  <c r="N600" i="4"/>
  <c r="N601" i="4"/>
  <c r="N602" i="4"/>
  <c r="N603" i="4"/>
  <c r="N604" i="4"/>
  <c r="N102"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80"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92"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94" i="4"/>
  <c r="N34" i="4"/>
  <c r="N752" i="4"/>
  <c r="N753" i="4"/>
  <c r="N754" i="4"/>
  <c r="N755" i="4"/>
  <c r="N756" i="4"/>
  <c r="N757" i="4"/>
  <c r="N758" i="4"/>
  <c r="N759" i="4"/>
  <c r="N760" i="4"/>
  <c r="N761" i="4"/>
  <c r="N762" i="4"/>
  <c r="N763" i="4"/>
  <c r="N764" i="4"/>
  <c r="N765" i="4"/>
  <c r="N766" i="4"/>
  <c r="N767" i="4"/>
  <c r="N31"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7" i="4"/>
  <c r="N847" i="4"/>
  <c r="N848" i="4"/>
  <c r="N849" i="4"/>
  <c r="N850" i="4"/>
  <c r="N851" i="4"/>
  <c r="N852" i="4"/>
  <c r="N853" i="4"/>
  <c r="N854" i="4"/>
  <c r="N855" i="4"/>
  <c r="N856" i="4"/>
  <c r="N857" i="4"/>
  <c r="N858" i="4"/>
  <c r="N859" i="4"/>
  <c r="N860" i="4"/>
  <c r="N861" i="4"/>
  <c r="N862" i="4"/>
  <c r="N863" i="4"/>
  <c r="N864" i="4"/>
  <c r="N865" i="4"/>
  <c r="N44"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 i="4"/>
  <c r="N957" i="4"/>
  <c r="N958" i="4"/>
  <c r="N959" i="4"/>
  <c r="N960" i="4"/>
  <c r="N961" i="4"/>
  <c r="N962" i="4"/>
  <c r="N963" i="4"/>
  <c r="N964" i="4"/>
  <c r="N965" i="4"/>
  <c r="N966" i="4"/>
  <c r="N967" i="4"/>
  <c r="N968" i="4"/>
  <c r="N969" i="4"/>
  <c r="N970" i="4"/>
  <c r="N971" i="4"/>
  <c r="N972" i="4"/>
  <c r="N973" i="4"/>
  <c r="N974" i="4"/>
  <c r="N975" i="4"/>
  <c r="N976" i="4"/>
  <c r="N977" i="4"/>
  <c r="N978" i="4"/>
  <c r="N67" i="4"/>
  <c r="N979" i="4"/>
  <c r="N980" i="4"/>
  <c r="N981" i="4"/>
  <c r="N982" i="4"/>
  <c r="N983" i="4"/>
  <c r="N984" i="4"/>
  <c r="N985" i="4"/>
  <c r="N986" i="4"/>
  <c r="N55" i="4"/>
  <c r="N987" i="4"/>
  <c r="N45" i="4"/>
  <c r="N988" i="4"/>
  <c r="N989" i="4"/>
  <c r="N990" i="4"/>
  <c r="N991" i="4"/>
  <c r="N992" i="4"/>
  <c r="N993" i="4"/>
  <c r="N994" i="4"/>
  <c r="N995" i="4"/>
  <c r="N996" i="4"/>
  <c r="N997" i="4"/>
  <c r="N998" i="4"/>
  <c r="N999" i="4"/>
  <c r="N1000" i="4"/>
  <c r="N1001" i="4"/>
  <c r="N1002" i="4"/>
  <c r="N1003" i="4"/>
  <c r="N1004" i="4"/>
  <c r="N1005" i="4"/>
  <c r="N1006" i="4"/>
  <c r="N1007" i="4"/>
  <c r="N1008" i="4"/>
  <c r="N1009" i="4"/>
  <c r="N1010" i="4"/>
  <c r="N1011" i="4"/>
  <c r="N1012"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1044" i="4"/>
  <c r="N1045" i="4"/>
  <c r="N1046" i="4"/>
  <c r="N1047" i="4"/>
  <c r="N1048" i="4"/>
  <c r="N1049" i="4"/>
  <c r="N1050" i="4"/>
  <c r="N8" i="4"/>
  <c r="N1051" i="4"/>
  <c r="N1052" i="4"/>
  <c r="N1053" i="4"/>
  <c r="N1054" i="4"/>
  <c r="N1055" i="4"/>
  <c r="N1056" i="4"/>
  <c r="N1057" i="4"/>
  <c r="N1058" i="4"/>
  <c r="N1059" i="4"/>
  <c r="N1060" i="4"/>
  <c r="N77" i="4"/>
  <c r="N1061" i="4"/>
  <c r="N1062" i="4"/>
  <c r="N1063" i="4"/>
  <c r="N17" i="4"/>
  <c r="N1064" i="4"/>
  <c r="N48" i="4"/>
  <c r="N1065" i="4"/>
  <c r="N1066" i="4"/>
  <c r="N1067" i="4"/>
  <c r="N1068" i="4"/>
  <c r="N1069" i="4"/>
  <c r="N1070" i="4"/>
  <c r="N1071" i="4"/>
  <c r="N1072" i="4"/>
  <c r="N1073" i="4"/>
  <c r="N1074" i="4"/>
  <c r="N1075" i="4"/>
  <c r="N1076" i="4"/>
  <c r="N1077" i="4"/>
  <c r="N1078" i="4"/>
  <c r="N1079" i="4"/>
  <c r="N1080" i="4"/>
  <c r="N1081" i="4"/>
  <c r="N1082" i="4"/>
  <c r="N1083" i="4"/>
  <c r="N1084" i="4"/>
  <c r="N1085" i="4"/>
  <c r="N1086" i="4"/>
  <c r="N1087" i="4"/>
  <c r="N1088" i="4"/>
  <c r="N1089" i="4"/>
  <c r="N1090" i="4"/>
  <c r="N1091" i="4"/>
  <c r="N1092" i="4"/>
  <c r="N1093" i="4"/>
  <c r="N85" i="4"/>
  <c r="N1094" i="4"/>
  <c r="N1095" i="4"/>
  <c r="N1096" i="4"/>
  <c r="N1097" i="4"/>
  <c r="N1098" i="4"/>
  <c r="N1099" i="4"/>
  <c r="N1100" i="4"/>
  <c r="N1101" i="4"/>
  <c r="N1102" i="4"/>
  <c r="N1103" i="4"/>
  <c r="N1104" i="4"/>
  <c r="N1105" i="4"/>
  <c r="N1106" i="4"/>
  <c r="N1107" i="4"/>
  <c r="N1108" i="4"/>
  <c r="N1109" i="4"/>
  <c r="N1110" i="4"/>
  <c r="N1111" i="4"/>
  <c r="N1112" i="4"/>
  <c r="N72" i="4"/>
  <c r="N1113" i="4"/>
  <c r="N98" i="4"/>
  <c r="N1114" i="4"/>
  <c r="N1115" i="4"/>
  <c r="N1116" i="4"/>
  <c r="N1117" i="4"/>
  <c r="N1118" i="4"/>
  <c r="N1119" i="4"/>
  <c r="N1120" i="4"/>
  <c r="N1121" i="4"/>
  <c r="N1122" i="4"/>
  <c r="N1123" i="4"/>
  <c r="N1124" i="4"/>
  <c r="N1125" i="4"/>
  <c r="N1126" i="4"/>
  <c r="N1127" i="4"/>
  <c r="N1128" i="4"/>
  <c r="N1129" i="4"/>
  <c r="N1130" i="4"/>
  <c r="N1131" i="4"/>
  <c r="N1132" i="4"/>
  <c r="N1133" i="4"/>
  <c r="N1134" i="4"/>
  <c r="N1135" i="4"/>
  <c r="N1136" i="4"/>
  <c r="N1137" i="4"/>
  <c r="N1138" i="4"/>
  <c r="N1139" i="4"/>
  <c r="N1140" i="4"/>
  <c r="N1141" i="4"/>
  <c r="N1142" i="4"/>
  <c r="N1143" i="4"/>
  <c r="N1144" i="4"/>
  <c r="N1145" i="4"/>
  <c r="N1146" i="4"/>
  <c r="N1147" i="4"/>
  <c r="N1148" i="4"/>
  <c r="N1149" i="4"/>
  <c r="N1150" i="4"/>
  <c r="N1151" i="4"/>
  <c r="N1152" i="4"/>
  <c r="N1153" i="4"/>
  <c r="N1154" i="4"/>
  <c r="N1155" i="4"/>
  <c r="N1156" i="4"/>
  <c r="N1157" i="4"/>
  <c r="N1158" i="4"/>
  <c r="N1159" i="4"/>
  <c r="N1160" i="4"/>
  <c r="N1161" i="4"/>
  <c r="N1162" i="4"/>
  <c r="N1163" i="4"/>
  <c r="N1164" i="4"/>
  <c r="N1165" i="4"/>
  <c r="N1166" i="4"/>
  <c r="N1167" i="4"/>
  <c r="N1168" i="4"/>
  <c r="N1169" i="4"/>
  <c r="N1170" i="4"/>
  <c r="N1171" i="4"/>
  <c r="N1172" i="4"/>
  <c r="N1173" i="4"/>
  <c r="N1174" i="4"/>
  <c r="N1175" i="4"/>
  <c r="N1176" i="4"/>
  <c r="N1177" i="4"/>
  <c r="N1178" i="4"/>
  <c r="N1179" i="4"/>
  <c r="N1180" i="4"/>
  <c r="N1181" i="4"/>
  <c r="N1182" i="4"/>
  <c r="N1183" i="4"/>
  <c r="N1184" i="4"/>
  <c r="N1185" i="4"/>
  <c r="N1186" i="4"/>
  <c r="N1187" i="4"/>
  <c r="N1188" i="4"/>
  <c r="N1189" i="4"/>
  <c r="N1190" i="4"/>
  <c r="N1191" i="4"/>
  <c r="N1192" i="4"/>
  <c r="N1193" i="4"/>
  <c r="N1194" i="4"/>
  <c r="N1195" i="4"/>
  <c r="N73" i="4"/>
  <c r="N1196" i="4"/>
  <c r="N1197" i="4"/>
  <c r="N1198" i="4"/>
  <c r="N1199" i="4"/>
  <c r="N1200" i="4"/>
  <c r="N1201" i="4"/>
  <c r="N1202" i="4"/>
  <c r="N1203" i="4"/>
  <c r="N68" i="4"/>
  <c r="N1204" i="4"/>
  <c r="N1205" i="4"/>
  <c r="N1206" i="4"/>
  <c r="N1207" i="4"/>
  <c r="N111" i="4"/>
  <c r="N1208" i="4"/>
  <c r="N1209" i="4"/>
  <c r="N1210" i="4"/>
  <c r="N1211" i="4"/>
  <c r="N1212" i="4"/>
  <c r="N1213" i="4"/>
  <c r="N1214" i="4"/>
  <c r="N1215" i="4"/>
  <c r="N1216" i="4"/>
  <c r="N1217" i="4"/>
  <c r="N1218" i="4"/>
  <c r="N1219" i="4"/>
  <c r="N1220" i="4"/>
  <c r="N1221" i="4"/>
  <c r="N1222" i="4"/>
  <c r="N1223" i="4"/>
  <c r="N1224" i="4"/>
  <c r="N1225" i="4"/>
  <c r="N1226" i="4"/>
  <c r="N107" i="4"/>
  <c r="N16" i="4"/>
  <c r="N1227" i="4"/>
  <c r="N1228" i="4"/>
  <c r="N1229" i="4"/>
  <c r="N1230" i="4"/>
  <c r="N1231" i="4"/>
  <c r="N1232" i="4"/>
  <c r="N40" i="4"/>
  <c r="N43" i="4"/>
  <c r="N1233" i="4"/>
  <c r="N1234" i="4"/>
  <c r="N1235" i="4"/>
  <c r="N1236" i="4"/>
  <c r="N1237" i="4"/>
  <c r="N1238" i="4"/>
  <c r="N1239" i="4"/>
  <c r="N1240" i="4"/>
  <c r="N1241" i="4"/>
  <c r="N1242" i="4"/>
  <c r="N1243" i="4"/>
  <c r="N1244" i="4"/>
  <c r="N1245" i="4"/>
  <c r="N1246" i="4"/>
  <c r="N1247" i="4"/>
  <c r="N1248" i="4"/>
  <c r="N1249" i="4"/>
  <c r="N105" i="4"/>
  <c r="N60" i="4"/>
  <c r="N88" i="4"/>
  <c r="N96" i="4"/>
  <c r="N1250" i="4"/>
  <c r="N1251" i="4"/>
  <c r="N1252" i="4"/>
  <c r="N1253" i="4"/>
  <c r="N1254" i="4"/>
  <c r="N1255" i="4"/>
  <c r="N1256" i="4"/>
  <c r="N1257" i="4"/>
  <c r="N1258" i="4"/>
  <c r="N1259" i="4"/>
  <c r="N1260" i="4"/>
  <c r="N1261" i="4"/>
  <c r="N1262" i="4"/>
  <c r="N1263" i="4"/>
  <c r="N1264" i="4"/>
  <c r="N1265" i="4"/>
  <c r="N1266" i="4"/>
  <c r="N1267" i="4"/>
  <c r="N1268" i="4"/>
  <c r="N1269" i="4"/>
  <c r="N1270" i="4"/>
  <c r="N1271" i="4"/>
  <c r="N1272" i="4"/>
  <c r="N1273" i="4"/>
  <c r="N1274" i="4"/>
  <c r="N1275" i="4"/>
  <c r="N1276" i="4"/>
  <c r="N101" i="4"/>
  <c r="N1277" i="4"/>
  <c r="N1278" i="4"/>
  <c r="N1279" i="4"/>
  <c r="N1280" i="4"/>
  <c r="N1281" i="4"/>
  <c r="N1282" i="4"/>
  <c r="N1283" i="4"/>
  <c r="N1284" i="4"/>
  <c r="N1285" i="4"/>
  <c r="N1286" i="4"/>
  <c r="N1287" i="4"/>
  <c r="N1288" i="4"/>
  <c r="N1289" i="4"/>
  <c r="N1290" i="4"/>
  <c r="N1291" i="4"/>
  <c r="N1292" i="4"/>
  <c r="N1293" i="4"/>
  <c r="N1294" i="4"/>
  <c r="N1295" i="4"/>
  <c r="N1296" i="4"/>
  <c r="N1297" i="4"/>
  <c r="N104" i="4"/>
  <c r="N1298" i="4"/>
  <c r="N1299" i="4"/>
  <c r="N1300" i="4"/>
  <c r="N1301" i="4"/>
  <c r="N1302" i="4"/>
  <c r="N1303" i="4"/>
  <c r="N1304" i="4"/>
  <c r="N1305" i="4"/>
  <c r="N1306" i="4"/>
  <c r="N1307" i="4"/>
  <c r="N1308" i="4"/>
  <c r="N1309" i="4"/>
  <c r="N1310" i="4"/>
  <c r="N1311" i="4"/>
  <c r="N9" i="4"/>
  <c r="N1312" i="4"/>
  <c r="N1313" i="4"/>
  <c r="N1314" i="4"/>
  <c r="N1315" i="4"/>
  <c r="N1316" i="4"/>
  <c r="N1317" i="4"/>
  <c r="N1318" i="4"/>
  <c r="N1319" i="4"/>
  <c r="N1320" i="4"/>
  <c r="N1321" i="4"/>
  <c r="N1322" i="4"/>
  <c r="N1323" i="4"/>
  <c r="N1324" i="4"/>
  <c r="N1325" i="4"/>
  <c r="N1326" i="4"/>
  <c r="N1327" i="4"/>
  <c r="N1328" i="4"/>
  <c r="N1329" i="4"/>
  <c r="N1330" i="4"/>
  <c r="N1331" i="4"/>
  <c r="N1332" i="4"/>
  <c r="N1333" i="4"/>
  <c r="N1334" i="4"/>
  <c r="N1335" i="4"/>
  <c r="N1336" i="4"/>
  <c r="N1337" i="4"/>
  <c r="N1338" i="4"/>
  <c r="N1339" i="4"/>
  <c r="N1340" i="4"/>
  <c r="N1341" i="4"/>
  <c r="N1342" i="4"/>
  <c r="N1343" i="4"/>
  <c r="N1344" i="4"/>
  <c r="N1345" i="4"/>
  <c r="N1346" i="4"/>
  <c r="N1347" i="4"/>
  <c r="N1348" i="4"/>
  <c r="N1349" i="4"/>
  <c r="N1350" i="4"/>
  <c r="N1351" i="4"/>
  <c r="N1352" i="4"/>
  <c r="N1353" i="4"/>
  <c r="N1354" i="4"/>
  <c r="N1355" i="4"/>
  <c r="N1356" i="4"/>
  <c r="N1357" i="4"/>
  <c r="N1358" i="4"/>
  <c r="N99" i="4"/>
  <c r="N1359" i="4"/>
  <c r="N1360" i="4"/>
  <c r="N1361" i="4"/>
  <c r="N1362" i="4"/>
  <c r="N1363" i="4"/>
  <c r="N1364" i="4"/>
  <c r="N1365" i="4"/>
  <c r="N10" i="4"/>
  <c r="N1366" i="4"/>
  <c r="N1367" i="4"/>
  <c r="N15" i="4"/>
  <c r="N1368" i="4"/>
  <c r="N1369" i="4"/>
  <c r="N1370" i="4"/>
  <c r="N110" i="4"/>
  <c r="N108" i="4"/>
  <c r="N1371" i="4"/>
  <c r="N1372" i="4"/>
  <c r="N81" i="4"/>
  <c r="N1373" i="4"/>
  <c r="N46" i="4"/>
  <c r="N1374" i="4"/>
  <c r="N18" i="4"/>
  <c r="N11" i="4"/>
  <c r="N82" i="4"/>
  <c r="N1375" i="4"/>
  <c r="N1376" i="4"/>
  <c r="N1377" i="4"/>
  <c r="N57" i="4"/>
  <c r="N36" i="4"/>
  <c r="N1378" i="4"/>
  <c r="N1379" i="4"/>
  <c r="N1380" i="4"/>
  <c r="N65" i="4"/>
  <c r="N32" i="4"/>
  <c r="N1381" i="4"/>
  <c r="N97" i="4"/>
  <c r="N89" i="4"/>
  <c r="N90" i="4"/>
  <c r="N93" i="4"/>
  <c r="N26" i="4"/>
  <c r="N1382" i="4"/>
  <c r="N1383" i="4"/>
  <c r="N75" i="4"/>
  <c r="N1384" i="4"/>
  <c r="N1385" i="4"/>
  <c r="N1386" i="4"/>
  <c r="N78" i="4"/>
  <c r="N1387" i="4"/>
  <c r="N1388" i="4"/>
  <c r="N1389" i="4"/>
  <c r="N1390" i="4"/>
  <c r="N1391" i="4"/>
  <c r="N1392" i="4"/>
  <c r="N1393" i="4"/>
  <c r="N49" i="4"/>
  <c r="N1394" i="4"/>
  <c r="N1395" i="4"/>
  <c r="N69" i="4"/>
  <c r="N12" i="4"/>
  <c r="N19" i="4"/>
  <c r="N1396" i="4"/>
  <c r="N58" i="4"/>
  <c r="N1397" i="4"/>
  <c r="N1398" i="4"/>
  <c r="N22" i="4"/>
  <c r="N1399" i="4"/>
  <c r="N27" i="4"/>
  <c r="N24" i="4"/>
  <c r="N1400" i="4"/>
  <c r="N1401" i="4"/>
  <c r="N1402" i="4"/>
  <c r="N100" i="4"/>
  <c r="N1403" i="4"/>
  <c r="N70" i="4"/>
  <c r="N1404" i="4"/>
  <c r="N1405" i="4"/>
  <c r="N83" i="4"/>
  <c r="N1406" i="4"/>
  <c r="N1407" i="4"/>
  <c r="N1408" i="4"/>
  <c r="N61" i="4"/>
  <c r="N1409" i="4"/>
  <c r="N25" i="4"/>
  <c r="N20" i="4"/>
  <c r="N1410" i="4"/>
  <c r="N1411" i="4"/>
  <c r="N1412" i="4"/>
  <c r="N1413" i="4"/>
  <c r="N28" i="4"/>
  <c r="N29" i="4"/>
  <c r="N23" i="4"/>
  <c r="N38" i="4"/>
  <c r="N35" i="4"/>
  <c r="N37" i="4"/>
  <c r="N51" i="4"/>
  <c r="N39" i="4"/>
  <c r="N41" i="4"/>
  <c r="N50" i="4"/>
  <c r="N47" i="4"/>
  <c r="N62" i="4"/>
  <c r="N1414" i="4"/>
  <c r="N52" i="4"/>
  <c r="N33" i="4"/>
  <c r="N63" i="4"/>
  <c r="N109" i="4"/>
  <c r="N84" i="4"/>
  <c r="N1415" i="4"/>
  <c r="N54" i="4"/>
  <c r="N53" i="4"/>
  <c r="N59" i="4"/>
  <c r="N86" i="4"/>
  <c r="N66" i="4"/>
  <c r="N79" i="4"/>
  <c r="N1416" i="4"/>
  <c r="N1417" i="4"/>
  <c r="N42" i="4"/>
  <c r="N30" i="4"/>
  <c r="N1418" i="4"/>
  <c r="N13" i="4"/>
  <c r="N1419" i="4"/>
  <c r="N1420" i="4"/>
  <c r="N21" i="4"/>
  <c r="N1421" i="4"/>
  <c r="N1422" i="4"/>
  <c r="N1423" i="4"/>
  <c r="N1424" i="4"/>
  <c r="N1425" i="4"/>
  <c r="N1426" i="4"/>
  <c r="N1427" i="4"/>
  <c r="N1428" i="4"/>
  <c r="N1429" i="4"/>
  <c r="N1430" i="4"/>
  <c r="N1431" i="4"/>
  <c r="N1432" i="4"/>
  <c r="N1433" i="4"/>
  <c r="N14" i="4"/>
  <c r="N1434" i="4"/>
  <c r="N71" i="4"/>
  <c r="N1435" i="4"/>
  <c r="N1436" i="4"/>
  <c r="N1437"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91"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64"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103"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6"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87" i="4"/>
  <c r="O355" i="4"/>
  <c r="O356" i="4"/>
  <c r="O357" i="4"/>
  <c r="O358" i="4"/>
  <c r="O359" i="4"/>
  <c r="O360" i="4"/>
  <c r="O361" i="4"/>
  <c r="O362" i="4"/>
  <c r="O56"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74" i="4"/>
  <c r="O106" i="4"/>
  <c r="O76" i="4"/>
  <c r="O597" i="4"/>
  <c r="O598" i="4"/>
  <c r="O599" i="4"/>
  <c r="O600" i="4"/>
  <c r="O601" i="4"/>
  <c r="O602" i="4"/>
  <c r="O603" i="4"/>
  <c r="O604" i="4"/>
  <c r="O102"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80"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92"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94" i="4"/>
  <c r="O34" i="4"/>
  <c r="O752" i="4"/>
  <c r="O753" i="4"/>
  <c r="O754" i="4"/>
  <c r="O755" i="4"/>
  <c r="O756" i="4"/>
  <c r="O757" i="4"/>
  <c r="O758" i="4"/>
  <c r="O759" i="4"/>
  <c r="O760" i="4"/>
  <c r="O761" i="4"/>
  <c r="O762" i="4"/>
  <c r="O763" i="4"/>
  <c r="O764" i="4"/>
  <c r="O765" i="4"/>
  <c r="O766" i="4"/>
  <c r="O767" i="4"/>
  <c r="O31"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7" i="4"/>
  <c r="O847" i="4"/>
  <c r="O848" i="4"/>
  <c r="O849" i="4"/>
  <c r="O850" i="4"/>
  <c r="O851" i="4"/>
  <c r="O852" i="4"/>
  <c r="O853" i="4"/>
  <c r="O854" i="4"/>
  <c r="O855" i="4"/>
  <c r="O856" i="4"/>
  <c r="O857" i="4"/>
  <c r="O858" i="4"/>
  <c r="O859" i="4"/>
  <c r="O860" i="4"/>
  <c r="O861" i="4"/>
  <c r="O862" i="4"/>
  <c r="O863" i="4"/>
  <c r="O864" i="4"/>
  <c r="O865" i="4"/>
  <c r="O44"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 i="4"/>
  <c r="O957" i="4"/>
  <c r="O958" i="4"/>
  <c r="O959" i="4"/>
  <c r="O960" i="4"/>
  <c r="O961" i="4"/>
  <c r="O962" i="4"/>
  <c r="O963" i="4"/>
  <c r="O964" i="4"/>
  <c r="O965" i="4"/>
  <c r="O966" i="4"/>
  <c r="O967" i="4"/>
  <c r="O968" i="4"/>
  <c r="O969" i="4"/>
  <c r="O970" i="4"/>
  <c r="O971" i="4"/>
  <c r="O972" i="4"/>
  <c r="O973" i="4"/>
  <c r="O974" i="4"/>
  <c r="O975" i="4"/>
  <c r="O976" i="4"/>
  <c r="O977" i="4"/>
  <c r="O978" i="4"/>
  <c r="O67" i="4"/>
  <c r="O979" i="4"/>
  <c r="O980" i="4"/>
  <c r="O981" i="4"/>
  <c r="O982" i="4"/>
  <c r="O983" i="4"/>
  <c r="O984" i="4"/>
  <c r="O985" i="4"/>
  <c r="O986" i="4"/>
  <c r="O55" i="4"/>
  <c r="O987" i="4"/>
  <c r="O45" i="4"/>
  <c r="O988" i="4"/>
  <c r="O989" i="4"/>
  <c r="O990" i="4"/>
  <c r="O991" i="4"/>
  <c r="O992" i="4"/>
  <c r="O993" i="4"/>
  <c r="O994" i="4"/>
  <c r="O995" i="4"/>
  <c r="O996"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1050" i="4"/>
  <c r="O8" i="4"/>
  <c r="O1051" i="4"/>
  <c r="O1052" i="4"/>
  <c r="O1053" i="4"/>
  <c r="O1054" i="4"/>
  <c r="O1055" i="4"/>
  <c r="O1056" i="4"/>
  <c r="O1057" i="4"/>
  <c r="O1058" i="4"/>
  <c r="O1059" i="4"/>
  <c r="O1060" i="4"/>
  <c r="O77" i="4"/>
  <c r="O1061" i="4"/>
  <c r="O1062" i="4"/>
  <c r="O1063" i="4"/>
  <c r="O17" i="4"/>
  <c r="O1064" i="4"/>
  <c r="O48" i="4"/>
  <c r="O1065" i="4"/>
  <c r="O1066" i="4"/>
  <c r="O1067" i="4"/>
  <c r="O1068" i="4"/>
  <c r="O1069" i="4"/>
  <c r="O1070" i="4"/>
  <c r="O1071" i="4"/>
  <c r="O1072" i="4"/>
  <c r="O1073" i="4"/>
  <c r="O1074" i="4"/>
  <c r="O1075" i="4"/>
  <c r="O1076" i="4"/>
  <c r="O1077" i="4"/>
  <c r="O1078" i="4"/>
  <c r="O1079" i="4"/>
  <c r="O1080" i="4"/>
  <c r="O1081" i="4"/>
  <c r="O1082" i="4"/>
  <c r="O1083" i="4"/>
  <c r="O1084" i="4"/>
  <c r="O1085" i="4"/>
  <c r="O1086" i="4"/>
  <c r="O1087" i="4"/>
  <c r="O1088" i="4"/>
  <c r="O1089" i="4"/>
  <c r="O1090" i="4"/>
  <c r="O1091" i="4"/>
  <c r="O1092" i="4"/>
  <c r="O1093" i="4"/>
  <c r="O85" i="4"/>
  <c r="O1094" i="4"/>
  <c r="O1095" i="4"/>
  <c r="O1096" i="4"/>
  <c r="O1097" i="4"/>
  <c r="O1098" i="4"/>
  <c r="O1099" i="4"/>
  <c r="O1100" i="4"/>
  <c r="O1101" i="4"/>
  <c r="O1102" i="4"/>
  <c r="O1103" i="4"/>
  <c r="O1104" i="4"/>
  <c r="O1105" i="4"/>
  <c r="O1106" i="4"/>
  <c r="O1107" i="4"/>
  <c r="O1108" i="4"/>
  <c r="O1109" i="4"/>
  <c r="O1110" i="4"/>
  <c r="O1111" i="4"/>
  <c r="O1112" i="4"/>
  <c r="O72" i="4"/>
  <c r="O1113" i="4"/>
  <c r="O98" i="4"/>
  <c r="O1114" i="4"/>
  <c r="O1115" i="4"/>
  <c r="O1116" i="4"/>
  <c r="O1117" i="4"/>
  <c r="O1118" i="4"/>
  <c r="O1119" i="4"/>
  <c r="O1120" i="4"/>
  <c r="O1121" i="4"/>
  <c r="O1122" i="4"/>
  <c r="O1123" i="4"/>
  <c r="O1124" i="4"/>
  <c r="O1125" i="4"/>
  <c r="O1126" i="4"/>
  <c r="O1127" i="4"/>
  <c r="O1128" i="4"/>
  <c r="O1129" i="4"/>
  <c r="O1130" i="4"/>
  <c r="O1131" i="4"/>
  <c r="O1132" i="4"/>
  <c r="O1133" i="4"/>
  <c r="O1134" i="4"/>
  <c r="O1135" i="4"/>
  <c r="O1136" i="4"/>
  <c r="O1137" i="4"/>
  <c r="O1138" i="4"/>
  <c r="O1139" i="4"/>
  <c r="O1140" i="4"/>
  <c r="O1141" i="4"/>
  <c r="O1142" i="4"/>
  <c r="O1143" i="4"/>
  <c r="O1144" i="4"/>
  <c r="O1145" i="4"/>
  <c r="O1146" i="4"/>
  <c r="O1147" i="4"/>
  <c r="O1148" i="4"/>
  <c r="O1149" i="4"/>
  <c r="O1150" i="4"/>
  <c r="O1151" i="4"/>
  <c r="O1152" i="4"/>
  <c r="O1153" i="4"/>
  <c r="O1154" i="4"/>
  <c r="O1155" i="4"/>
  <c r="O1156" i="4"/>
  <c r="O1157" i="4"/>
  <c r="O1158" i="4"/>
  <c r="O1159" i="4"/>
  <c r="O1160" i="4"/>
  <c r="O1161" i="4"/>
  <c r="O1162" i="4"/>
  <c r="O1163" i="4"/>
  <c r="O1164" i="4"/>
  <c r="O1165" i="4"/>
  <c r="O1166" i="4"/>
  <c r="O1167" i="4"/>
  <c r="O1168" i="4"/>
  <c r="O1169" i="4"/>
  <c r="O1170" i="4"/>
  <c r="O1171" i="4"/>
  <c r="O1172" i="4"/>
  <c r="O1173" i="4"/>
  <c r="O1174" i="4"/>
  <c r="O1175" i="4"/>
  <c r="O1176" i="4"/>
  <c r="O1177" i="4"/>
  <c r="O1178" i="4"/>
  <c r="O1179" i="4"/>
  <c r="O1180" i="4"/>
  <c r="O1181" i="4"/>
  <c r="O1182" i="4"/>
  <c r="O1183" i="4"/>
  <c r="O1184" i="4"/>
  <c r="O1185" i="4"/>
  <c r="O1186" i="4"/>
  <c r="O1187" i="4"/>
  <c r="O1188" i="4"/>
  <c r="O1189" i="4"/>
  <c r="O1190" i="4"/>
  <c r="O1191" i="4"/>
  <c r="O1192" i="4"/>
  <c r="O1193" i="4"/>
  <c r="O1194" i="4"/>
  <c r="O1195" i="4"/>
  <c r="O73" i="4"/>
  <c r="O1196" i="4"/>
  <c r="O1197" i="4"/>
  <c r="O1198" i="4"/>
  <c r="O1199" i="4"/>
  <c r="O1200" i="4"/>
  <c r="O1201" i="4"/>
  <c r="O1202" i="4"/>
  <c r="O1203" i="4"/>
  <c r="O68" i="4"/>
  <c r="O1204" i="4"/>
  <c r="O1205" i="4"/>
  <c r="O1206" i="4"/>
  <c r="O1207" i="4"/>
  <c r="O111" i="4"/>
  <c r="O1208" i="4"/>
  <c r="O1209" i="4"/>
  <c r="O1210" i="4"/>
  <c r="O1211" i="4"/>
  <c r="O1212" i="4"/>
  <c r="O1213" i="4"/>
  <c r="O1214" i="4"/>
  <c r="O1215" i="4"/>
  <c r="O1216" i="4"/>
  <c r="O1217" i="4"/>
  <c r="O1218" i="4"/>
  <c r="O1219" i="4"/>
  <c r="O1220" i="4"/>
  <c r="O1221" i="4"/>
  <c r="O1222" i="4"/>
  <c r="O1223" i="4"/>
  <c r="O1224" i="4"/>
  <c r="O1225" i="4"/>
  <c r="O1226" i="4"/>
  <c r="O107" i="4"/>
  <c r="O16" i="4"/>
  <c r="O1227" i="4"/>
  <c r="O1228" i="4"/>
  <c r="O1229" i="4"/>
  <c r="O1230" i="4"/>
  <c r="O1231" i="4"/>
  <c r="O1232" i="4"/>
  <c r="O40" i="4"/>
  <c r="O43" i="4"/>
  <c r="O1233" i="4"/>
  <c r="O1234" i="4"/>
  <c r="O1235" i="4"/>
  <c r="O1236" i="4"/>
  <c r="O1237" i="4"/>
  <c r="O1238" i="4"/>
  <c r="O1239" i="4"/>
  <c r="O1240" i="4"/>
  <c r="O1241" i="4"/>
  <c r="O1242" i="4"/>
  <c r="O1243" i="4"/>
  <c r="O1244" i="4"/>
  <c r="O1245" i="4"/>
  <c r="O1246" i="4"/>
  <c r="O1247" i="4"/>
  <c r="O1248" i="4"/>
  <c r="O1249" i="4"/>
  <c r="O105" i="4"/>
  <c r="O60" i="4"/>
  <c r="O88" i="4"/>
  <c r="O96" i="4"/>
  <c r="O1250" i="4"/>
  <c r="O1251" i="4"/>
  <c r="O1252" i="4"/>
  <c r="O1253" i="4"/>
  <c r="O1254" i="4"/>
  <c r="O1255" i="4"/>
  <c r="O1256" i="4"/>
  <c r="O1257" i="4"/>
  <c r="O1258" i="4"/>
  <c r="O1259" i="4"/>
  <c r="O1260" i="4"/>
  <c r="O1261" i="4"/>
  <c r="O1262" i="4"/>
  <c r="O1263" i="4"/>
  <c r="O1264" i="4"/>
  <c r="O1265" i="4"/>
  <c r="O1266" i="4"/>
  <c r="O1267" i="4"/>
  <c r="O1268" i="4"/>
  <c r="O1269" i="4"/>
  <c r="O1270" i="4"/>
  <c r="O1271" i="4"/>
  <c r="O1272" i="4"/>
  <c r="O1273" i="4"/>
  <c r="O1274" i="4"/>
  <c r="O1275" i="4"/>
  <c r="O1276" i="4"/>
  <c r="O101" i="4"/>
  <c r="O1277" i="4"/>
  <c r="O1278" i="4"/>
  <c r="O1279" i="4"/>
  <c r="O1280" i="4"/>
  <c r="O1281" i="4"/>
  <c r="O1282" i="4"/>
  <c r="O1283" i="4"/>
  <c r="O1284" i="4"/>
  <c r="O1285" i="4"/>
  <c r="O1286" i="4"/>
  <c r="O1287" i="4"/>
  <c r="O1288" i="4"/>
  <c r="O1289" i="4"/>
  <c r="O1290" i="4"/>
  <c r="O1291" i="4"/>
  <c r="O1292" i="4"/>
  <c r="O1293" i="4"/>
  <c r="O1294" i="4"/>
  <c r="O1295" i="4"/>
  <c r="O1296" i="4"/>
  <c r="O1297" i="4"/>
  <c r="O104" i="4"/>
  <c r="O1298" i="4"/>
  <c r="O1299" i="4"/>
  <c r="O1300" i="4"/>
  <c r="O1301" i="4"/>
  <c r="O1302" i="4"/>
  <c r="O1303" i="4"/>
  <c r="O1304" i="4"/>
  <c r="O1305" i="4"/>
  <c r="O1306" i="4"/>
  <c r="O1307" i="4"/>
  <c r="O1308" i="4"/>
  <c r="O1309" i="4"/>
  <c r="O1310" i="4"/>
  <c r="O1311" i="4"/>
  <c r="O9" i="4"/>
  <c r="O1312" i="4"/>
  <c r="O1313" i="4"/>
  <c r="O1314" i="4"/>
  <c r="O1315" i="4"/>
  <c r="O1316" i="4"/>
  <c r="O1317" i="4"/>
  <c r="O1318" i="4"/>
  <c r="O1319" i="4"/>
  <c r="O1320" i="4"/>
  <c r="O1321" i="4"/>
  <c r="O1322" i="4"/>
  <c r="O1323" i="4"/>
  <c r="O1324" i="4"/>
  <c r="O1325" i="4"/>
  <c r="O1326" i="4"/>
  <c r="O1327" i="4"/>
  <c r="O1328" i="4"/>
  <c r="O1329" i="4"/>
  <c r="O1330" i="4"/>
  <c r="O1331" i="4"/>
  <c r="O1332" i="4"/>
  <c r="O1333" i="4"/>
  <c r="O1334" i="4"/>
  <c r="O1335" i="4"/>
  <c r="O1336" i="4"/>
  <c r="O1337" i="4"/>
  <c r="O1338" i="4"/>
  <c r="O1339" i="4"/>
  <c r="O1340" i="4"/>
  <c r="O1341" i="4"/>
  <c r="O1342" i="4"/>
  <c r="O1343" i="4"/>
  <c r="O1344" i="4"/>
  <c r="O1345" i="4"/>
  <c r="O1346" i="4"/>
  <c r="O1347" i="4"/>
  <c r="O1348" i="4"/>
  <c r="O1349" i="4"/>
  <c r="O1350" i="4"/>
  <c r="O1351" i="4"/>
  <c r="O1352" i="4"/>
  <c r="O1353" i="4"/>
  <c r="O1354" i="4"/>
  <c r="O1355" i="4"/>
  <c r="O1356" i="4"/>
  <c r="O1357" i="4"/>
  <c r="O1358" i="4"/>
  <c r="O99" i="4"/>
  <c r="O1359" i="4"/>
  <c r="O1360" i="4"/>
  <c r="O1361" i="4"/>
  <c r="O1362" i="4"/>
  <c r="O1363" i="4"/>
  <c r="O1364" i="4"/>
  <c r="O1365" i="4"/>
  <c r="O10" i="4"/>
  <c r="O1366" i="4"/>
  <c r="O1367" i="4"/>
  <c r="O15" i="4"/>
  <c r="O1368" i="4"/>
  <c r="O1369" i="4"/>
  <c r="O1370" i="4"/>
  <c r="O110" i="4"/>
  <c r="O108" i="4"/>
  <c r="O1371" i="4"/>
  <c r="O1372" i="4"/>
  <c r="O81" i="4"/>
  <c r="O1373" i="4"/>
  <c r="O46" i="4"/>
  <c r="O1374" i="4"/>
  <c r="O18" i="4"/>
  <c r="O11" i="4"/>
  <c r="O82" i="4"/>
  <c r="O1375" i="4"/>
  <c r="O1376" i="4"/>
  <c r="O1377" i="4"/>
  <c r="O57" i="4"/>
  <c r="O36" i="4"/>
  <c r="O1378" i="4"/>
  <c r="O1379" i="4"/>
  <c r="O1380" i="4"/>
  <c r="O65" i="4"/>
  <c r="O32" i="4"/>
  <c r="O1381" i="4"/>
  <c r="O97" i="4"/>
  <c r="O89" i="4"/>
  <c r="O90" i="4"/>
  <c r="O93" i="4"/>
  <c r="O26" i="4"/>
  <c r="O1382" i="4"/>
  <c r="O1383" i="4"/>
  <c r="O75" i="4"/>
  <c r="O1384" i="4"/>
  <c r="O1385" i="4"/>
  <c r="O1386" i="4"/>
  <c r="O78" i="4"/>
  <c r="O1387" i="4"/>
  <c r="O1388" i="4"/>
  <c r="O1389" i="4"/>
  <c r="O1390" i="4"/>
  <c r="O1391" i="4"/>
  <c r="O1392" i="4"/>
  <c r="O1393" i="4"/>
  <c r="O49" i="4"/>
  <c r="O1394" i="4"/>
  <c r="O1395" i="4"/>
  <c r="O69" i="4"/>
  <c r="O12" i="4"/>
  <c r="O19" i="4"/>
  <c r="O1396" i="4"/>
  <c r="O58" i="4"/>
  <c r="O1397" i="4"/>
  <c r="O1398" i="4"/>
  <c r="O22" i="4"/>
  <c r="O1399" i="4"/>
  <c r="O27" i="4"/>
  <c r="O24" i="4"/>
  <c r="O1400" i="4"/>
  <c r="O1401" i="4"/>
  <c r="O1402" i="4"/>
  <c r="O100" i="4"/>
  <c r="O1403" i="4"/>
  <c r="O70" i="4"/>
  <c r="O1404" i="4"/>
  <c r="O1405" i="4"/>
  <c r="O83" i="4"/>
  <c r="O1406" i="4"/>
  <c r="O1407" i="4"/>
  <c r="O1408" i="4"/>
  <c r="O61" i="4"/>
  <c r="O1409" i="4"/>
  <c r="O25" i="4"/>
  <c r="O20" i="4"/>
  <c r="O1410" i="4"/>
  <c r="O1411" i="4"/>
  <c r="O1412" i="4"/>
  <c r="O1413" i="4"/>
  <c r="O28" i="4"/>
  <c r="O29" i="4"/>
  <c r="O23" i="4"/>
  <c r="O38" i="4"/>
  <c r="O35" i="4"/>
  <c r="O37" i="4"/>
  <c r="O51" i="4"/>
  <c r="O39" i="4"/>
  <c r="O41" i="4"/>
  <c r="O50" i="4"/>
  <c r="O47" i="4"/>
  <c r="O62" i="4"/>
  <c r="O1414" i="4"/>
  <c r="O52" i="4"/>
  <c r="O33" i="4"/>
  <c r="O63" i="4"/>
  <c r="O109" i="4"/>
  <c r="O84" i="4"/>
  <c r="O1415" i="4"/>
  <c r="O54" i="4"/>
  <c r="O53" i="4"/>
  <c r="O59" i="4"/>
  <c r="O86" i="4"/>
  <c r="O66" i="4"/>
  <c r="O79" i="4"/>
  <c r="O1416" i="4"/>
  <c r="O1417" i="4"/>
  <c r="O42" i="4"/>
  <c r="O30" i="4"/>
  <c r="O1418" i="4"/>
  <c r="O13" i="4"/>
  <c r="O1419" i="4"/>
  <c r="O1420" i="4"/>
  <c r="O21" i="4"/>
  <c r="O1421" i="4"/>
  <c r="O1422" i="4"/>
  <c r="O1423" i="4"/>
  <c r="O1424" i="4"/>
  <c r="O1425" i="4"/>
  <c r="O1426" i="4"/>
  <c r="O1427" i="4"/>
  <c r="O1428" i="4"/>
  <c r="O1429" i="4"/>
  <c r="O1430" i="4"/>
  <c r="O1431" i="4"/>
  <c r="O1432" i="4"/>
  <c r="O1433" i="4"/>
  <c r="O14" i="4"/>
  <c r="O1434" i="4"/>
  <c r="O71" i="4"/>
  <c r="O1435" i="4"/>
  <c r="O1436" i="4"/>
  <c r="O1437"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91"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64"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103"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6"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87" i="4"/>
  <c r="P355" i="4"/>
  <c r="P356" i="4"/>
  <c r="P357" i="4"/>
  <c r="P358" i="4"/>
  <c r="P359" i="4"/>
  <c r="P360" i="4"/>
  <c r="P361" i="4"/>
  <c r="P362" i="4"/>
  <c r="P56"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74" i="4"/>
  <c r="P106" i="4"/>
  <c r="P76" i="4"/>
  <c r="P597" i="4"/>
  <c r="P598" i="4"/>
  <c r="P599" i="4"/>
  <c r="P600" i="4"/>
  <c r="P601" i="4"/>
  <c r="P602" i="4"/>
  <c r="P603" i="4"/>
  <c r="P604" i="4"/>
  <c r="P102"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80"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92"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94" i="4"/>
  <c r="P34" i="4"/>
  <c r="P752" i="4"/>
  <c r="P753" i="4"/>
  <c r="P754" i="4"/>
  <c r="P755" i="4"/>
  <c r="P756" i="4"/>
  <c r="P757" i="4"/>
  <c r="P758" i="4"/>
  <c r="P759" i="4"/>
  <c r="P760" i="4"/>
  <c r="P761" i="4"/>
  <c r="P762" i="4"/>
  <c r="P763" i="4"/>
  <c r="P764" i="4"/>
  <c r="P765" i="4"/>
  <c r="P766" i="4"/>
  <c r="P767" i="4"/>
  <c r="P31"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839" i="4"/>
  <c r="P840" i="4"/>
  <c r="P841" i="4"/>
  <c r="P842" i="4"/>
  <c r="P843" i="4"/>
  <c r="P844" i="4"/>
  <c r="P845" i="4"/>
  <c r="P846" i="4"/>
  <c r="P7" i="4"/>
  <c r="P847" i="4"/>
  <c r="P848" i="4"/>
  <c r="P849" i="4"/>
  <c r="P850" i="4"/>
  <c r="P851" i="4"/>
  <c r="P852" i="4"/>
  <c r="P853" i="4"/>
  <c r="P854" i="4"/>
  <c r="P855" i="4"/>
  <c r="P856" i="4"/>
  <c r="P857" i="4"/>
  <c r="P858" i="4"/>
  <c r="P859" i="4"/>
  <c r="P860" i="4"/>
  <c r="P861" i="4"/>
  <c r="P862" i="4"/>
  <c r="P863" i="4"/>
  <c r="P864" i="4"/>
  <c r="P865" i="4"/>
  <c r="P44"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952" i="4"/>
  <c r="P953" i="4"/>
  <c r="P954" i="4"/>
  <c r="P955" i="4"/>
  <c r="P956" i="4"/>
  <c r="P95" i="4"/>
  <c r="P957" i="4"/>
  <c r="P958" i="4"/>
  <c r="P959" i="4"/>
  <c r="P960" i="4"/>
  <c r="P961" i="4"/>
  <c r="P962" i="4"/>
  <c r="P963" i="4"/>
  <c r="P964" i="4"/>
  <c r="P965" i="4"/>
  <c r="P966" i="4"/>
  <c r="P967" i="4"/>
  <c r="P968" i="4"/>
  <c r="P969" i="4"/>
  <c r="P970" i="4"/>
  <c r="P971" i="4"/>
  <c r="P972" i="4"/>
  <c r="P973" i="4"/>
  <c r="P974" i="4"/>
  <c r="P975" i="4"/>
  <c r="P976" i="4"/>
  <c r="P977" i="4"/>
  <c r="P978" i="4"/>
  <c r="P67" i="4"/>
  <c r="P979" i="4"/>
  <c r="P980" i="4"/>
  <c r="P981" i="4"/>
  <c r="P982" i="4"/>
  <c r="P983" i="4"/>
  <c r="P984" i="4"/>
  <c r="P985" i="4"/>
  <c r="P986" i="4"/>
  <c r="P55" i="4"/>
  <c r="P987" i="4"/>
  <c r="P45" i="4"/>
  <c r="P988" i="4"/>
  <c r="P989" i="4"/>
  <c r="P990" i="4"/>
  <c r="P991" i="4"/>
  <c r="P992" i="4"/>
  <c r="P993" i="4"/>
  <c r="P994" i="4"/>
  <c r="P995" i="4"/>
  <c r="P996" i="4"/>
  <c r="P997" i="4"/>
  <c r="P998" i="4"/>
  <c r="P999" i="4"/>
  <c r="P1000" i="4"/>
  <c r="P1001" i="4"/>
  <c r="P1002" i="4"/>
  <c r="P1003" i="4"/>
  <c r="P1004" i="4"/>
  <c r="P1005" i="4"/>
  <c r="P1006" i="4"/>
  <c r="P1007" i="4"/>
  <c r="P1008" i="4"/>
  <c r="P1009" i="4"/>
  <c r="P1010" i="4"/>
  <c r="P1011"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1046" i="4"/>
  <c r="P1047" i="4"/>
  <c r="P1048" i="4"/>
  <c r="P1049" i="4"/>
  <c r="P1050" i="4"/>
  <c r="P8" i="4"/>
  <c r="P1051" i="4"/>
  <c r="P1052" i="4"/>
  <c r="P1053" i="4"/>
  <c r="P1054" i="4"/>
  <c r="P1055" i="4"/>
  <c r="P1056" i="4"/>
  <c r="P1057" i="4"/>
  <c r="P1058" i="4"/>
  <c r="P1059" i="4"/>
  <c r="P1060" i="4"/>
  <c r="P77" i="4"/>
  <c r="P1061" i="4"/>
  <c r="P1062" i="4"/>
  <c r="P1063" i="4"/>
  <c r="P17" i="4"/>
  <c r="P1064" i="4"/>
  <c r="P48" i="4"/>
  <c r="P1065" i="4"/>
  <c r="P1066" i="4"/>
  <c r="P1067" i="4"/>
  <c r="P1068" i="4"/>
  <c r="P1069" i="4"/>
  <c r="P1070" i="4"/>
  <c r="P1071" i="4"/>
  <c r="P1072" i="4"/>
  <c r="P1073" i="4"/>
  <c r="P1074" i="4"/>
  <c r="P1075" i="4"/>
  <c r="P1076" i="4"/>
  <c r="P1077" i="4"/>
  <c r="P1078" i="4"/>
  <c r="P1079" i="4"/>
  <c r="P1080" i="4"/>
  <c r="P1081" i="4"/>
  <c r="P1082" i="4"/>
  <c r="P1083" i="4"/>
  <c r="P1084" i="4"/>
  <c r="P1085" i="4"/>
  <c r="P1086" i="4"/>
  <c r="P1087" i="4"/>
  <c r="P1088" i="4"/>
  <c r="P1089" i="4"/>
  <c r="P1090" i="4"/>
  <c r="P1091" i="4"/>
  <c r="P1092" i="4"/>
  <c r="P1093" i="4"/>
  <c r="P85" i="4"/>
  <c r="P1094" i="4"/>
  <c r="P1095" i="4"/>
  <c r="P1096" i="4"/>
  <c r="P1097" i="4"/>
  <c r="P1098" i="4"/>
  <c r="P1099" i="4"/>
  <c r="P1100" i="4"/>
  <c r="P1101" i="4"/>
  <c r="P1102" i="4"/>
  <c r="P1103" i="4"/>
  <c r="P1104" i="4"/>
  <c r="P1105" i="4"/>
  <c r="P1106" i="4"/>
  <c r="P1107" i="4"/>
  <c r="P1108" i="4"/>
  <c r="P1109" i="4"/>
  <c r="P1110" i="4"/>
  <c r="P1111" i="4"/>
  <c r="P1112" i="4"/>
  <c r="P72" i="4"/>
  <c r="P1113" i="4"/>
  <c r="P98" i="4"/>
  <c r="P1114" i="4"/>
  <c r="P1115" i="4"/>
  <c r="P1116" i="4"/>
  <c r="P1117" i="4"/>
  <c r="P1118" i="4"/>
  <c r="P1119" i="4"/>
  <c r="P1120" i="4"/>
  <c r="P1121" i="4"/>
  <c r="P1122" i="4"/>
  <c r="P1123" i="4"/>
  <c r="P1124" i="4"/>
  <c r="P1125" i="4"/>
  <c r="P1126" i="4"/>
  <c r="P1127" i="4"/>
  <c r="P1128" i="4"/>
  <c r="P1129" i="4"/>
  <c r="P1130" i="4"/>
  <c r="P1131" i="4"/>
  <c r="P1132" i="4"/>
  <c r="P1133" i="4"/>
  <c r="P1134" i="4"/>
  <c r="P1135" i="4"/>
  <c r="P1136" i="4"/>
  <c r="P1137" i="4"/>
  <c r="P1138" i="4"/>
  <c r="P1139" i="4"/>
  <c r="P1140" i="4"/>
  <c r="P1141" i="4"/>
  <c r="P1142" i="4"/>
  <c r="P1143" i="4"/>
  <c r="P1144" i="4"/>
  <c r="P1145" i="4"/>
  <c r="P1146" i="4"/>
  <c r="P1147" i="4"/>
  <c r="P1148" i="4"/>
  <c r="P1149" i="4"/>
  <c r="P1150" i="4"/>
  <c r="P1151" i="4"/>
  <c r="P1152" i="4"/>
  <c r="P1153" i="4"/>
  <c r="P1154" i="4"/>
  <c r="P1155" i="4"/>
  <c r="P1156" i="4"/>
  <c r="P1157" i="4"/>
  <c r="P1158" i="4"/>
  <c r="P1159" i="4"/>
  <c r="P1160" i="4"/>
  <c r="P1161" i="4"/>
  <c r="P1162" i="4"/>
  <c r="P1163" i="4"/>
  <c r="P1164" i="4"/>
  <c r="P1165" i="4"/>
  <c r="P1166" i="4"/>
  <c r="P1167" i="4"/>
  <c r="P1168" i="4"/>
  <c r="P1169" i="4"/>
  <c r="P1170" i="4"/>
  <c r="P1171" i="4"/>
  <c r="P1172" i="4"/>
  <c r="P1173" i="4"/>
  <c r="P1174" i="4"/>
  <c r="P1175" i="4"/>
  <c r="P1176" i="4"/>
  <c r="P1177" i="4"/>
  <c r="P1178" i="4"/>
  <c r="P1179" i="4"/>
  <c r="P1180" i="4"/>
  <c r="P1181" i="4"/>
  <c r="P1182" i="4"/>
  <c r="P1183" i="4"/>
  <c r="P1184" i="4"/>
  <c r="P1185" i="4"/>
  <c r="P1186" i="4"/>
  <c r="P1187" i="4"/>
  <c r="P1188" i="4"/>
  <c r="P1189" i="4"/>
  <c r="P1190" i="4"/>
  <c r="P1191" i="4"/>
  <c r="P1192" i="4"/>
  <c r="P1193" i="4"/>
  <c r="P1194" i="4"/>
  <c r="P1195" i="4"/>
  <c r="P73" i="4"/>
  <c r="P1196" i="4"/>
  <c r="P1197" i="4"/>
  <c r="P1198" i="4"/>
  <c r="P1199" i="4"/>
  <c r="P1200" i="4"/>
  <c r="P1201" i="4"/>
  <c r="P1202" i="4"/>
  <c r="P1203" i="4"/>
  <c r="P68" i="4"/>
  <c r="P1204" i="4"/>
  <c r="P1205" i="4"/>
  <c r="P1206" i="4"/>
  <c r="P1207" i="4"/>
  <c r="P111" i="4"/>
  <c r="P1208" i="4"/>
  <c r="P1209" i="4"/>
  <c r="P1210" i="4"/>
  <c r="P1211" i="4"/>
  <c r="P1212" i="4"/>
  <c r="P1213" i="4"/>
  <c r="P1214" i="4"/>
  <c r="P1215" i="4"/>
  <c r="P1216" i="4"/>
  <c r="P1217" i="4"/>
  <c r="P1218" i="4"/>
  <c r="P1219" i="4"/>
  <c r="P1220" i="4"/>
  <c r="P1221" i="4"/>
  <c r="P1222" i="4"/>
  <c r="P1223" i="4"/>
  <c r="P1224" i="4"/>
  <c r="P1225" i="4"/>
  <c r="P1226" i="4"/>
  <c r="P107" i="4"/>
  <c r="P16" i="4"/>
  <c r="P1227" i="4"/>
  <c r="P1228" i="4"/>
  <c r="P1229" i="4"/>
  <c r="P1230" i="4"/>
  <c r="P1231" i="4"/>
  <c r="P1232" i="4"/>
  <c r="P40" i="4"/>
  <c r="P43" i="4"/>
  <c r="P1233" i="4"/>
  <c r="P1234" i="4"/>
  <c r="P1235" i="4"/>
  <c r="P1236" i="4"/>
  <c r="P1237" i="4"/>
  <c r="P1238" i="4"/>
  <c r="P1239" i="4"/>
  <c r="P1240" i="4"/>
  <c r="P1241" i="4"/>
  <c r="P1242" i="4"/>
  <c r="P1243" i="4"/>
  <c r="P1244" i="4"/>
  <c r="P1245" i="4"/>
  <c r="P1246" i="4"/>
  <c r="P1247" i="4"/>
  <c r="P1248" i="4"/>
  <c r="P1249" i="4"/>
  <c r="P105" i="4"/>
  <c r="P60" i="4"/>
  <c r="P88" i="4"/>
  <c r="P96" i="4"/>
  <c r="P1250" i="4"/>
  <c r="P1251" i="4"/>
  <c r="P1252" i="4"/>
  <c r="P1253" i="4"/>
  <c r="P1254" i="4"/>
  <c r="P1255" i="4"/>
  <c r="P1256" i="4"/>
  <c r="P1257" i="4"/>
  <c r="P1258" i="4"/>
  <c r="P1259" i="4"/>
  <c r="P1260" i="4"/>
  <c r="P1261" i="4"/>
  <c r="P1262" i="4"/>
  <c r="P1263" i="4"/>
  <c r="P1264" i="4"/>
  <c r="P1265" i="4"/>
  <c r="P1266" i="4"/>
  <c r="P1267" i="4"/>
  <c r="P1268" i="4"/>
  <c r="P1269" i="4"/>
  <c r="P1270" i="4"/>
  <c r="P1271" i="4"/>
  <c r="P1272" i="4"/>
  <c r="P1273" i="4"/>
  <c r="P1274" i="4"/>
  <c r="P1275" i="4"/>
  <c r="P1276" i="4"/>
  <c r="P101" i="4"/>
  <c r="P1277" i="4"/>
  <c r="P1278" i="4"/>
  <c r="P1279" i="4"/>
  <c r="P1280" i="4"/>
  <c r="P1281" i="4"/>
  <c r="P1282" i="4"/>
  <c r="P1283" i="4"/>
  <c r="P1284" i="4"/>
  <c r="P1285" i="4"/>
  <c r="P1286" i="4"/>
  <c r="P1287" i="4"/>
  <c r="P1288" i="4"/>
  <c r="P1289" i="4"/>
  <c r="P1290" i="4"/>
  <c r="P1291" i="4"/>
  <c r="P1292" i="4"/>
  <c r="P1293" i="4"/>
  <c r="P1294" i="4"/>
  <c r="P1295" i="4"/>
  <c r="P1296" i="4"/>
  <c r="P1297" i="4"/>
  <c r="P104" i="4"/>
  <c r="P1298" i="4"/>
  <c r="P1299" i="4"/>
  <c r="P1300" i="4"/>
  <c r="P1301" i="4"/>
  <c r="P1302" i="4"/>
  <c r="P1303" i="4"/>
  <c r="P1304" i="4"/>
  <c r="P1305" i="4"/>
  <c r="P1306" i="4"/>
  <c r="P1307" i="4"/>
  <c r="P1308" i="4"/>
  <c r="P1309" i="4"/>
  <c r="P1310" i="4"/>
  <c r="P1311" i="4"/>
  <c r="P9" i="4"/>
  <c r="P1312" i="4"/>
  <c r="P1313" i="4"/>
  <c r="P1314" i="4"/>
  <c r="P1315" i="4"/>
  <c r="P1316" i="4"/>
  <c r="P1317" i="4"/>
  <c r="P1318" i="4"/>
  <c r="P1319" i="4"/>
  <c r="P1320" i="4"/>
  <c r="P1321" i="4"/>
  <c r="P1322" i="4"/>
  <c r="P1323" i="4"/>
  <c r="P1324" i="4"/>
  <c r="P1325" i="4"/>
  <c r="P1326" i="4"/>
  <c r="P1327" i="4"/>
  <c r="P1328" i="4"/>
  <c r="P1329" i="4"/>
  <c r="P1330" i="4"/>
  <c r="P1331" i="4"/>
  <c r="P1332" i="4"/>
  <c r="P1333" i="4"/>
  <c r="P1334" i="4"/>
  <c r="P1335" i="4"/>
  <c r="P1336" i="4"/>
  <c r="P1337" i="4"/>
  <c r="P1338" i="4"/>
  <c r="P1339" i="4"/>
  <c r="P1340" i="4"/>
  <c r="P1341" i="4"/>
  <c r="P1342" i="4"/>
  <c r="P1343" i="4"/>
  <c r="P1344" i="4"/>
  <c r="P1345" i="4"/>
  <c r="P1346" i="4"/>
  <c r="P1347" i="4"/>
  <c r="P1348" i="4"/>
  <c r="P1349" i="4"/>
  <c r="P1350" i="4"/>
  <c r="P1351" i="4"/>
  <c r="P1352" i="4"/>
  <c r="P1353" i="4"/>
  <c r="P1354" i="4"/>
  <c r="P1355" i="4"/>
  <c r="P1356" i="4"/>
  <c r="P1357" i="4"/>
  <c r="P1358" i="4"/>
  <c r="P99" i="4"/>
  <c r="P1359" i="4"/>
  <c r="P1360" i="4"/>
  <c r="P1361" i="4"/>
  <c r="P1362" i="4"/>
  <c r="P1363" i="4"/>
  <c r="P1364" i="4"/>
  <c r="P1365" i="4"/>
  <c r="P10" i="4"/>
  <c r="P1366" i="4"/>
  <c r="P1367" i="4"/>
  <c r="P15" i="4"/>
  <c r="P1368" i="4"/>
  <c r="P1369" i="4"/>
  <c r="P1370" i="4"/>
  <c r="P110" i="4"/>
  <c r="P108" i="4"/>
  <c r="P1371" i="4"/>
  <c r="P1372" i="4"/>
  <c r="P81" i="4"/>
  <c r="P1373" i="4"/>
  <c r="P46" i="4"/>
  <c r="P1374" i="4"/>
  <c r="P18" i="4"/>
  <c r="P11" i="4"/>
  <c r="P82" i="4"/>
  <c r="P1375" i="4"/>
  <c r="P1376" i="4"/>
  <c r="P1377" i="4"/>
  <c r="P57" i="4"/>
  <c r="P36" i="4"/>
  <c r="P1378" i="4"/>
  <c r="P1379" i="4"/>
  <c r="P1380" i="4"/>
  <c r="P65" i="4"/>
  <c r="P32" i="4"/>
  <c r="P1381" i="4"/>
  <c r="P97" i="4"/>
  <c r="P89" i="4"/>
  <c r="P90" i="4"/>
  <c r="P93" i="4"/>
  <c r="P26" i="4"/>
  <c r="P1382" i="4"/>
  <c r="P1383" i="4"/>
  <c r="P75" i="4"/>
  <c r="P1384" i="4"/>
  <c r="P1385" i="4"/>
  <c r="P1386" i="4"/>
  <c r="P78" i="4"/>
  <c r="P1387" i="4"/>
  <c r="P1388" i="4"/>
  <c r="P1389" i="4"/>
  <c r="P1390" i="4"/>
  <c r="P1391" i="4"/>
  <c r="P1392" i="4"/>
  <c r="P1393" i="4"/>
  <c r="P49" i="4"/>
  <c r="P1394" i="4"/>
  <c r="P1395" i="4"/>
  <c r="P69" i="4"/>
  <c r="P12" i="4"/>
  <c r="P19" i="4"/>
  <c r="P1396" i="4"/>
  <c r="P58" i="4"/>
  <c r="P1397" i="4"/>
  <c r="P1398" i="4"/>
  <c r="P22" i="4"/>
  <c r="P1399" i="4"/>
  <c r="P27" i="4"/>
  <c r="P24" i="4"/>
  <c r="P1400" i="4"/>
  <c r="P1401" i="4"/>
  <c r="P1402" i="4"/>
  <c r="P100" i="4"/>
  <c r="P1403" i="4"/>
  <c r="P70" i="4"/>
  <c r="P1404" i="4"/>
  <c r="P1405" i="4"/>
  <c r="P83" i="4"/>
  <c r="P1406" i="4"/>
  <c r="P1407" i="4"/>
  <c r="P1408" i="4"/>
  <c r="P61" i="4"/>
  <c r="P1409" i="4"/>
  <c r="P25" i="4"/>
  <c r="P20" i="4"/>
  <c r="P1410" i="4"/>
  <c r="P1411" i="4"/>
  <c r="P1412" i="4"/>
  <c r="P1413" i="4"/>
  <c r="P28" i="4"/>
  <c r="P29" i="4"/>
  <c r="P23" i="4"/>
  <c r="P38" i="4"/>
  <c r="P35" i="4"/>
  <c r="P37" i="4"/>
  <c r="P51" i="4"/>
  <c r="P39" i="4"/>
  <c r="P41" i="4"/>
  <c r="P50" i="4"/>
  <c r="P47" i="4"/>
  <c r="P62" i="4"/>
  <c r="P1414" i="4"/>
  <c r="P52" i="4"/>
  <c r="P33" i="4"/>
  <c r="P63" i="4"/>
  <c r="P109" i="4"/>
  <c r="P84" i="4"/>
  <c r="P1415" i="4"/>
  <c r="P54" i="4"/>
  <c r="P53" i="4"/>
  <c r="P59" i="4"/>
  <c r="P86" i="4"/>
  <c r="P66" i="4"/>
  <c r="P79" i="4"/>
  <c r="P1416" i="4"/>
  <c r="P1417" i="4"/>
  <c r="P42" i="4"/>
  <c r="P30" i="4"/>
  <c r="P1418" i="4"/>
  <c r="P13" i="4"/>
  <c r="P1419" i="4"/>
  <c r="P1420" i="4"/>
  <c r="P21" i="4"/>
  <c r="P1421" i="4"/>
  <c r="P1422" i="4"/>
  <c r="P1423" i="4"/>
  <c r="P1424" i="4"/>
  <c r="P1425" i="4"/>
  <c r="P1426" i="4"/>
  <c r="P1427" i="4"/>
  <c r="P1428" i="4"/>
  <c r="P1429" i="4"/>
  <c r="P1430" i="4"/>
  <c r="P1431" i="4"/>
  <c r="P1432" i="4"/>
  <c r="P1433" i="4"/>
  <c r="P14" i="4"/>
  <c r="P1434" i="4"/>
  <c r="P71" i="4"/>
  <c r="P1435" i="4"/>
  <c r="P1436" i="4"/>
  <c r="P1437" i="4"/>
  <c r="A112" i="4"/>
  <c r="A116" i="4"/>
  <c r="A120" i="4"/>
  <c r="A124" i="4"/>
  <c r="A128" i="4"/>
  <c r="A132" i="4"/>
  <c r="A136" i="4"/>
  <c r="A140" i="4"/>
  <c r="A144" i="4"/>
  <c r="A148" i="4"/>
  <c r="A152" i="4"/>
  <c r="A156" i="4"/>
  <c r="A160" i="4"/>
  <c r="A164" i="4"/>
  <c r="A168" i="4"/>
  <c r="A172" i="4"/>
  <c r="A176" i="4"/>
  <c r="A180" i="4"/>
  <c r="A184" i="4"/>
  <c r="A188" i="4"/>
  <c r="A191" i="4"/>
  <c r="A195" i="4"/>
  <c r="A199" i="4"/>
  <c r="A203" i="4"/>
  <c r="A207" i="4"/>
  <c r="A211" i="4"/>
  <c r="A215" i="4"/>
  <c r="A219" i="4"/>
  <c r="A223" i="4"/>
  <c r="A227" i="4"/>
  <c r="A231" i="4"/>
  <c r="A234" i="4"/>
  <c r="A238" i="4"/>
  <c r="A242" i="4"/>
  <c r="A246" i="4"/>
  <c r="A250" i="4"/>
  <c r="A254" i="4"/>
  <c r="A258" i="4"/>
  <c r="A262" i="4"/>
  <c r="A266" i="4"/>
  <c r="A270" i="4"/>
  <c r="A274" i="4"/>
  <c r="A277" i="4"/>
  <c r="A281" i="4"/>
  <c r="A285" i="4"/>
  <c r="A289" i="4"/>
  <c r="A293" i="4"/>
  <c r="A297" i="4"/>
  <c r="A301" i="4"/>
  <c r="A305" i="4"/>
  <c r="A309" i="4"/>
  <c r="A312" i="4"/>
  <c r="A316" i="4"/>
  <c r="A320" i="4"/>
  <c r="A324" i="4"/>
  <c r="A328" i="4"/>
  <c r="A332" i="4"/>
  <c r="A336" i="4"/>
  <c r="A340" i="4"/>
  <c r="A344" i="4"/>
  <c r="A348" i="4"/>
  <c r="A352" i="4"/>
  <c r="A355" i="4"/>
  <c r="A359" i="4"/>
  <c r="A56" i="4"/>
  <c r="A366" i="4"/>
  <c r="A370" i="4"/>
  <c r="A374" i="4"/>
  <c r="A378" i="4"/>
  <c r="A382" i="4"/>
  <c r="A386" i="4"/>
  <c r="A390" i="4"/>
  <c r="A394" i="4"/>
  <c r="A398" i="4"/>
  <c r="A402" i="4"/>
  <c r="A406" i="4"/>
  <c r="A410" i="4"/>
  <c r="A414" i="4"/>
  <c r="A418" i="4"/>
  <c r="A422" i="4"/>
  <c r="A426" i="4"/>
  <c r="A430" i="4"/>
  <c r="A434" i="4"/>
  <c r="A438" i="4"/>
  <c r="A442" i="4"/>
  <c r="A446" i="4"/>
  <c r="A450" i="4"/>
  <c r="A454" i="4"/>
  <c r="A458" i="4"/>
  <c r="A462" i="4"/>
  <c r="A466" i="4"/>
  <c r="A470" i="4"/>
  <c r="A474" i="4"/>
  <c r="A478" i="4"/>
  <c r="A482" i="4"/>
  <c r="A486" i="4"/>
  <c r="A490" i="4"/>
  <c r="A494" i="4"/>
  <c r="A498" i="4"/>
  <c r="A502" i="4"/>
  <c r="A506" i="4"/>
  <c r="A510" i="4"/>
  <c r="A514" i="4"/>
  <c r="A518" i="4"/>
  <c r="A522" i="4"/>
  <c r="A526" i="4"/>
  <c r="A530" i="4"/>
  <c r="A534" i="4"/>
  <c r="A538" i="4"/>
  <c r="A542" i="4"/>
  <c r="A546" i="4"/>
  <c r="A550" i="4"/>
  <c r="A554" i="4"/>
  <c r="A558" i="4"/>
  <c r="A562" i="4"/>
  <c r="A566" i="4"/>
  <c r="A570" i="4"/>
  <c r="A574" i="4"/>
  <c r="A578" i="4"/>
  <c r="A582" i="4"/>
  <c r="A586" i="4"/>
  <c r="A590" i="4"/>
  <c r="A594" i="4"/>
  <c r="A106" i="4"/>
  <c r="A599" i="4"/>
  <c r="A603" i="4"/>
  <c r="A606" i="4"/>
  <c r="A113" i="4"/>
  <c r="A117" i="4"/>
  <c r="A121" i="4"/>
  <c r="A125" i="4"/>
  <c r="A129" i="4"/>
  <c r="A133" i="4"/>
  <c r="A137" i="4"/>
  <c r="A141" i="4"/>
  <c r="A145" i="4"/>
  <c r="A149" i="4"/>
  <c r="A153" i="4"/>
  <c r="A157" i="4"/>
  <c r="A161" i="4"/>
  <c r="A165" i="4"/>
  <c r="A169" i="4"/>
  <c r="A173" i="4"/>
  <c r="A177" i="4"/>
  <c r="A181" i="4"/>
  <c r="A185" i="4"/>
  <c r="A189" i="4"/>
  <c r="A192" i="4"/>
  <c r="A196" i="4"/>
  <c r="A200" i="4"/>
  <c r="A204" i="4"/>
  <c r="A208" i="4"/>
  <c r="A212" i="4"/>
  <c r="A216" i="4"/>
  <c r="A220" i="4"/>
  <c r="A224" i="4"/>
  <c r="A228" i="4"/>
  <c r="A64" i="4"/>
  <c r="A235" i="4"/>
  <c r="A239" i="4"/>
  <c r="A243" i="4"/>
  <c r="A247" i="4"/>
  <c r="A251" i="4"/>
  <c r="A255" i="4"/>
  <c r="A259" i="4"/>
  <c r="A263" i="4"/>
  <c r="A267" i="4"/>
  <c r="A271" i="4"/>
  <c r="A275" i="4"/>
  <c r="A278" i="4"/>
  <c r="A282" i="4"/>
  <c r="A286" i="4"/>
  <c r="A290" i="4"/>
  <c r="A294" i="4"/>
  <c r="A298" i="4"/>
  <c r="A302" i="4"/>
  <c r="A306" i="4"/>
  <c r="A310" i="4"/>
  <c r="A313" i="4"/>
  <c r="A317" i="4"/>
  <c r="A321" i="4"/>
  <c r="A325" i="4"/>
  <c r="A329" i="4"/>
  <c r="A333" i="4"/>
  <c r="A337" i="4"/>
  <c r="A341" i="4"/>
  <c r="A345" i="4"/>
  <c r="A349" i="4"/>
  <c r="A353" i="4"/>
  <c r="A356" i="4"/>
  <c r="A360" i="4"/>
  <c r="A363" i="4"/>
  <c r="A367" i="4"/>
  <c r="A371" i="4"/>
  <c r="A375" i="4"/>
  <c r="A379" i="4"/>
  <c r="A383" i="4"/>
  <c r="A387" i="4"/>
  <c r="A391" i="4"/>
  <c r="A395" i="4"/>
  <c r="A399" i="4"/>
  <c r="A403" i="4"/>
  <c r="A407" i="4"/>
  <c r="A411" i="4"/>
  <c r="A415" i="4"/>
  <c r="A419" i="4"/>
  <c r="A423" i="4"/>
  <c r="A427" i="4"/>
  <c r="A431" i="4"/>
  <c r="A435" i="4"/>
  <c r="A439" i="4"/>
  <c r="A443" i="4"/>
  <c r="A447" i="4"/>
  <c r="A451" i="4"/>
  <c r="A455" i="4"/>
  <c r="A459" i="4"/>
  <c r="A463" i="4"/>
  <c r="A467" i="4"/>
  <c r="A471" i="4"/>
  <c r="A475" i="4"/>
  <c r="A479" i="4"/>
  <c r="A483" i="4"/>
  <c r="A487" i="4"/>
  <c r="A491" i="4"/>
  <c r="A495" i="4"/>
  <c r="A499" i="4"/>
  <c r="A503" i="4"/>
  <c r="A507" i="4"/>
  <c r="A511" i="4"/>
  <c r="A515" i="4"/>
  <c r="A519" i="4"/>
  <c r="A523" i="4"/>
  <c r="A527" i="4"/>
  <c r="A531" i="4"/>
  <c r="A535" i="4"/>
  <c r="A539" i="4"/>
  <c r="A543" i="4"/>
  <c r="A547" i="4"/>
  <c r="A551" i="4"/>
  <c r="A555" i="4"/>
  <c r="A559" i="4"/>
  <c r="A563" i="4"/>
  <c r="A567" i="4"/>
  <c r="A571" i="4"/>
  <c r="A575" i="4"/>
  <c r="A579" i="4"/>
  <c r="A583" i="4"/>
  <c r="A587" i="4"/>
  <c r="A591" i="4"/>
  <c r="A595" i="4"/>
  <c r="A76" i="4"/>
  <c r="A600" i="4"/>
  <c r="A604" i="4"/>
  <c r="A607" i="4"/>
  <c r="A114" i="4"/>
  <c r="A122" i="4"/>
  <c r="A130" i="4"/>
  <c r="A138" i="4"/>
  <c r="A146" i="4"/>
  <c r="A154" i="4"/>
  <c r="A162" i="4"/>
  <c r="A170" i="4"/>
  <c r="A178" i="4"/>
  <c r="A186" i="4"/>
  <c r="A193" i="4"/>
  <c r="A201" i="4"/>
  <c r="A209" i="4"/>
  <c r="A217" i="4"/>
  <c r="A225" i="4"/>
  <c r="A232" i="4"/>
  <c r="A240" i="4"/>
  <c r="A248" i="4"/>
  <c r="A256" i="4"/>
  <c r="A264" i="4"/>
  <c r="A272" i="4"/>
  <c r="A279" i="4"/>
  <c r="A287" i="4"/>
  <c r="A295" i="4"/>
  <c r="A303" i="4"/>
  <c r="A6" i="4"/>
  <c r="A318" i="4"/>
  <c r="A326" i="4"/>
  <c r="A334" i="4"/>
  <c r="A342" i="4"/>
  <c r="A350" i="4"/>
  <c r="A357" i="4"/>
  <c r="A364" i="4"/>
  <c r="A372" i="4"/>
  <c r="A380" i="4"/>
  <c r="A388" i="4"/>
  <c r="A396" i="4"/>
  <c r="A404" i="4"/>
  <c r="A412" i="4"/>
  <c r="A420" i="4"/>
  <c r="A428" i="4"/>
  <c r="A436" i="4"/>
  <c r="A444" i="4"/>
  <c r="A452" i="4"/>
  <c r="A460" i="4"/>
  <c r="A468" i="4"/>
  <c r="A476" i="4"/>
  <c r="A484" i="4"/>
  <c r="A492" i="4"/>
  <c r="A500" i="4"/>
  <c r="A508" i="4"/>
  <c r="A516" i="4"/>
  <c r="A524" i="4"/>
  <c r="A532" i="4"/>
  <c r="A540" i="4"/>
  <c r="A548" i="4"/>
  <c r="A556" i="4"/>
  <c r="A564" i="4"/>
  <c r="A572" i="4"/>
  <c r="A580" i="4"/>
  <c r="A588" i="4"/>
  <c r="A596" i="4"/>
  <c r="A601" i="4"/>
  <c r="A608" i="4"/>
  <c r="A612" i="4"/>
  <c r="A616" i="4"/>
  <c r="A620" i="4"/>
  <c r="A624" i="4"/>
  <c r="A628" i="4"/>
  <c r="A632" i="4"/>
  <c r="A636" i="4"/>
  <c r="A640" i="4"/>
  <c r="A643" i="4"/>
  <c r="A647" i="4"/>
  <c r="A651" i="4"/>
  <c r="A655" i="4"/>
  <c r="A659" i="4"/>
  <c r="A663" i="4"/>
  <c r="A667" i="4"/>
  <c r="A671" i="4"/>
  <c r="A674" i="4"/>
  <c r="A678" i="4"/>
  <c r="A682" i="4"/>
  <c r="A686" i="4"/>
  <c r="A690" i="4"/>
  <c r="A694" i="4"/>
  <c r="A698" i="4"/>
  <c r="A702" i="4"/>
  <c r="A706" i="4"/>
  <c r="A710" i="4"/>
  <c r="A714" i="4"/>
  <c r="A718" i="4"/>
  <c r="A722" i="4"/>
  <c r="A726" i="4"/>
  <c r="A730" i="4"/>
  <c r="A734" i="4"/>
  <c r="A738" i="4"/>
  <c r="A742" i="4"/>
  <c r="A746" i="4"/>
  <c r="A750" i="4"/>
  <c r="A752" i="4"/>
  <c r="A756" i="4"/>
  <c r="A760" i="4"/>
  <c r="A764" i="4"/>
  <c r="A31" i="4"/>
  <c r="A771" i="4"/>
  <c r="A775" i="4"/>
  <c r="A779" i="4"/>
  <c r="A783" i="4"/>
  <c r="A787" i="4"/>
  <c r="A791" i="4"/>
  <c r="A795" i="4"/>
  <c r="A799" i="4"/>
  <c r="A803" i="4"/>
  <c r="A807" i="4"/>
  <c r="A811" i="4"/>
  <c r="A815" i="4"/>
  <c r="A819" i="4"/>
  <c r="A823" i="4"/>
  <c r="A827" i="4"/>
  <c r="A831" i="4"/>
  <c r="A835" i="4"/>
  <c r="A839" i="4"/>
  <c r="A843" i="4"/>
  <c r="A7" i="4"/>
  <c r="A850" i="4"/>
  <c r="A854" i="4"/>
  <c r="A858" i="4"/>
  <c r="A862" i="4"/>
  <c r="A44" i="4"/>
  <c r="A869" i="4"/>
  <c r="A873" i="4"/>
  <c r="A877" i="4"/>
  <c r="A881" i="4"/>
  <c r="A885" i="4"/>
  <c r="A889" i="4"/>
  <c r="A893" i="4"/>
  <c r="A897" i="4"/>
  <c r="A901" i="4"/>
  <c r="A905" i="4"/>
  <c r="A909" i="4"/>
  <c r="A913" i="4"/>
  <c r="A917" i="4"/>
  <c r="A921" i="4"/>
  <c r="A925" i="4"/>
  <c r="A929" i="4"/>
  <c r="A933" i="4"/>
  <c r="A937" i="4"/>
  <c r="A941" i="4"/>
  <c r="A945" i="4"/>
  <c r="A949" i="4"/>
  <c r="A953" i="4"/>
  <c r="A95" i="4"/>
  <c r="A960" i="4"/>
  <c r="A964" i="4"/>
  <c r="A968" i="4"/>
  <c r="A972" i="4"/>
  <c r="A976" i="4"/>
  <c r="A979" i="4"/>
  <c r="A983" i="4"/>
  <c r="A55" i="4"/>
  <c r="A989" i="4"/>
  <c r="A993" i="4"/>
  <c r="A997" i="4"/>
  <c r="A1001" i="4"/>
  <c r="A1005" i="4"/>
  <c r="A1009" i="4"/>
  <c r="A1013" i="4"/>
  <c r="A1017" i="4"/>
  <c r="A1021" i="4"/>
  <c r="A1025" i="4"/>
  <c r="A1029" i="4"/>
  <c r="A1033" i="4"/>
  <c r="A1037" i="4"/>
  <c r="A1041" i="4"/>
  <c r="A1045" i="4"/>
  <c r="A1049" i="4"/>
  <c r="A1052" i="4"/>
  <c r="A1056" i="4"/>
  <c r="A1060" i="4"/>
  <c r="A1063" i="4"/>
  <c r="A1065" i="4"/>
  <c r="A1069" i="4"/>
  <c r="A1073" i="4"/>
  <c r="A1077" i="4"/>
  <c r="A1081" i="4"/>
  <c r="A1085" i="4"/>
  <c r="A1089" i="4"/>
  <c r="A1093" i="4"/>
  <c r="A1096" i="4"/>
  <c r="A1100" i="4"/>
  <c r="A1104" i="4"/>
  <c r="A1108" i="4"/>
  <c r="A1112" i="4"/>
  <c r="A1114" i="4"/>
  <c r="A1118" i="4"/>
  <c r="A1122" i="4"/>
  <c r="A1126" i="4"/>
  <c r="A1130" i="4"/>
  <c r="A1134" i="4"/>
  <c r="A1138" i="4"/>
  <c r="A1142" i="4"/>
  <c r="A1146" i="4"/>
  <c r="A1150" i="4"/>
  <c r="A1154" i="4"/>
  <c r="A1158" i="4"/>
  <c r="A1162" i="4"/>
  <c r="A1166" i="4"/>
  <c r="A1170" i="4"/>
  <c r="A1174" i="4"/>
  <c r="A1178" i="4"/>
  <c r="A1182" i="4"/>
  <c r="A1186" i="4"/>
  <c r="A1190" i="4"/>
  <c r="A1194" i="4"/>
  <c r="A1197" i="4"/>
  <c r="A1201" i="4"/>
  <c r="A1204" i="4"/>
  <c r="A111" i="4"/>
  <c r="A1211" i="4"/>
  <c r="A1215" i="4"/>
  <c r="A1219" i="4"/>
  <c r="A1223" i="4"/>
  <c r="A107" i="4"/>
  <c r="A1229" i="4"/>
  <c r="A40" i="4"/>
  <c r="A1235" i="4"/>
  <c r="A1239" i="4"/>
  <c r="A1243" i="4"/>
  <c r="A1247" i="4"/>
  <c r="A60" i="4"/>
  <c r="A1251" i="4"/>
  <c r="A1255" i="4"/>
  <c r="A1259" i="4"/>
  <c r="A1263" i="4"/>
  <c r="A1267" i="4"/>
  <c r="A1271" i="4"/>
  <c r="A1275" i="4"/>
  <c r="A1278" i="4"/>
  <c r="A1282" i="4"/>
  <c r="A1286" i="4"/>
  <c r="A1290" i="4"/>
  <c r="A1294" i="4"/>
  <c r="A104" i="4"/>
  <c r="A1301" i="4"/>
  <c r="A1305" i="4"/>
  <c r="A1309" i="4"/>
  <c r="A1312" i="4"/>
  <c r="A1316" i="4"/>
  <c r="A1320" i="4"/>
  <c r="A1324" i="4"/>
  <c r="A1328" i="4"/>
  <c r="A1332" i="4"/>
  <c r="A1336" i="4"/>
  <c r="A1340" i="4"/>
  <c r="A115" i="4"/>
  <c r="A123" i="4"/>
  <c r="A131" i="4"/>
  <c r="A139" i="4"/>
  <c r="A147" i="4"/>
  <c r="A155" i="4"/>
  <c r="A163" i="4"/>
  <c r="A171" i="4"/>
  <c r="A179" i="4"/>
  <c r="A187" i="4"/>
  <c r="A194" i="4"/>
  <c r="A202" i="4"/>
  <c r="A210" i="4"/>
  <c r="A218" i="4"/>
  <c r="A226" i="4"/>
  <c r="A233" i="4"/>
  <c r="A241" i="4"/>
  <c r="A249" i="4"/>
  <c r="A257" i="4"/>
  <c r="A265" i="4"/>
  <c r="A273" i="4"/>
  <c r="A280" i="4"/>
  <c r="A288" i="4"/>
  <c r="A296" i="4"/>
  <c r="A304" i="4"/>
  <c r="A311" i="4"/>
  <c r="A319" i="4"/>
  <c r="A327" i="4"/>
  <c r="A335" i="4"/>
  <c r="A343" i="4"/>
  <c r="A351" i="4"/>
  <c r="A358" i="4"/>
  <c r="A365" i="4"/>
  <c r="A373" i="4"/>
  <c r="A381" i="4"/>
  <c r="A389" i="4"/>
  <c r="A397" i="4"/>
  <c r="A405" i="4"/>
  <c r="A413" i="4"/>
  <c r="A421" i="4"/>
  <c r="A429" i="4"/>
  <c r="A437" i="4"/>
  <c r="A445" i="4"/>
  <c r="A453" i="4"/>
  <c r="A461" i="4"/>
  <c r="A469" i="4"/>
  <c r="A477" i="4"/>
  <c r="A485" i="4"/>
  <c r="A493" i="4"/>
  <c r="A501" i="4"/>
  <c r="A509" i="4"/>
  <c r="A517" i="4"/>
  <c r="A525" i="4"/>
  <c r="A533" i="4"/>
  <c r="A541" i="4"/>
  <c r="A549" i="4"/>
  <c r="A557" i="4"/>
  <c r="A565" i="4"/>
  <c r="A573" i="4"/>
  <c r="A581" i="4"/>
  <c r="A589" i="4"/>
  <c r="A74" i="4"/>
  <c r="A602" i="4"/>
  <c r="A609" i="4"/>
  <c r="A613" i="4"/>
  <c r="A617" i="4"/>
  <c r="A621" i="4"/>
  <c r="A625" i="4"/>
  <c r="A629" i="4"/>
  <c r="A633" i="4"/>
  <c r="A637" i="4"/>
  <c r="A641" i="4"/>
  <c r="A644" i="4"/>
  <c r="A648" i="4"/>
  <c r="A652" i="4"/>
  <c r="A656" i="4"/>
  <c r="A660" i="4"/>
  <c r="A664" i="4"/>
  <c r="A668" i="4"/>
  <c r="A92" i="4"/>
  <c r="A675" i="4"/>
  <c r="A679" i="4"/>
  <c r="A683" i="4"/>
  <c r="A687" i="4"/>
  <c r="A691" i="4"/>
  <c r="A695" i="4"/>
  <c r="A699" i="4"/>
  <c r="A703" i="4"/>
  <c r="A707" i="4"/>
  <c r="A711" i="4"/>
  <c r="A715" i="4"/>
  <c r="A719" i="4"/>
  <c r="A723" i="4"/>
  <c r="A727" i="4"/>
  <c r="A731" i="4"/>
  <c r="A735" i="4"/>
  <c r="A739" i="4"/>
  <c r="A743" i="4"/>
  <c r="A747" i="4"/>
  <c r="A751" i="4"/>
  <c r="A753" i="4"/>
  <c r="A757" i="4"/>
  <c r="A761" i="4"/>
  <c r="A765" i="4"/>
  <c r="A768" i="4"/>
  <c r="A772" i="4"/>
  <c r="A776" i="4"/>
  <c r="A780" i="4"/>
  <c r="A784" i="4"/>
  <c r="A788" i="4"/>
  <c r="A792" i="4"/>
  <c r="A796" i="4"/>
  <c r="A800" i="4"/>
  <c r="A804" i="4"/>
  <c r="A808" i="4"/>
  <c r="A812" i="4"/>
  <c r="A816" i="4"/>
  <c r="A820" i="4"/>
  <c r="A824" i="4"/>
  <c r="A828" i="4"/>
  <c r="A832" i="4"/>
  <c r="A836" i="4"/>
  <c r="A840" i="4"/>
  <c r="A844" i="4"/>
  <c r="A847" i="4"/>
  <c r="A851" i="4"/>
  <c r="A855" i="4"/>
  <c r="A859" i="4"/>
  <c r="A863" i="4"/>
  <c r="A866" i="4"/>
  <c r="A870" i="4"/>
  <c r="A874" i="4"/>
  <c r="A878" i="4"/>
  <c r="A882" i="4"/>
  <c r="A886" i="4"/>
  <c r="A890" i="4"/>
  <c r="A894" i="4"/>
  <c r="A898" i="4"/>
  <c r="A902" i="4"/>
  <c r="A906" i="4"/>
  <c r="A910" i="4"/>
  <c r="A914" i="4"/>
  <c r="A918" i="4"/>
  <c r="A922" i="4"/>
  <c r="A926" i="4"/>
  <c r="A930" i="4"/>
  <c r="A934" i="4"/>
  <c r="A938" i="4"/>
  <c r="A942" i="4"/>
  <c r="A946" i="4"/>
  <c r="A950" i="4"/>
  <c r="A954" i="4"/>
  <c r="A957" i="4"/>
  <c r="A961" i="4"/>
  <c r="A965" i="4"/>
  <c r="A969" i="4"/>
  <c r="A973" i="4"/>
  <c r="A977" i="4"/>
  <c r="A980" i="4"/>
  <c r="A984" i="4"/>
  <c r="A987" i="4"/>
  <c r="A990" i="4"/>
  <c r="A994" i="4"/>
  <c r="A998" i="4"/>
  <c r="A1002" i="4"/>
  <c r="A1006" i="4"/>
  <c r="A1010" i="4"/>
  <c r="A1014" i="4"/>
  <c r="A1018" i="4"/>
  <c r="A1022" i="4"/>
  <c r="A1026" i="4"/>
  <c r="A1030" i="4"/>
  <c r="A1034" i="4"/>
  <c r="A1038" i="4"/>
  <c r="A1042" i="4"/>
  <c r="A1046" i="4"/>
  <c r="A1050" i="4"/>
  <c r="A1053" i="4"/>
  <c r="A1057" i="4"/>
  <c r="A77" i="4"/>
  <c r="A17" i="4"/>
  <c r="A1066" i="4"/>
  <c r="A1070" i="4"/>
  <c r="A1074" i="4"/>
  <c r="A1078" i="4"/>
  <c r="A1082" i="4"/>
  <c r="A1086" i="4"/>
  <c r="A1090" i="4"/>
  <c r="A85" i="4"/>
  <c r="A1097" i="4"/>
  <c r="A1101" i="4"/>
  <c r="A1105" i="4"/>
  <c r="A1109" i="4"/>
  <c r="A72" i="4"/>
  <c r="A1115" i="4"/>
  <c r="A1119" i="4"/>
  <c r="A1123" i="4"/>
  <c r="A1127" i="4"/>
  <c r="A1131" i="4"/>
  <c r="A1135" i="4"/>
  <c r="A1139" i="4"/>
  <c r="A1143" i="4"/>
  <c r="A1147" i="4"/>
  <c r="A1151" i="4"/>
  <c r="A1155" i="4"/>
  <c r="A1159" i="4"/>
  <c r="A1163" i="4"/>
  <c r="A1167" i="4"/>
  <c r="A1171" i="4"/>
  <c r="A1175" i="4"/>
  <c r="A1179" i="4"/>
  <c r="A1183" i="4"/>
  <c r="A1187" i="4"/>
  <c r="A1191" i="4"/>
  <c r="A1195" i="4"/>
  <c r="A1198" i="4"/>
  <c r="A1202" i="4"/>
  <c r="A1205" i="4"/>
  <c r="A1208" i="4"/>
  <c r="A1212" i="4"/>
  <c r="A1216" i="4"/>
  <c r="A1220" i="4"/>
  <c r="A1224" i="4"/>
  <c r="A16" i="4"/>
  <c r="A1230" i="4"/>
  <c r="A43" i="4"/>
  <c r="A1236" i="4"/>
  <c r="A1240" i="4"/>
  <c r="A1244" i="4"/>
  <c r="A1248" i="4"/>
  <c r="A88" i="4"/>
  <c r="A1252" i="4"/>
  <c r="A1256" i="4"/>
  <c r="A1260" i="4"/>
  <c r="A1264" i="4"/>
  <c r="A1268" i="4"/>
  <c r="A1272" i="4"/>
  <c r="A1276" i="4"/>
  <c r="A1279" i="4"/>
  <c r="A1283" i="4"/>
  <c r="A1287" i="4"/>
  <c r="A1291" i="4"/>
  <c r="A1295" i="4"/>
  <c r="A1298" i="4"/>
  <c r="A1302" i="4"/>
  <c r="A1306" i="4"/>
  <c r="A1310" i="4"/>
  <c r="A1313" i="4"/>
  <c r="A1317" i="4"/>
  <c r="A1321" i="4"/>
  <c r="A1325" i="4"/>
  <c r="A1329" i="4"/>
  <c r="A1333" i="4"/>
  <c r="A1337" i="4"/>
  <c r="A1341" i="4"/>
  <c r="A118" i="4"/>
  <c r="A134" i="4"/>
  <c r="A150" i="4"/>
  <c r="A166" i="4"/>
  <c r="A182" i="4"/>
  <c r="A197" i="4"/>
  <c r="A213" i="4"/>
  <c r="A229" i="4"/>
  <c r="A244" i="4"/>
  <c r="A260" i="4"/>
  <c r="A276" i="4"/>
  <c r="A291" i="4"/>
  <c r="A307" i="4"/>
  <c r="A322" i="4"/>
  <c r="A338" i="4"/>
  <c r="A354" i="4"/>
  <c r="A368" i="4"/>
  <c r="A384" i="4"/>
  <c r="A400" i="4"/>
  <c r="A416" i="4"/>
  <c r="A432" i="4"/>
  <c r="A448" i="4"/>
  <c r="A464" i="4"/>
  <c r="A480" i="4"/>
  <c r="A496" i="4"/>
  <c r="A512" i="4"/>
  <c r="A528" i="4"/>
  <c r="A544" i="4"/>
  <c r="A560" i="4"/>
  <c r="A576" i="4"/>
  <c r="A592" i="4"/>
  <c r="A102" i="4"/>
  <c r="A614" i="4"/>
  <c r="A622" i="4"/>
  <c r="A630" i="4"/>
  <c r="A638" i="4"/>
  <c r="A645" i="4"/>
  <c r="A653" i="4"/>
  <c r="A661" i="4"/>
  <c r="A669" i="4"/>
  <c r="A676" i="4"/>
  <c r="A684" i="4"/>
  <c r="A692" i="4"/>
  <c r="A700" i="4"/>
  <c r="A708" i="4"/>
  <c r="A716" i="4"/>
  <c r="A724" i="4"/>
  <c r="A732" i="4"/>
  <c r="A740" i="4"/>
  <c r="A748" i="4"/>
  <c r="A754" i="4"/>
  <c r="A762" i="4"/>
  <c r="A769" i="4"/>
  <c r="A777" i="4"/>
  <c r="A785" i="4"/>
  <c r="A793" i="4"/>
  <c r="A801" i="4"/>
  <c r="A809" i="4"/>
  <c r="A817" i="4"/>
  <c r="A825" i="4"/>
  <c r="A833" i="4"/>
  <c r="A841" i="4"/>
  <c r="A848" i="4"/>
  <c r="A856" i="4"/>
  <c r="A864" i="4"/>
  <c r="A871" i="4"/>
  <c r="A879" i="4"/>
  <c r="A887" i="4"/>
  <c r="A895" i="4"/>
  <c r="A903" i="4"/>
  <c r="A911" i="4"/>
  <c r="A919" i="4"/>
  <c r="A927" i="4"/>
  <c r="A935" i="4"/>
  <c r="A943" i="4"/>
  <c r="A951" i="4"/>
  <c r="A958" i="4"/>
  <c r="A966" i="4"/>
  <c r="A974" i="4"/>
  <c r="A981" i="4"/>
  <c r="A45" i="4"/>
  <c r="A995" i="4"/>
  <c r="A1003" i="4"/>
  <c r="A1011" i="4"/>
  <c r="A1019" i="4"/>
  <c r="A1027" i="4"/>
  <c r="A1035" i="4"/>
  <c r="A1043" i="4"/>
  <c r="A8" i="4"/>
  <c r="A1058" i="4"/>
  <c r="A1064" i="4"/>
  <c r="A1071" i="4"/>
  <c r="A1079" i="4"/>
  <c r="A1087" i="4"/>
  <c r="A1094" i="4"/>
  <c r="A1102" i="4"/>
  <c r="A1110" i="4"/>
  <c r="A1116" i="4"/>
  <c r="A1124" i="4"/>
  <c r="A1132" i="4"/>
  <c r="A1140" i="4"/>
  <c r="A1148" i="4"/>
  <c r="A1156" i="4"/>
  <c r="A1164" i="4"/>
  <c r="A1172" i="4"/>
  <c r="A1180" i="4"/>
  <c r="A1188" i="4"/>
  <c r="A73" i="4"/>
  <c r="A1203" i="4"/>
  <c r="A1209" i="4"/>
  <c r="A1217" i="4"/>
  <c r="A1225" i="4"/>
  <c r="A1231" i="4"/>
  <c r="A1237" i="4"/>
  <c r="A1245" i="4"/>
  <c r="A96" i="4"/>
  <c r="A1257" i="4"/>
  <c r="A1265" i="4"/>
  <c r="A1273" i="4"/>
  <c r="A1280" i="4"/>
  <c r="A1288" i="4"/>
  <c r="A1296" i="4"/>
  <c r="A1303" i="4"/>
  <c r="A1311" i="4"/>
  <c r="A1318" i="4"/>
  <c r="A1326" i="4"/>
  <c r="A1334" i="4"/>
  <c r="A1342" i="4"/>
  <c r="A1346" i="4"/>
  <c r="A1350" i="4"/>
  <c r="A1354" i="4"/>
  <c r="A1358" i="4"/>
  <c r="A126" i="4"/>
  <c r="A142" i="4"/>
  <c r="A158" i="4"/>
  <c r="A174" i="4"/>
  <c r="A91" i="4"/>
  <c r="A205" i="4"/>
  <c r="A221" i="4"/>
  <c r="A236" i="4"/>
  <c r="A252" i="4"/>
  <c r="A268" i="4"/>
  <c r="A283" i="4"/>
  <c r="A299" i="4"/>
  <c r="A314" i="4"/>
  <c r="A330" i="4"/>
  <c r="A346" i="4"/>
  <c r="A361" i="4"/>
  <c r="A376" i="4"/>
  <c r="A392" i="4"/>
  <c r="A408" i="4"/>
  <c r="A424" i="4"/>
  <c r="A440" i="4"/>
  <c r="A456" i="4"/>
  <c r="A472" i="4"/>
  <c r="A488" i="4"/>
  <c r="A504" i="4"/>
  <c r="A520" i="4"/>
  <c r="A536" i="4"/>
  <c r="A552" i="4"/>
  <c r="A568" i="4"/>
  <c r="A584" i="4"/>
  <c r="A597" i="4"/>
  <c r="A610" i="4"/>
  <c r="A618" i="4"/>
  <c r="A626" i="4"/>
  <c r="A634" i="4"/>
  <c r="A642" i="4"/>
  <c r="A649" i="4"/>
  <c r="A657" i="4"/>
  <c r="A665" i="4"/>
  <c r="A672" i="4"/>
  <c r="A680" i="4"/>
  <c r="A688" i="4"/>
  <c r="A696" i="4"/>
  <c r="A704" i="4"/>
  <c r="A712" i="4"/>
  <c r="A720" i="4"/>
  <c r="A728" i="4"/>
  <c r="A736" i="4"/>
  <c r="A744" i="4"/>
  <c r="A94" i="4"/>
  <c r="A758" i="4"/>
  <c r="A766" i="4"/>
  <c r="A773" i="4"/>
  <c r="A781" i="4"/>
  <c r="A789" i="4"/>
  <c r="A797" i="4"/>
  <c r="A805" i="4"/>
  <c r="A813" i="4"/>
  <c r="A821" i="4"/>
  <c r="A829" i="4"/>
  <c r="A837" i="4"/>
  <c r="A845" i="4"/>
  <c r="A852" i="4"/>
  <c r="A860" i="4"/>
  <c r="A867" i="4"/>
  <c r="A875" i="4"/>
  <c r="A883" i="4"/>
  <c r="A891" i="4"/>
  <c r="A899" i="4"/>
  <c r="A907" i="4"/>
  <c r="A915" i="4"/>
  <c r="A923" i="4"/>
  <c r="A931" i="4"/>
  <c r="A939" i="4"/>
  <c r="A947" i="4"/>
  <c r="A955" i="4"/>
  <c r="A962" i="4"/>
  <c r="A970" i="4"/>
  <c r="A978" i="4"/>
  <c r="A985" i="4"/>
  <c r="A991" i="4"/>
  <c r="A999" i="4"/>
  <c r="A1007" i="4"/>
  <c r="A1015" i="4"/>
  <c r="A1023" i="4"/>
  <c r="A1031" i="4"/>
  <c r="A1039" i="4"/>
  <c r="A1047" i="4"/>
  <c r="A1054" i="4"/>
  <c r="A1061" i="4"/>
  <c r="A1067" i="4"/>
  <c r="A1075" i="4"/>
  <c r="A1083" i="4"/>
  <c r="A1091" i="4"/>
  <c r="A1098" i="4"/>
  <c r="A1106" i="4"/>
  <c r="A1113" i="4"/>
  <c r="A1120" i="4"/>
  <c r="A1128" i="4"/>
  <c r="A1136" i="4"/>
  <c r="A1144" i="4"/>
  <c r="A1152" i="4"/>
  <c r="A1160" i="4"/>
  <c r="A1168" i="4"/>
  <c r="A1176" i="4"/>
  <c r="A1184" i="4"/>
  <c r="A1192" i="4"/>
  <c r="A1199" i="4"/>
  <c r="A1206" i="4"/>
  <c r="A1213" i="4"/>
  <c r="A1221" i="4"/>
  <c r="A1227" i="4"/>
  <c r="A1233" i="4"/>
  <c r="A1241" i="4"/>
  <c r="A1249" i="4"/>
  <c r="A1253" i="4"/>
  <c r="A1261" i="4"/>
  <c r="A1269" i="4"/>
  <c r="A101" i="4"/>
  <c r="A1284" i="4"/>
  <c r="A1292" i="4"/>
  <c r="A1299" i="4"/>
  <c r="A1307" i="4"/>
  <c r="A1314" i="4"/>
  <c r="A1322" i="4"/>
  <c r="A1330" i="4"/>
  <c r="A1338" i="4"/>
  <c r="A119" i="4"/>
  <c r="A151" i="4"/>
  <c r="A183" i="4"/>
  <c r="A214" i="4"/>
  <c r="A245" i="4"/>
  <c r="A103" i="4"/>
  <c r="A308" i="4"/>
  <c r="A339" i="4"/>
  <c r="A369" i="4"/>
  <c r="A401" i="4"/>
  <c r="A433" i="4"/>
  <c r="A465" i="4"/>
  <c r="A497" i="4"/>
  <c r="A529" i="4"/>
  <c r="A561" i="4"/>
  <c r="A593" i="4"/>
  <c r="A615" i="4"/>
  <c r="A631" i="4"/>
  <c r="A646" i="4"/>
  <c r="A662" i="4"/>
  <c r="A677" i="4"/>
  <c r="A693" i="4"/>
  <c r="A709" i="4"/>
  <c r="A725" i="4"/>
  <c r="A741" i="4"/>
  <c r="A755" i="4"/>
  <c r="A770" i="4"/>
  <c r="A786" i="4"/>
  <c r="A802" i="4"/>
  <c r="A818" i="4"/>
  <c r="A834" i="4"/>
  <c r="A849" i="4"/>
  <c r="A865" i="4"/>
  <c r="A880" i="4"/>
  <c r="A896" i="4"/>
  <c r="A912" i="4"/>
  <c r="A928" i="4"/>
  <c r="A944" i="4"/>
  <c r="A959" i="4"/>
  <c r="A975" i="4"/>
  <c r="A988" i="4"/>
  <c r="A1004" i="4"/>
  <c r="A1020" i="4"/>
  <c r="A1036" i="4"/>
  <c r="A1051" i="4"/>
  <c r="A48" i="4"/>
  <c r="A1080" i="4"/>
  <c r="A1095" i="4"/>
  <c r="A1111" i="4"/>
  <c r="A1125" i="4"/>
  <c r="A1141" i="4"/>
  <c r="A1157" i="4"/>
  <c r="A1173" i="4"/>
  <c r="A1189" i="4"/>
  <c r="A68" i="4"/>
  <c r="A1218" i="4"/>
  <c r="A1232" i="4"/>
  <c r="A1246" i="4"/>
  <c r="A1258" i="4"/>
  <c r="A1274" i="4"/>
  <c r="A1289" i="4"/>
  <c r="A1304" i="4"/>
  <c r="A1319" i="4"/>
  <c r="A1335" i="4"/>
  <c r="A1345" i="4"/>
  <c r="A1351" i="4"/>
  <c r="A1356" i="4"/>
  <c r="A1360" i="4"/>
  <c r="A1364" i="4"/>
  <c r="A1367" i="4"/>
  <c r="A1370" i="4"/>
  <c r="A1372" i="4"/>
  <c r="A1374" i="4"/>
  <c r="A1375" i="4"/>
  <c r="A36" i="4"/>
  <c r="A65" i="4"/>
  <c r="A89" i="4"/>
  <c r="A1382" i="4"/>
  <c r="A1385" i="4"/>
  <c r="A1388" i="4"/>
  <c r="A1392" i="4"/>
  <c r="A1395" i="4"/>
  <c r="A1396" i="4"/>
  <c r="A22" i="4"/>
  <c r="A1400" i="4"/>
  <c r="A1403" i="4"/>
  <c r="A83" i="4"/>
  <c r="A61" i="4"/>
  <c r="A1410" i="4"/>
  <c r="A28" i="4"/>
  <c r="A35" i="4"/>
  <c r="A41" i="4"/>
  <c r="A1414" i="4"/>
  <c r="A109" i="4"/>
  <c r="A53" i="4"/>
  <c r="A79" i="4"/>
  <c r="A30" i="4"/>
  <c r="A1420" i="4"/>
  <c r="A1423" i="4"/>
  <c r="A1427" i="4"/>
  <c r="A1431" i="4"/>
  <c r="A1434" i="4"/>
  <c r="A1437" i="4"/>
  <c r="G115" i="4"/>
  <c r="G119" i="4"/>
  <c r="G123" i="4"/>
  <c r="G127" i="4"/>
  <c r="G131" i="4"/>
  <c r="G135" i="4"/>
  <c r="G139" i="4"/>
  <c r="G143" i="4"/>
  <c r="G147" i="4"/>
  <c r="G151" i="4"/>
  <c r="G155" i="4"/>
  <c r="G159" i="4"/>
  <c r="G163" i="4"/>
  <c r="G167" i="4"/>
  <c r="G171" i="4"/>
  <c r="G175" i="4"/>
  <c r="G179" i="4"/>
  <c r="G183" i="4"/>
  <c r="G187" i="4"/>
  <c r="G190" i="4"/>
  <c r="G194" i="4"/>
  <c r="G198" i="4"/>
  <c r="G202" i="4"/>
  <c r="G206" i="4"/>
  <c r="G210" i="4"/>
  <c r="G214" i="4"/>
  <c r="G218" i="4"/>
  <c r="G222" i="4"/>
  <c r="G226" i="4"/>
  <c r="G230" i="4"/>
  <c r="G233" i="4"/>
  <c r="G237" i="4"/>
  <c r="G241" i="4"/>
  <c r="G245" i="4"/>
  <c r="G249" i="4"/>
  <c r="G253" i="4"/>
  <c r="G257" i="4"/>
  <c r="G261" i="4"/>
  <c r="G265" i="4"/>
  <c r="G269" i="4"/>
  <c r="G273" i="4"/>
  <c r="G103" i="4"/>
  <c r="G280" i="4"/>
  <c r="G284" i="4"/>
  <c r="G288" i="4"/>
  <c r="G292" i="4"/>
  <c r="G296" i="4"/>
  <c r="G300" i="4"/>
  <c r="G304" i="4"/>
  <c r="G308" i="4"/>
  <c r="G311" i="4"/>
  <c r="G315" i="4"/>
  <c r="G319" i="4"/>
  <c r="G323" i="4"/>
  <c r="G327" i="4"/>
  <c r="G331" i="4"/>
  <c r="G335" i="4"/>
  <c r="G339" i="4"/>
  <c r="G343" i="4"/>
  <c r="G347" i="4"/>
  <c r="G351" i="4"/>
  <c r="G87" i="4"/>
  <c r="G358" i="4"/>
  <c r="G362" i="4"/>
  <c r="G365" i="4"/>
  <c r="G369" i="4"/>
  <c r="G373" i="4"/>
  <c r="G377" i="4"/>
  <c r="G381" i="4"/>
  <c r="G385" i="4"/>
  <c r="G389" i="4"/>
  <c r="G393" i="4"/>
  <c r="G397" i="4"/>
  <c r="G401" i="4"/>
  <c r="G405" i="4"/>
  <c r="G409" i="4"/>
  <c r="G413" i="4"/>
  <c r="G417" i="4"/>
  <c r="G421" i="4"/>
  <c r="G425" i="4"/>
  <c r="G429" i="4"/>
  <c r="G433" i="4"/>
  <c r="G437" i="4"/>
  <c r="G441" i="4"/>
  <c r="G445" i="4"/>
  <c r="G449" i="4"/>
  <c r="G453" i="4"/>
  <c r="G457" i="4"/>
  <c r="G461" i="4"/>
  <c r="G465" i="4"/>
  <c r="G469" i="4"/>
  <c r="G473" i="4"/>
  <c r="G477" i="4"/>
  <c r="G481" i="4"/>
  <c r="G485" i="4"/>
  <c r="G489" i="4"/>
  <c r="G493" i="4"/>
  <c r="G497" i="4"/>
  <c r="G501" i="4"/>
  <c r="G505" i="4"/>
  <c r="G509" i="4"/>
  <c r="G513" i="4"/>
  <c r="G517" i="4"/>
  <c r="G521" i="4"/>
  <c r="G525" i="4"/>
  <c r="G529" i="4"/>
  <c r="G533" i="4"/>
  <c r="G537" i="4"/>
  <c r="G541" i="4"/>
  <c r="G545" i="4"/>
  <c r="G549" i="4"/>
  <c r="G553" i="4"/>
  <c r="G557" i="4"/>
  <c r="G561" i="4"/>
  <c r="G565" i="4"/>
  <c r="G569" i="4"/>
  <c r="G573" i="4"/>
  <c r="G577" i="4"/>
  <c r="G581" i="4"/>
  <c r="G585" i="4"/>
  <c r="G589" i="4"/>
  <c r="G593" i="4"/>
  <c r="G74" i="4"/>
  <c r="G598" i="4"/>
  <c r="G602" i="4"/>
  <c r="G605" i="4"/>
  <c r="G609" i="4"/>
  <c r="G613" i="4"/>
  <c r="G617" i="4"/>
  <c r="G621" i="4"/>
  <c r="G625" i="4"/>
  <c r="G629" i="4"/>
  <c r="G633" i="4"/>
  <c r="G637" i="4"/>
  <c r="G641" i="4"/>
  <c r="G644" i="4"/>
  <c r="G648" i="4"/>
  <c r="G652" i="4"/>
  <c r="G656" i="4"/>
  <c r="G660" i="4"/>
  <c r="G664" i="4"/>
  <c r="G668" i="4"/>
  <c r="G92" i="4"/>
  <c r="G675" i="4"/>
  <c r="G679" i="4"/>
  <c r="G683" i="4"/>
  <c r="G687" i="4"/>
  <c r="G691" i="4"/>
  <c r="G695" i="4"/>
  <c r="G699" i="4"/>
  <c r="G703" i="4"/>
  <c r="G707" i="4"/>
  <c r="G711" i="4"/>
  <c r="A135" i="4"/>
  <c r="A167" i="4"/>
  <c r="A198" i="4"/>
  <c r="A230" i="4"/>
  <c r="A261" i="4"/>
  <c r="A292" i="4"/>
  <c r="A323" i="4"/>
  <c r="A87" i="4"/>
  <c r="A385" i="4"/>
  <c r="A417" i="4"/>
  <c r="A449" i="4"/>
  <c r="A481" i="4"/>
  <c r="A513" i="4"/>
  <c r="A545" i="4"/>
  <c r="A577" i="4"/>
  <c r="A605" i="4"/>
  <c r="A623" i="4"/>
  <c r="A639" i="4"/>
  <c r="A654" i="4"/>
  <c r="A670" i="4"/>
  <c r="A685" i="4"/>
  <c r="A701" i="4"/>
  <c r="A717" i="4"/>
  <c r="A733" i="4"/>
  <c r="A749" i="4"/>
  <c r="A763" i="4"/>
  <c r="A778" i="4"/>
  <c r="A794" i="4"/>
  <c r="A810" i="4"/>
  <c r="A826" i="4"/>
  <c r="A842" i="4"/>
  <c r="A857" i="4"/>
  <c r="A872" i="4"/>
  <c r="A888" i="4"/>
  <c r="A904" i="4"/>
  <c r="A920" i="4"/>
  <c r="A936" i="4"/>
  <c r="A952" i="4"/>
  <c r="A967" i="4"/>
  <c r="A982" i="4"/>
  <c r="A996" i="4"/>
  <c r="A1012" i="4"/>
  <c r="A1028" i="4"/>
  <c r="A1044" i="4"/>
  <c r="A1059" i="4"/>
  <c r="A1072" i="4"/>
  <c r="A1088" i="4"/>
  <c r="A1103" i="4"/>
  <c r="A1117" i="4"/>
  <c r="A1133" i="4"/>
  <c r="A1149" i="4"/>
  <c r="A1165" i="4"/>
  <c r="A1181" i="4"/>
  <c r="A1196" i="4"/>
  <c r="A1210" i="4"/>
  <c r="A1226" i="4"/>
  <c r="A1238" i="4"/>
  <c r="A1250" i="4"/>
  <c r="A1266" i="4"/>
  <c r="A1281" i="4"/>
  <c r="A1297" i="4"/>
  <c r="A9" i="4"/>
  <c r="A1327" i="4"/>
  <c r="A1343" i="4"/>
  <c r="A1348" i="4"/>
  <c r="A1353" i="4"/>
  <c r="A99" i="4"/>
  <c r="A1362" i="4"/>
  <c r="A10" i="4"/>
  <c r="A1368" i="4"/>
  <c r="A108" i="4"/>
  <c r="A1373" i="4"/>
  <c r="A11" i="4"/>
  <c r="A1377" i="4"/>
  <c r="A1379" i="4"/>
  <c r="A1381" i="4"/>
  <c r="A93" i="4"/>
  <c r="A75" i="4"/>
  <c r="A78" i="4"/>
  <c r="A1390" i="4"/>
  <c r="A49" i="4"/>
  <c r="A12" i="4"/>
  <c r="A1397" i="4"/>
  <c r="A27" i="4"/>
  <c r="A1402" i="4"/>
  <c r="A1404" i="4"/>
  <c r="A1407" i="4"/>
  <c r="A25" i="4"/>
  <c r="A1412" i="4"/>
  <c r="A23" i="4"/>
  <c r="A51" i="4"/>
  <c r="A47" i="4"/>
  <c r="A33" i="4"/>
  <c r="A1415" i="4"/>
  <c r="A86" i="4"/>
  <c r="A1417" i="4"/>
  <c r="A13" i="4"/>
  <c r="A1421" i="4"/>
  <c r="A1425" i="4"/>
  <c r="A1429" i="4"/>
  <c r="A1433" i="4"/>
  <c r="A1435" i="4"/>
  <c r="G113" i="4"/>
  <c r="G117" i="4"/>
  <c r="G121" i="4"/>
  <c r="G125" i="4"/>
  <c r="G129" i="4"/>
  <c r="G133" i="4"/>
  <c r="G137" i="4"/>
  <c r="G141" i="4"/>
  <c r="G145" i="4"/>
  <c r="G149" i="4"/>
  <c r="G153" i="4"/>
  <c r="G157" i="4"/>
  <c r="G161" i="4"/>
  <c r="G165" i="4"/>
  <c r="G169" i="4"/>
  <c r="G173" i="4"/>
  <c r="G177" i="4"/>
  <c r="G181" i="4"/>
  <c r="G185" i="4"/>
  <c r="G189" i="4"/>
  <c r="G192" i="4"/>
  <c r="G196" i="4"/>
  <c r="G200" i="4"/>
  <c r="G204" i="4"/>
  <c r="G208" i="4"/>
  <c r="G212" i="4"/>
  <c r="G216" i="4"/>
  <c r="G220" i="4"/>
  <c r="G224" i="4"/>
  <c r="G228" i="4"/>
  <c r="G64" i="4"/>
  <c r="G235" i="4"/>
  <c r="G239" i="4"/>
  <c r="G243" i="4"/>
  <c r="G247" i="4"/>
  <c r="G251" i="4"/>
  <c r="G255" i="4"/>
  <c r="G259" i="4"/>
  <c r="G263" i="4"/>
  <c r="G267" i="4"/>
  <c r="G271" i="4"/>
  <c r="G275" i="4"/>
  <c r="G278" i="4"/>
  <c r="G282" i="4"/>
  <c r="G286" i="4"/>
  <c r="G290" i="4"/>
  <c r="G294" i="4"/>
  <c r="G298" i="4"/>
  <c r="G302" i="4"/>
  <c r="G306" i="4"/>
  <c r="G310" i="4"/>
  <c r="G313" i="4"/>
  <c r="G317" i="4"/>
  <c r="G321" i="4"/>
  <c r="G325" i="4"/>
  <c r="G329" i="4"/>
  <c r="G333" i="4"/>
  <c r="G337" i="4"/>
  <c r="G341" i="4"/>
  <c r="G345" i="4"/>
  <c r="G349" i="4"/>
  <c r="G353" i="4"/>
  <c r="G356" i="4"/>
  <c r="G360" i="4"/>
  <c r="G363" i="4"/>
  <c r="G367" i="4"/>
  <c r="G371" i="4"/>
  <c r="G375" i="4"/>
  <c r="G379" i="4"/>
  <c r="G383" i="4"/>
  <c r="G387" i="4"/>
  <c r="G391" i="4"/>
  <c r="G395" i="4"/>
  <c r="G399" i="4"/>
  <c r="G403" i="4"/>
  <c r="G407" i="4"/>
  <c r="G411" i="4"/>
  <c r="G415" i="4"/>
  <c r="G419" i="4"/>
  <c r="G423" i="4"/>
  <c r="G427" i="4"/>
  <c r="G431" i="4"/>
  <c r="G435" i="4"/>
  <c r="G439" i="4"/>
  <c r="G443" i="4"/>
  <c r="G447" i="4"/>
  <c r="G451" i="4"/>
  <c r="G455" i="4"/>
  <c r="G459" i="4"/>
  <c r="G463" i="4"/>
  <c r="G467" i="4"/>
  <c r="G471" i="4"/>
  <c r="G475" i="4"/>
  <c r="G479" i="4"/>
  <c r="G483" i="4"/>
  <c r="G487" i="4"/>
  <c r="G491" i="4"/>
  <c r="G495" i="4"/>
  <c r="G499" i="4"/>
  <c r="G503" i="4"/>
  <c r="G507" i="4"/>
  <c r="G511" i="4"/>
  <c r="G515" i="4"/>
  <c r="G519" i="4"/>
  <c r="G523" i="4"/>
  <c r="G527" i="4"/>
  <c r="G531" i="4"/>
  <c r="G535" i="4"/>
  <c r="G539" i="4"/>
  <c r="G543" i="4"/>
  <c r="G547" i="4"/>
  <c r="G551" i="4"/>
  <c r="G555" i="4"/>
  <c r="G559" i="4"/>
  <c r="G563" i="4"/>
  <c r="G567" i="4"/>
  <c r="G571" i="4"/>
  <c r="G575" i="4"/>
  <c r="G579" i="4"/>
  <c r="G583" i="4"/>
  <c r="G587" i="4"/>
  <c r="G591" i="4"/>
  <c r="G595" i="4"/>
  <c r="G76" i="4"/>
  <c r="G600" i="4"/>
  <c r="G604" i="4"/>
  <c r="G607" i="4"/>
  <c r="G611" i="4"/>
  <c r="G615" i="4"/>
  <c r="G619" i="4"/>
  <c r="G623" i="4"/>
  <c r="G627" i="4"/>
  <c r="G631" i="4"/>
  <c r="G635" i="4"/>
  <c r="G639" i="4"/>
  <c r="G80" i="4"/>
  <c r="G646" i="4"/>
  <c r="G650" i="4"/>
  <c r="G654" i="4"/>
  <c r="G658" i="4"/>
  <c r="G662" i="4"/>
  <c r="G666" i="4"/>
  <c r="G670" i="4"/>
  <c r="G673" i="4"/>
  <c r="G677" i="4"/>
  <c r="G681" i="4"/>
  <c r="G685" i="4"/>
  <c r="G689" i="4"/>
  <c r="G693" i="4"/>
  <c r="G697" i="4"/>
  <c r="G701" i="4"/>
  <c r="G705" i="4"/>
  <c r="G709" i="4"/>
  <c r="A127" i="4"/>
  <c r="A190" i="4"/>
  <c r="A253" i="4"/>
  <c r="A315" i="4"/>
  <c r="A377" i="4"/>
  <c r="A441" i="4"/>
  <c r="A505" i="4"/>
  <c r="A569" i="4"/>
  <c r="A619" i="4"/>
  <c r="A650" i="4"/>
  <c r="A681" i="4"/>
  <c r="A713" i="4"/>
  <c r="A745" i="4"/>
  <c r="A774" i="4"/>
  <c r="A806" i="4"/>
  <c r="A838" i="4"/>
  <c r="A868" i="4"/>
  <c r="A900" i="4"/>
  <c r="A932" i="4"/>
  <c r="A963" i="4"/>
  <c r="A992" i="4"/>
  <c r="A1024" i="4"/>
  <c r="A1055" i="4"/>
  <c r="A1084" i="4"/>
  <c r="A98" i="4"/>
  <c r="A1145" i="4"/>
  <c r="A1177" i="4"/>
  <c r="A1207" i="4"/>
  <c r="A1234" i="4"/>
  <c r="A1262" i="4"/>
  <c r="A1293" i="4"/>
  <c r="A1323" i="4"/>
  <c r="A1347" i="4"/>
  <c r="A1357" i="4"/>
  <c r="A1365" i="4"/>
  <c r="A110" i="4"/>
  <c r="A18" i="4"/>
  <c r="A1378" i="4"/>
  <c r="A90" i="4"/>
  <c r="A1386" i="4"/>
  <c r="A1393" i="4"/>
  <c r="A58" i="4"/>
  <c r="A1401" i="4"/>
  <c r="A1406" i="4"/>
  <c r="A1411" i="4"/>
  <c r="A37" i="4"/>
  <c r="A52" i="4"/>
  <c r="A59" i="4"/>
  <c r="A1418" i="4"/>
  <c r="A1424" i="4"/>
  <c r="A1432" i="4"/>
  <c r="G112" i="4"/>
  <c r="G120" i="4"/>
  <c r="G128" i="4"/>
  <c r="G136" i="4"/>
  <c r="G144" i="4"/>
  <c r="G152" i="4"/>
  <c r="G160" i="4"/>
  <c r="G168" i="4"/>
  <c r="G176" i="4"/>
  <c r="G184" i="4"/>
  <c r="G191" i="4"/>
  <c r="G199" i="4"/>
  <c r="G207" i="4"/>
  <c r="G215" i="4"/>
  <c r="G223" i="4"/>
  <c r="G231" i="4"/>
  <c r="G238" i="4"/>
  <c r="G246" i="4"/>
  <c r="G254" i="4"/>
  <c r="G262" i="4"/>
  <c r="G270" i="4"/>
  <c r="G277" i="4"/>
  <c r="G285" i="4"/>
  <c r="G293" i="4"/>
  <c r="G301" i="4"/>
  <c r="G309" i="4"/>
  <c r="G316" i="4"/>
  <c r="G324" i="4"/>
  <c r="G332" i="4"/>
  <c r="G340" i="4"/>
  <c r="G348" i="4"/>
  <c r="G355" i="4"/>
  <c r="G56" i="4"/>
  <c r="G370" i="4"/>
  <c r="G378" i="4"/>
  <c r="G386" i="4"/>
  <c r="G394" i="4"/>
  <c r="G402" i="4"/>
  <c r="G410" i="4"/>
  <c r="G418" i="4"/>
  <c r="G426" i="4"/>
  <c r="G434" i="4"/>
  <c r="G442" i="4"/>
  <c r="G450" i="4"/>
  <c r="G458" i="4"/>
  <c r="G466" i="4"/>
  <c r="G474" i="4"/>
  <c r="G482" i="4"/>
  <c r="G490" i="4"/>
  <c r="G498" i="4"/>
  <c r="G506" i="4"/>
  <c r="G514" i="4"/>
  <c r="G522" i="4"/>
  <c r="G530" i="4"/>
  <c r="G538" i="4"/>
  <c r="G546" i="4"/>
  <c r="G554" i="4"/>
  <c r="G562" i="4"/>
  <c r="G570" i="4"/>
  <c r="G578" i="4"/>
  <c r="G586" i="4"/>
  <c r="G594" i="4"/>
  <c r="G599" i="4"/>
  <c r="G606" i="4"/>
  <c r="G614" i="4"/>
  <c r="G622" i="4"/>
  <c r="G630" i="4"/>
  <c r="G638" i="4"/>
  <c r="G645" i="4"/>
  <c r="G653" i="4"/>
  <c r="G661" i="4"/>
  <c r="G669" i="4"/>
  <c r="G676" i="4"/>
  <c r="G684" i="4"/>
  <c r="G692" i="4"/>
  <c r="G700" i="4"/>
  <c r="G708" i="4"/>
  <c r="G714" i="4"/>
  <c r="G718" i="4"/>
  <c r="G722" i="4"/>
  <c r="G726" i="4"/>
  <c r="G730" i="4"/>
  <c r="G734" i="4"/>
  <c r="G738" i="4"/>
  <c r="G742" i="4"/>
  <c r="G746" i="4"/>
  <c r="G750" i="4"/>
  <c r="G752" i="4"/>
  <c r="G756" i="4"/>
  <c r="G760" i="4"/>
  <c r="G764" i="4"/>
  <c r="G31" i="4"/>
  <c r="G771" i="4"/>
  <c r="G775" i="4"/>
  <c r="G779" i="4"/>
  <c r="G783" i="4"/>
  <c r="G787" i="4"/>
  <c r="G791" i="4"/>
  <c r="G795" i="4"/>
  <c r="G799" i="4"/>
  <c r="G803" i="4"/>
  <c r="G807" i="4"/>
  <c r="G811" i="4"/>
  <c r="G815" i="4"/>
  <c r="G819" i="4"/>
  <c r="G823" i="4"/>
  <c r="G827" i="4"/>
  <c r="G831" i="4"/>
  <c r="G835" i="4"/>
  <c r="G839" i="4"/>
  <c r="G843" i="4"/>
  <c r="G7" i="4"/>
  <c r="G850" i="4"/>
  <c r="G854" i="4"/>
  <c r="G858" i="4"/>
  <c r="G862" i="4"/>
  <c r="G44" i="4"/>
  <c r="G869" i="4"/>
  <c r="G873" i="4"/>
  <c r="G877" i="4"/>
  <c r="G881" i="4"/>
  <c r="G885" i="4"/>
  <c r="G889" i="4"/>
  <c r="G893" i="4"/>
  <c r="G897" i="4"/>
  <c r="G901" i="4"/>
  <c r="G905" i="4"/>
  <c r="G909" i="4"/>
  <c r="G913" i="4"/>
  <c r="G917" i="4"/>
  <c r="G921" i="4"/>
  <c r="G925" i="4"/>
  <c r="G929" i="4"/>
  <c r="G933" i="4"/>
  <c r="G937" i="4"/>
  <c r="G941" i="4"/>
  <c r="G945" i="4"/>
  <c r="G949" i="4"/>
  <c r="G953" i="4"/>
  <c r="G95" i="4"/>
  <c r="G960" i="4"/>
  <c r="G964" i="4"/>
  <c r="G968" i="4"/>
  <c r="G972" i="4"/>
  <c r="G976" i="4"/>
  <c r="G979" i="4"/>
  <c r="G983" i="4"/>
  <c r="G55" i="4"/>
  <c r="G989" i="4"/>
  <c r="G993" i="4"/>
  <c r="G997" i="4"/>
  <c r="G1001" i="4"/>
  <c r="G1005" i="4"/>
  <c r="G1009" i="4"/>
  <c r="G1013" i="4"/>
  <c r="G1017" i="4"/>
  <c r="G1021" i="4"/>
  <c r="G1025" i="4"/>
  <c r="G1029" i="4"/>
  <c r="G1033" i="4"/>
  <c r="G1037" i="4"/>
  <c r="G1041" i="4"/>
  <c r="G1045" i="4"/>
  <c r="G1049" i="4"/>
  <c r="G1052" i="4"/>
  <c r="G1056" i="4"/>
  <c r="G1060" i="4"/>
  <c r="G1063" i="4"/>
  <c r="G1065" i="4"/>
  <c r="G1069" i="4"/>
  <c r="G1073" i="4"/>
  <c r="G1077" i="4"/>
  <c r="G1081" i="4"/>
  <c r="G1085" i="4"/>
  <c r="G1089" i="4"/>
  <c r="G1093" i="4"/>
  <c r="G1096" i="4"/>
  <c r="G1100" i="4"/>
  <c r="G1104" i="4"/>
  <c r="G1108" i="4"/>
  <c r="G1112" i="4"/>
  <c r="G1114" i="4"/>
  <c r="G1118" i="4"/>
  <c r="G1122" i="4"/>
  <c r="G1126" i="4"/>
  <c r="G1130" i="4"/>
  <c r="G1134" i="4"/>
  <c r="G1138" i="4"/>
  <c r="G1142" i="4"/>
  <c r="G1146" i="4"/>
  <c r="G1150" i="4"/>
  <c r="G1154" i="4"/>
  <c r="G1158" i="4"/>
  <c r="G1162" i="4"/>
  <c r="G1166" i="4"/>
  <c r="G1170" i="4"/>
  <c r="G1174" i="4"/>
  <c r="G1178" i="4"/>
  <c r="G1182" i="4"/>
  <c r="G1186" i="4"/>
  <c r="G1190" i="4"/>
  <c r="G1194" i="4"/>
  <c r="G1197" i="4"/>
  <c r="G1201" i="4"/>
  <c r="G1204" i="4"/>
  <c r="G111" i="4"/>
  <c r="G1211" i="4"/>
  <c r="G1215" i="4"/>
  <c r="G1219" i="4"/>
  <c r="G1223" i="4"/>
  <c r="G107" i="4"/>
  <c r="G1229" i="4"/>
  <c r="G40" i="4"/>
  <c r="G1235" i="4"/>
  <c r="G1239" i="4"/>
  <c r="G1243" i="4"/>
  <c r="G1247" i="4"/>
  <c r="G60" i="4"/>
  <c r="G1251" i="4"/>
  <c r="G1255" i="4"/>
  <c r="G1259" i="4"/>
  <c r="G1263" i="4"/>
  <c r="G1267" i="4"/>
  <c r="G1271" i="4"/>
  <c r="G1275" i="4"/>
  <c r="G1278" i="4"/>
  <c r="G1282" i="4"/>
  <c r="G1286" i="4"/>
  <c r="G1290" i="4"/>
  <c r="G1294" i="4"/>
  <c r="G104" i="4"/>
  <c r="G1301" i="4"/>
  <c r="G1305" i="4"/>
  <c r="G1309" i="4"/>
  <c r="G1312" i="4"/>
  <c r="G1316" i="4"/>
  <c r="G1320" i="4"/>
  <c r="G1324" i="4"/>
  <c r="G1328" i="4"/>
  <c r="G1332" i="4"/>
  <c r="G1336" i="4"/>
  <c r="G1340" i="4"/>
  <c r="G1344" i="4"/>
  <c r="G1348" i="4"/>
  <c r="G1352" i="4"/>
  <c r="G1356" i="4"/>
  <c r="G1359" i="4"/>
  <c r="G1363" i="4"/>
  <c r="G1366" i="4"/>
  <c r="G1369" i="4"/>
  <c r="G1371" i="4"/>
  <c r="G46" i="4"/>
  <c r="G82" i="4"/>
  <c r="G57" i="4"/>
  <c r="G1380" i="4"/>
  <c r="G97" i="4"/>
  <c r="G26" i="4"/>
  <c r="G1384" i="4"/>
  <c r="G1387" i="4"/>
  <c r="G1391" i="4"/>
  <c r="G1394" i="4"/>
  <c r="G19" i="4"/>
  <c r="G1398" i="4"/>
  <c r="G24" i="4"/>
  <c r="G100" i="4"/>
  <c r="G1405" i="4"/>
  <c r="G1408" i="4"/>
  <c r="G20" i="4"/>
  <c r="G1413" i="4"/>
  <c r="G38" i="4"/>
  <c r="G39" i="4"/>
  <c r="G62" i="4"/>
  <c r="G63" i="4"/>
  <c r="G54" i="4"/>
  <c r="G66" i="4"/>
  <c r="G42" i="4"/>
  <c r="G1419" i="4"/>
  <c r="G1422" i="4"/>
  <c r="G1426" i="4"/>
  <c r="G1430" i="4"/>
  <c r="G14" i="4"/>
  <c r="G1436" i="4"/>
  <c r="A143" i="4"/>
  <c r="A206" i="4"/>
  <c r="A269" i="4"/>
  <c r="A331" i="4"/>
  <c r="A393" i="4"/>
  <c r="A457" i="4"/>
  <c r="A521" i="4"/>
  <c r="A585" i="4"/>
  <c r="A627" i="4"/>
  <c r="A658" i="4"/>
  <c r="A689" i="4"/>
  <c r="A721" i="4"/>
  <c r="A34" i="4"/>
  <c r="A782" i="4"/>
  <c r="A814" i="4"/>
  <c r="A846" i="4"/>
  <c r="A876" i="4"/>
  <c r="A908" i="4"/>
  <c r="A940" i="4"/>
  <c r="A971" i="4"/>
  <c r="A1000" i="4"/>
  <c r="A1032" i="4"/>
  <c r="A1062" i="4"/>
  <c r="A1092" i="4"/>
  <c r="A1121" i="4"/>
  <c r="A1153" i="4"/>
  <c r="A1185" i="4"/>
  <c r="A1214" i="4"/>
  <c r="A1242" i="4"/>
  <c r="A1270" i="4"/>
  <c r="A1300" i="4"/>
  <c r="A1331" i="4"/>
  <c r="A1349" i="4"/>
  <c r="A1359" i="4"/>
  <c r="A1366" i="4"/>
  <c r="A1371" i="4"/>
  <c r="A82" i="4"/>
  <c r="A1380" i="4"/>
  <c r="A26" i="4"/>
  <c r="A1387" i="4"/>
  <c r="A1394" i="4"/>
  <c r="A1398" i="4"/>
  <c r="A100" i="4"/>
  <c r="A1408" i="4"/>
  <c r="A1413" i="4"/>
  <c r="A39" i="4"/>
  <c r="A63" i="4"/>
  <c r="A66" i="4"/>
  <c r="A1419" i="4"/>
  <c r="A1426" i="4"/>
  <c r="A14" i="4"/>
  <c r="G114" i="4"/>
  <c r="G122" i="4"/>
  <c r="G130" i="4"/>
  <c r="G138" i="4"/>
  <c r="G146" i="4"/>
  <c r="G154" i="4"/>
  <c r="G162" i="4"/>
  <c r="G170" i="4"/>
  <c r="G178" i="4"/>
  <c r="G186" i="4"/>
  <c r="G193" i="4"/>
  <c r="G201" i="4"/>
  <c r="G209" i="4"/>
  <c r="G217" i="4"/>
  <c r="G225" i="4"/>
  <c r="G232" i="4"/>
  <c r="G240" i="4"/>
  <c r="G248" i="4"/>
  <c r="G256" i="4"/>
  <c r="G264" i="4"/>
  <c r="G272" i="4"/>
  <c r="G279" i="4"/>
  <c r="G287" i="4"/>
  <c r="G295" i="4"/>
  <c r="G303" i="4"/>
  <c r="G6" i="4"/>
  <c r="G318" i="4"/>
  <c r="G326" i="4"/>
  <c r="G334" i="4"/>
  <c r="G342" i="4"/>
  <c r="G350" i="4"/>
  <c r="G357" i="4"/>
  <c r="G364" i="4"/>
  <c r="G372" i="4"/>
  <c r="G380" i="4"/>
  <c r="G388" i="4"/>
  <c r="G396" i="4"/>
  <c r="G404" i="4"/>
  <c r="G412" i="4"/>
  <c r="G420" i="4"/>
  <c r="G428" i="4"/>
  <c r="G436" i="4"/>
  <c r="G444" i="4"/>
  <c r="G452" i="4"/>
  <c r="G460" i="4"/>
  <c r="G468" i="4"/>
  <c r="G476" i="4"/>
  <c r="G484" i="4"/>
  <c r="G492" i="4"/>
  <c r="G500" i="4"/>
  <c r="G508" i="4"/>
  <c r="G516" i="4"/>
  <c r="G524" i="4"/>
  <c r="G532" i="4"/>
  <c r="G540" i="4"/>
  <c r="G548" i="4"/>
  <c r="G556" i="4"/>
  <c r="G564" i="4"/>
  <c r="G572" i="4"/>
  <c r="G580" i="4"/>
  <c r="G588" i="4"/>
  <c r="G596" i="4"/>
  <c r="G601" i="4"/>
  <c r="G608" i="4"/>
  <c r="G616" i="4"/>
  <c r="G624" i="4"/>
  <c r="G632" i="4"/>
  <c r="G640" i="4"/>
  <c r="G647" i="4"/>
  <c r="G655" i="4"/>
  <c r="G663" i="4"/>
  <c r="G671" i="4"/>
  <c r="G678" i="4"/>
  <c r="G686" i="4"/>
  <c r="G694" i="4"/>
  <c r="G702" i="4"/>
  <c r="G710" i="4"/>
  <c r="G715" i="4"/>
  <c r="G719" i="4"/>
  <c r="G723" i="4"/>
  <c r="G727" i="4"/>
  <c r="G731" i="4"/>
  <c r="G735" i="4"/>
  <c r="G739" i="4"/>
  <c r="G743" i="4"/>
  <c r="G747" i="4"/>
  <c r="G751" i="4"/>
  <c r="G753" i="4"/>
  <c r="G757" i="4"/>
  <c r="G761" i="4"/>
  <c r="G765" i="4"/>
  <c r="G768" i="4"/>
  <c r="G772" i="4"/>
  <c r="G776" i="4"/>
  <c r="G780" i="4"/>
  <c r="G784" i="4"/>
  <c r="G788" i="4"/>
  <c r="G792" i="4"/>
  <c r="G796" i="4"/>
  <c r="G800" i="4"/>
  <c r="G804" i="4"/>
  <c r="G808" i="4"/>
  <c r="G812" i="4"/>
  <c r="G816" i="4"/>
  <c r="G820" i="4"/>
  <c r="G824" i="4"/>
  <c r="G828" i="4"/>
  <c r="G832" i="4"/>
  <c r="G836" i="4"/>
  <c r="G840" i="4"/>
  <c r="G844" i="4"/>
  <c r="G847" i="4"/>
  <c r="G851" i="4"/>
  <c r="G855" i="4"/>
  <c r="G859" i="4"/>
  <c r="G863" i="4"/>
  <c r="G866" i="4"/>
  <c r="G870" i="4"/>
  <c r="G874" i="4"/>
  <c r="G878" i="4"/>
  <c r="G882" i="4"/>
  <c r="G886" i="4"/>
  <c r="G890" i="4"/>
  <c r="G894" i="4"/>
  <c r="G898" i="4"/>
  <c r="G902" i="4"/>
  <c r="A159" i="4"/>
  <c r="A222" i="4"/>
  <c r="A284" i="4"/>
  <c r="A347" i="4"/>
  <c r="A409" i="4"/>
  <c r="A473" i="4"/>
  <c r="A537" i="4"/>
  <c r="A598" i="4"/>
  <c r="A635" i="4"/>
  <c r="A666" i="4"/>
  <c r="A697" i="4"/>
  <c r="A729" i="4"/>
  <c r="A759" i="4"/>
  <c r="A790" i="4"/>
  <c r="A822" i="4"/>
  <c r="A853" i="4"/>
  <c r="A884" i="4"/>
  <c r="A916" i="4"/>
  <c r="A948" i="4"/>
  <c r="A67" i="4"/>
  <c r="A1008" i="4"/>
  <c r="A1040" i="4"/>
  <c r="A1068" i="4"/>
  <c r="A1099" i="4"/>
  <c r="A1129" i="4"/>
  <c r="A1161" i="4"/>
  <c r="A1193" i="4"/>
  <c r="A1222" i="4"/>
  <c r="A105" i="4"/>
  <c r="A1277" i="4"/>
  <c r="A1308" i="4"/>
  <c r="A1339" i="4"/>
  <c r="A1352" i="4"/>
  <c r="A1361" i="4"/>
  <c r="A15" i="4"/>
  <c r="A81" i="4"/>
  <c r="A1376" i="4"/>
  <c r="A32" i="4"/>
  <c r="A1383" i="4"/>
  <c r="A1389" i="4"/>
  <c r="A69" i="4"/>
  <c r="A1399" i="4"/>
  <c r="A70" i="4"/>
  <c r="A1409" i="4"/>
  <c r="A29" i="4"/>
  <c r="A50" i="4"/>
  <c r="A84" i="4"/>
  <c r="A1416" i="4"/>
  <c r="A21" i="4"/>
  <c r="A1428" i="4"/>
  <c r="A71" i="4"/>
  <c r="G116" i="4"/>
  <c r="G124" i="4"/>
  <c r="G132" i="4"/>
  <c r="G140" i="4"/>
  <c r="G148" i="4"/>
  <c r="G156" i="4"/>
  <c r="G164" i="4"/>
  <c r="G172" i="4"/>
  <c r="G180" i="4"/>
  <c r="G188" i="4"/>
  <c r="G195" i="4"/>
  <c r="G203" i="4"/>
  <c r="G211" i="4"/>
  <c r="G219" i="4"/>
  <c r="G227" i="4"/>
  <c r="G234" i="4"/>
  <c r="G242" i="4"/>
  <c r="G250" i="4"/>
  <c r="G258" i="4"/>
  <c r="G266" i="4"/>
  <c r="G274" i="4"/>
  <c r="G281" i="4"/>
  <c r="G289" i="4"/>
  <c r="G297" i="4"/>
  <c r="G305" i="4"/>
  <c r="G312" i="4"/>
  <c r="G320" i="4"/>
  <c r="G328" i="4"/>
  <c r="G336" i="4"/>
  <c r="G344" i="4"/>
  <c r="G352" i="4"/>
  <c r="G359" i="4"/>
  <c r="G366" i="4"/>
  <c r="G374" i="4"/>
  <c r="G382" i="4"/>
  <c r="G390" i="4"/>
  <c r="G398" i="4"/>
  <c r="G406" i="4"/>
  <c r="G414" i="4"/>
  <c r="G422" i="4"/>
  <c r="G430" i="4"/>
  <c r="G438" i="4"/>
  <c r="G446" i="4"/>
  <c r="G454" i="4"/>
  <c r="G462" i="4"/>
  <c r="G470" i="4"/>
  <c r="G478" i="4"/>
  <c r="G486" i="4"/>
  <c r="G494" i="4"/>
  <c r="G502" i="4"/>
  <c r="G510" i="4"/>
  <c r="G518" i="4"/>
  <c r="G526" i="4"/>
  <c r="G534" i="4"/>
  <c r="G542" i="4"/>
  <c r="G550" i="4"/>
  <c r="G558" i="4"/>
  <c r="G566" i="4"/>
  <c r="G574" i="4"/>
  <c r="G582" i="4"/>
  <c r="G590" i="4"/>
  <c r="G106" i="4"/>
  <c r="G603" i="4"/>
  <c r="G610" i="4"/>
  <c r="G618" i="4"/>
  <c r="G626" i="4"/>
  <c r="G634" i="4"/>
  <c r="G642" i="4"/>
  <c r="G649" i="4"/>
  <c r="G657" i="4"/>
  <c r="G665" i="4"/>
  <c r="G672" i="4"/>
  <c r="G680" i="4"/>
  <c r="G688" i="4"/>
  <c r="G696" i="4"/>
  <c r="G704" i="4"/>
  <c r="G712" i="4"/>
  <c r="G716" i="4"/>
  <c r="G720" i="4"/>
  <c r="G724" i="4"/>
  <c r="G728" i="4"/>
  <c r="G732" i="4"/>
  <c r="G736" i="4"/>
  <c r="G740" i="4"/>
  <c r="G744" i="4"/>
  <c r="G748" i="4"/>
  <c r="G94" i="4"/>
  <c r="G754" i="4"/>
  <c r="G758" i="4"/>
  <c r="G762" i="4"/>
  <c r="G766" i="4"/>
  <c r="G769" i="4"/>
  <c r="G773" i="4"/>
  <c r="G777" i="4"/>
  <c r="G781" i="4"/>
  <c r="G785" i="4"/>
  <c r="G789" i="4"/>
  <c r="G793" i="4"/>
  <c r="G797" i="4"/>
  <c r="G801" i="4"/>
  <c r="G805" i="4"/>
  <c r="G809" i="4"/>
  <c r="G813" i="4"/>
  <c r="G817" i="4"/>
  <c r="G821" i="4"/>
  <c r="G825" i="4"/>
  <c r="G829" i="4"/>
  <c r="G833" i="4"/>
  <c r="G837" i="4"/>
  <c r="G841" i="4"/>
  <c r="G845" i="4"/>
  <c r="G848" i="4"/>
  <c r="G852" i="4"/>
  <c r="G856" i="4"/>
  <c r="G860" i="4"/>
  <c r="G864" i="4"/>
  <c r="G867" i="4"/>
  <c r="G871" i="4"/>
  <c r="G875" i="4"/>
  <c r="G879" i="4"/>
  <c r="G883" i="4"/>
  <c r="G887" i="4"/>
  <c r="G891" i="4"/>
  <c r="G895" i="4"/>
  <c r="G899" i="4"/>
  <c r="G903" i="4"/>
  <c r="G907" i="4"/>
  <c r="G911" i="4"/>
  <c r="G915" i="4"/>
  <c r="G919" i="4"/>
  <c r="G923" i="4"/>
  <c r="G927" i="4"/>
  <c r="G931" i="4"/>
  <c r="G935" i="4"/>
  <c r="G939" i="4"/>
  <c r="G943" i="4"/>
  <c r="G947" i="4"/>
  <c r="G951" i="4"/>
  <c r="G955" i="4"/>
  <c r="G958" i="4"/>
  <c r="G962" i="4"/>
  <c r="G966" i="4"/>
  <c r="G970" i="4"/>
  <c r="G974" i="4"/>
  <c r="G978" i="4"/>
  <c r="G981" i="4"/>
  <c r="G985" i="4"/>
  <c r="G45" i="4"/>
  <c r="G991" i="4"/>
  <c r="G995" i="4"/>
  <c r="G999" i="4"/>
  <c r="G1003" i="4"/>
  <c r="G1007" i="4"/>
  <c r="G1011" i="4"/>
  <c r="G1015" i="4"/>
  <c r="G1019" i="4"/>
  <c r="G1023" i="4"/>
  <c r="G1027" i="4"/>
  <c r="G1031" i="4"/>
  <c r="G1035" i="4"/>
  <c r="G1039" i="4"/>
  <c r="G1043" i="4"/>
  <c r="G1047" i="4"/>
  <c r="G8" i="4"/>
  <c r="G1054" i="4"/>
  <c r="G1058" i="4"/>
  <c r="G1061" i="4"/>
  <c r="G1064" i="4"/>
  <c r="G1067" i="4"/>
  <c r="G1071" i="4"/>
  <c r="G1075" i="4"/>
  <c r="G1079" i="4"/>
  <c r="G1083" i="4"/>
  <c r="G1087" i="4"/>
  <c r="G1091" i="4"/>
  <c r="G1094" i="4"/>
  <c r="G1098" i="4"/>
  <c r="G1102" i="4"/>
  <c r="G1106" i="4"/>
  <c r="G1110" i="4"/>
  <c r="G1113" i="4"/>
  <c r="G1116" i="4"/>
  <c r="G1120" i="4"/>
  <c r="G1124" i="4"/>
  <c r="G1128" i="4"/>
  <c r="G1132" i="4"/>
  <c r="G1136" i="4"/>
  <c r="G1140" i="4"/>
  <c r="G1144" i="4"/>
  <c r="G1148" i="4"/>
  <c r="G1152" i="4"/>
  <c r="G1156" i="4"/>
  <c r="G1160" i="4"/>
  <c r="G1164" i="4"/>
  <c r="G1168" i="4"/>
  <c r="G1172" i="4"/>
  <c r="G1176" i="4"/>
  <c r="G1180" i="4"/>
  <c r="G1184" i="4"/>
  <c r="G1188" i="4"/>
  <c r="G1192" i="4"/>
  <c r="G73" i="4"/>
  <c r="G1199" i="4"/>
  <c r="G1203" i="4"/>
  <c r="G1206" i="4"/>
  <c r="G1209" i="4"/>
  <c r="G1213" i="4"/>
  <c r="G1217" i="4"/>
  <c r="G1221" i="4"/>
  <c r="G1225" i="4"/>
  <c r="G1227" i="4"/>
  <c r="G1231" i="4"/>
  <c r="G1233" i="4"/>
  <c r="G1237" i="4"/>
  <c r="G1241" i="4"/>
  <c r="G1245" i="4"/>
  <c r="G1249" i="4"/>
  <c r="G96" i="4"/>
  <c r="G1253" i="4"/>
  <c r="G1257" i="4"/>
  <c r="G1261" i="4"/>
  <c r="G1265" i="4"/>
  <c r="G1269" i="4"/>
  <c r="G1273" i="4"/>
  <c r="G101" i="4"/>
  <c r="G1280" i="4"/>
  <c r="G1284" i="4"/>
  <c r="G1288" i="4"/>
  <c r="G1292" i="4"/>
  <c r="G1296" i="4"/>
  <c r="G1299" i="4"/>
  <c r="G1303" i="4"/>
  <c r="G1307" i="4"/>
  <c r="G1311" i="4"/>
  <c r="G1314" i="4"/>
  <c r="G1318" i="4"/>
  <c r="G1322" i="4"/>
  <c r="G1326" i="4"/>
  <c r="G1330" i="4"/>
  <c r="G1334" i="4"/>
  <c r="G1338" i="4"/>
  <c r="G1342" i="4"/>
  <c r="G1346" i="4"/>
  <c r="G1350" i="4"/>
  <c r="G1354" i="4"/>
  <c r="G1358" i="4"/>
  <c r="G1361" i="4"/>
  <c r="G1365" i="4"/>
  <c r="G15" i="4"/>
  <c r="G110" i="4"/>
  <c r="G81" i="4"/>
  <c r="G18" i="4"/>
  <c r="G1376" i="4"/>
  <c r="G1378" i="4"/>
  <c r="G32" i="4"/>
  <c r="G90" i="4"/>
  <c r="G1383" i="4"/>
  <c r="G1386" i="4"/>
  <c r="G1389" i="4"/>
  <c r="G1393" i="4"/>
  <c r="G69" i="4"/>
  <c r="G58" i="4"/>
  <c r="G1399" i="4"/>
  <c r="G1401" i="4"/>
  <c r="G70" i="4"/>
  <c r="G1406" i="4"/>
  <c r="G1409" i="4"/>
  <c r="G1411" i="4"/>
  <c r="G29" i="4"/>
  <c r="G37" i="4"/>
  <c r="G50" i="4"/>
  <c r="G52" i="4"/>
  <c r="G84" i="4"/>
  <c r="G59" i="4"/>
  <c r="G1416" i="4"/>
  <c r="G1418" i="4"/>
  <c r="G21" i="4"/>
  <c r="G1424" i="4"/>
  <c r="G1428" i="4"/>
  <c r="G1432" i="4"/>
  <c r="G71" i="4"/>
  <c r="A175" i="4"/>
  <c r="A237" i="4"/>
  <c r="A300" i="4"/>
  <c r="A362" i="4"/>
  <c r="A425" i="4"/>
  <c r="A489" i="4"/>
  <c r="A553" i="4"/>
  <c r="A611" i="4"/>
  <c r="A80" i="4"/>
  <c r="A673" i="4"/>
  <c r="A705" i="4"/>
  <c r="A737" i="4"/>
  <c r="A767" i="4"/>
  <c r="A798" i="4"/>
  <c r="A830" i="4"/>
  <c r="A861" i="4"/>
  <c r="A892" i="4"/>
  <c r="A924" i="4"/>
  <c r="A956" i="4"/>
  <c r="A986" i="4"/>
  <c r="A1016" i="4"/>
  <c r="A1048" i="4"/>
  <c r="A1076" i="4"/>
  <c r="A1107" i="4"/>
  <c r="A1137" i="4"/>
  <c r="A1169" i="4"/>
  <c r="A1200" i="4"/>
  <c r="A1228" i="4"/>
  <c r="A1254" i="4"/>
  <c r="A1285" i="4"/>
  <c r="A1315" i="4"/>
  <c r="A1344" i="4"/>
  <c r="A1355" i="4"/>
  <c r="A1363" i="4"/>
  <c r="A1369" i="4"/>
  <c r="A46" i="4"/>
  <c r="A57" i="4"/>
  <c r="A97" i="4"/>
  <c r="A1384" i="4"/>
  <c r="A1391" i="4"/>
  <c r="A19" i="4"/>
  <c r="A24" i="4"/>
  <c r="A1405" i="4"/>
  <c r="A20" i="4"/>
  <c r="A38" i="4"/>
  <c r="A62" i="4"/>
  <c r="A54" i="4"/>
  <c r="A42" i="4"/>
  <c r="A1422" i="4"/>
  <c r="A1430" i="4"/>
  <c r="A1436" i="4"/>
  <c r="G118" i="4"/>
  <c r="G126" i="4"/>
  <c r="G134" i="4"/>
  <c r="G142" i="4"/>
  <c r="G150" i="4"/>
  <c r="G158" i="4"/>
  <c r="G166" i="4"/>
  <c r="G174" i="4"/>
  <c r="G182" i="4"/>
  <c r="G91" i="4"/>
  <c r="G197" i="4"/>
  <c r="G205" i="4"/>
  <c r="G213" i="4"/>
  <c r="G221" i="4"/>
  <c r="G229" i="4"/>
  <c r="G236" i="4"/>
  <c r="G244" i="4"/>
  <c r="G252" i="4"/>
  <c r="G260" i="4"/>
  <c r="G268" i="4"/>
  <c r="G276" i="4"/>
  <c r="G283" i="4"/>
  <c r="G291" i="4"/>
  <c r="G299" i="4"/>
  <c r="G307" i="4"/>
  <c r="G314" i="4"/>
  <c r="G322" i="4"/>
  <c r="G330" i="4"/>
  <c r="G338" i="4"/>
  <c r="G346" i="4"/>
  <c r="G354" i="4"/>
  <c r="G361" i="4"/>
  <c r="G368" i="4"/>
  <c r="G376" i="4"/>
  <c r="G384" i="4"/>
  <c r="G392" i="4"/>
  <c r="G400" i="4"/>
  <c r="G408" i="4"/>
  <c r="G416" i="4"/>
  <c r="G424" i="4"/>
  <c r="G432" i="4"/>
  <c r="G440" i="4"/>
  <c r="G448" i="4"/>
  <c r="G456" i="4"/>
  <c r="G464" i="4"/>
  <c r="G472" i="4"/>
  <c r="G480" i="4"/>
  <c r="G488" i="4"/>
  <c r="G496" i="4"/>
  <c r="G504" i="4"/>
  <c r="G512" i="4"/>
  <c r="G520" i="4"/>
  <c r="G528" i="4"/>
  <c r="G536" i="4"/>
  <c r="G544" i="4"/>
  <c r="G552" i="4"/>
  <c r="G560" i="4"/>
  <c r="G568" i="4"/>
  <c r="G576" i="4"/>
  <c r="G584" i="4"/>
  <c r="G592" i="4"/>
  <c r="G597" i="4"/>
  <c r="G102" i="4"/>
  <c r="G612" i="4"/>
  <c r="G620" i="4"/>
  <c r="G628" i="4"/>
  <c r="G636" i="4"/>
  <c r="G643" i="4"/>
  <c r="G651" i="4"/>
  <c r="G659" i="4"/>
  <c r="G667" i="4"/>
  <c r="G674" i="4"/>
  <c r="G682" i="4"/>
  <c r="G690" i="4"/>
  <c r="G698" i="4"/>
  <c r="G706" i="4"/>
  <c r="G713" i="4"/>
  <c r="G717" i="4"/>
  <c r="G721" i="4"/>
  <c r="G725" i="4"/>
  <c r="G729" i="4"/>
  <c r="G733" i="4"/>
  <c r="G737" i="4"/>
  <c r="G741" i="4"/>
  <c r="G745" i="4"/>
  <c r="G749" i="4"/>
  <c r="G34" i="4"/>
  <c r="G755" i="4"/>
  <c r="G759" i="4"/>
  <c r="G763" i="4"/>
  <c r="G767" i="4"/>
  <c r="G770" i="4"/>
  <c r="G774" i="4"/>
  <c r="G778" i="4"/>
  <c r="G782" i="4"/>
  <c r="G786" i="4"/>
  <c r="G790" i="4"/>
  <c r="G794" i="4"/>
  <c r="G798" i="4"/>
  <c r="G802" i="4"/>
  <c r="G806" i="4"/>
  <c r="G810" i="4"/>
  <c r="G814" i="4"/>
  <c r="G818" i="4"/>
  <c r="G822" i="4"/>
  <c r="G826" i="4"/>
  <c r="G830" i="4"/>
  <c r="G834" i="4"/>
  <c r="G838" i="4"/>
  <c r="G842" i="4"/>
  <c r="G846" i="4"/>
  <c r="G849" i="4"/>
  <c r="G853" i="4"/>
  <c r="G857" i="4"/>
  <c r="G861" i="4"/>
  <c r="G865" i="4"/>
  <c r="G868" i="4"/>
  <c r="G872" i="4"/>
  <c r="G876" i="4"/>
  <c r="G880" i="4"/>
  <c r="G884" i="4"/>
  <c r="G888" i="4"/>
  <c r="G892" i="4"/>
  <c r="G896" i="4"/>
  <c r="G900" i="4"/>
  <c r="G904" i="4"/>
  <c r="G908" i="4"/>
  <c r="G912" i="4"/>
  <c r="G906" i="4"/>
  <c r="G918" i="4"/>
  <c r="G926" i="4"/>
  <c r="G934" i="4"/>
  <c r="G942" i="4"/>
  <c r="G950" i="4"/>
  <c r="G957" i="4"/>
  <c r="G965" i="4"/>
  <c r="G973" i="4"/>
  <c r="G980" i="4"/>
  <c r="G987" i="4"/>
  <c r="G994" i="4"/>
  <c r="G1002" i="4"/>
  <c r="G1010" i="4"/>
  <c r="G1018" i="4"/>
  <c r="G1026" i="4"/>
  <c r="G1034" i="4"/>
  <c r="G1042" i="4"/>
  <c r="G1050" i="4"/>
  <c r="G1057" i="4"/>
  <c r="G17" i="4"/>
  <c r="G1070" i="4"/>
  <c r="G1078" i="4"/>
  <c r="G1086" i="4"/>
  <c r="G85" i="4"/>
  <c r="G1101" i="4"/>
  <c r="G1109" i="4"/>
  <c r="G1115" i="4"/>
  <c r="G1123" i="4"/>
  <c r="G1131" i="4"/>
  <c r="G1139" i="4"/>
  <c r="G1147" i="4"/>
  <c r="G1155" i="4"/>
  <c r="G1163" i="4"/>
  <c r="G1171" i="4"/>
  <c r="G1179" i="4"/>
  <c r="G1187" i="4"/>
  <c r="G1195" i="4"/>
  <c r="G1202" i="4"/>
  <c r="G1208" i="4"/>
  <c r="G1216" i="4"/>
  <c r="G1224" i="4"/>
  <c r="G1230" i="4"/>
  <c r="G1236" i="4"/>
  <c r="G1244" i="4"/>
  <c r="G88" i="4"/>
  <c r="G1256" i="4"/>
  <c r="G1264" i="4"/>
  <c r="G1272" i="4"/>
  <c r="G1279" i="4"/>
  <c r="G1287" i="4"/>
  <c r="G1295" i="4"/>
  <c r="G1302" i="4"/>
  <c r="G1310" i="4"/>
  <c r="G1317" i="4"/>
  <c r="G1325" i="4"/>
  <c r="G1333" i="4"/>
  <c r="G1341" i="4"/>
  <c r="G1349" i="4"/>
  <c r="G1357" i="4"/>
  <c r="G1364" i="4"/>
  <c r="G1370" i="4"/>
  <c r="G1374" i="4"/>
  <c r="G36" i="4"/>
  <c r="G89" i="4"/>
  <c r="G1385" i="4"/>
  <c r="G1392" i="4"/>
  <c r="G1396" i="4"/>
  <c r="G1400" i="4"/>
  <c r="G83" i="4"/>
  <c r="G1410" i="4"/>
  <c r="G35" i="4"/>
  <c r="G1414" i="4"/>
  <c r="G53" i="4"/>
  <c r="G30" i="4"/>
  <c r="G1423" i="4"/>
  <c r="G1431" i="4"/>
  <c r="G1437" i="4"/>
  <c r="G916" i="4"/>
  <c r="G932" i="4"/>
  <c r="G948" i="4"/>
  <c r="G963" i="4"/>
  <c r="G67" i="4"/>
  <c r="G992" i="4"/>
  <c r="G1008" i="4"/>
  <c r="G1024" i="4"/>
  <c r="G1040" i="4"/>
  <c r="G1055" i="4"/>
  <c r="G1076" i="4"/>
  <c r="G1092" i="4"/>
  <c r="G1107" i="4"/>
  <c r="G1121" i="4"/>
  <c r="G1137" i="4"/>
  <c r="G1153" i="4"/>
  <c r="G1169" i="4"/>
  <c r="G1185" i="4"/>
  <c r="G1200" i="4"/>
  <c r="G1214" i="4"/>
  <c r="G1228" i="4"/>
  <c r="G1242" i="4"/>
  <c r="G1254" i="4"/>
  <c r="G1270" i="4"/>
  <c r="G1285" i="4"/>
  <c r="G1300" i="4"/>
  <c r="G1308" i="4"/>
  <c r="G1331" i="4"/>
  <c r="G1347" i="4"/>
  <c r="G1362" i="4"/>
  <c r="G1368" i="4"/>
  <c r="G1377" i="4"/>
  <c r="G75" i="4"/>
  <c r="G12" i="4"/>
  <c r="G1404" i="4"/>
  <c r="G23" i="4"/>
  <c r="G1415" i="4"/>
  <c r="G1417" i="4"/>
  <c r="G1429" i="4"/>
  <c r="G910" i="4"/>
  <c r="G920" i="4"/>
  <c r="G928" i="4"/>
  <c r="G936" i="4"/>
  <c r="G944" i="4"/>
  <c r="G952" i="4"/>
  <c r="G959" i="4"/>
  <c r="G967" i="4"/>
  <c r="G975" i="4"/>
  <c r="G982" i="4"/>
  <c r="G988" i="4"/>
  <c r="G996" i="4"/>
  <c r="G1004" i="4"/>
  <c r="G1012" i="4"/>
  <c r="G1020" i="4"/>
  <c r="G1028" i="4"/>
  <c r="G1036" i="4"/>
  <c r="G1044" i="4"/>
  <c r="G1051" i="4"/>
  <c r="G1059" i="4"/>
  <c r="G48" i="4"/>
  <c r="G1072" i="4"/>
  <c r="G1080" i="4"/>
  <c r="G1088" i="4"/>
  <c r="G1095" i="4"/>
  <c r="G1103" i="4"/>
  <c r="G1111" i="4"/>
  <c r="G1117" i="4"/>
  <c r="G1125" i="4"/>
  <c r="G1133" i="4"/>
  <c r="G1141" i="4"/>
  <c r="G1149" i="4"/>
  <c r="G1157" i="4"/>
  <c r="G1165" i="4"/>
  <c r="G1173" i="4"/>
  <c r="G1181" i="4"/>
  <c r="G1189" i="4"/>
  <c r="G1196" i="4"/>
  <c r="G68" i="4"/>
  <c r="G1210" i="4"/>
  <c r="G1218" i="4"/>
  <c r="G1226" i="4"/>
  <c r="G1232" i="4"/>
  <c r="G1238" i="4"/>
  <c r="G1246" i="4"/>
  <c r="G1250" i="4"/>
  <c r="G1258" i="4"/>
  <c r="G1266" i="4"/>
  <c r="G1274" i="4"/>
  <c r="G1281" i="4"/>
  <c r="G1289" i="4"/>
  <c r="G1297" i="4"/>
  <c r="G1304" i="4"/>
  <c r="G9" i="4"/>
  <c r="G1319" i="4"/>
  <c r="G1327" i="4"/>
  <c r="G1335" i="4"/>
  <c r="G1343" i="4"/>
  <c r="G1351" i="4"/>
  <c r="G99" i="4"/>
  <c r="G10" i="4"/>
  <c r="G108" i="4"/>
  <c r="G11" i="4"/>
  <c r="G1379" i="4"/>
  <c r="G93" i="4"/>
  <c r="G78" i="4"/>
  <c r="G49" i="4"/>
  <c r="G1397" i="4"/>
  <c r="G1402" i="4"/>
  <c r="G1407" i="4"/>
  <c r="G1412" i="4"/>
  <c r="G51" i="4"/>
  <c r="G33" i="4"/>
  <c r="G86" i="4"/>
  <c r="G13" i="4"/>
  <c r="G1425" i="4"/>
  <c r="G1433" i="4"/>
  <c r="G914" i="4"/>
  <c r="G922" i="4"/>
  <c r="G930" i="4"/>
  <c r="G938" i="4"/>
  <c r="G946" i="4"/>
  <c r="G954" i="4"/>
  <c r="G961" i="4"/>
  <c r="G969" i="4"/>
  <c r="G977" i="4"/>
  <c r="G984" i="4"/>
  <c r="G990" i="4"/>
  <c r="G998" i="4"/>
  <c r="G1006" i="4"/>
  <c r="G1014" i="4"/>
  <c r="G1022" i="4"/>
  <c r="G1030" i="4"/>
  <c r="G1038" i="4"/>
  <c r="G1046" i="4"/>
  <c r="G1053" i="4"/>
  <c r="G77" i="4"/>
  <c r="G1066" i="4"/>
  <c r="G1074" i="4"/>
  <c r="G1082" i="4"/>
  <c r="G1090" i="4"/>
  <c r="G1097" i="4"/>
  <c r="G1105" i="4"/>
  <c r="G72" i="4"/>
  <c r="G1119" i="4"/>
  <c r="G1127" i="4"/>
  <c r="G1135" i="4"/>
  <c r="G1143" i="4"/>
  <c r="G1151" i="4"/>
  <c r="G1159" i="4"/>
  <c r="G1167" i="4"/>
  <c r="G1175" i="4"/>
  <c r="G1183" i="4"/>
  <c r="G1191" i="4"/>
  <c r="G1198" i="4"/>
  <c r="G1205" i="4"/>
  <c r="G1212" i="4"/>
  <c r="G1220" i="4"/>
  <c r="G16" i="4"/>
  <c r="G43" i="4"/>
  <c r="G1240" i="4"/>
  <c r="G1248" i="4"/>
  <c r="G1252" i="4"/>
  <c r="G1260" i="4"/>
  <c r="G1268" i="4"/>
  <c r="G1276" i="4"/>
  <c r="G1283" i="4"/>
  <c r="G1291" i="4"/>
  <c r="G1298" i="4"/>
  <c r="G1306" i="4"/>
  <c r="G1313" i="4"/>
  <c r="G1321" i="4"/>
  <c r="G1329" i="4"/>
  <c r="G1337" i="4"/>
  <c r="G1345" i="4"/>
  <c r="G1353" i="4"/>
  <c r="G1360" i="4"/>
  <c r="G1367" i="4"/>
  <c r="G1372" i="4"/>
  <c r="G1375" i="4"/>
  <c r="G65" i="4"/>
  <c r="G1382" i="4"/>
  <c r="G1388" i="4"/>
  <c r="G1395" i="4"/>
  <c r="G22" i="4"/>
  <c r="G1403" i="4"/>
  <c r="G61" i="4"/>
  <c r="G28" i="4"/>
  <c r="G41" i="4"/>
  <c r="G109" i="4"/>
  <c r="G79" i="4"/>
  <c r="G1420" i="4"/>
  <c r="G1427" i="4"/>
  <c r="G1434" i="4"/>
  <c r="G924" i="4"/>
  <c r="G940" i="4"/>
  <c r="G956" i="4"/>
  <c r="G971" i="4"/>
  <c r="G986" i="4"/>
  <c r="G1000" i="4"/>
  <c r="G1016" i="4"/>
  <c r="G1032" i="4"/>
  <c r="G1048" i="4"/>
  <c r="G1062" i="4"/>
  <c r="G1068" i="4"/>
  <c r="G1084" i="4"/>
  <c r="G1099" i="4"/>
  <c r="G98" i="4"/>
  <c r="G1129" i="4"/>
  <c r="G1145" i="4"/>
  <c r="G1161" i="4"/>
  <c r="G1177" i="4"/>
  <c r="G1193" i="4"/>
  <c r="G1207" i="4"/>
  <c r="G1222" i="4"/>
  <c r="G1234" i="4"/>
  <c r="G105" i="4"/>
  <c r="G1262" i="4"/>
  <c r="G1277" i="4"/>
  <c r="G1293" i="4"/>
  <c r="G1315" i="4"/>
  <c r="G1323" i="4"/>
  <c r="G1339" i="4"/>
  <c r="G1355" i="4"/>
  <c r="G1373" i="4"/>
  <c r="G1381" i="4"/>
  <c r="G1390" i="4"/>
  <c r="G27" i="4"/>
  <c r="G25" i="4"/>
  <c r="G47" i="4"/>
  <c r="G1421" i="4"/>
  <c r="G1435" i="4"/>
</calcChain>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ropbox\Halliburton RTA Manager\Resource\SQL\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Manager/Lead' = [Assigned To Manager/Lead],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Submitted By],_x000d__x000a_[Requestor Name],_x000d__x000a_[Requestor Email]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<sst xmlns="http://schemas.openxmlformats.org/spreadsheetml/2006/main" count="21760" uniqueCount="3874">
  <si>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</si>
  <si>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</si>
  <si>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</si>
  <si>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</si>
  <si>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</si>
  <si>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</si>
  <si>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</si>
  <si>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</si>
  <si>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</si>
  <si>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</si>
  <si>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</si>
  <si>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</si>
  <si>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</si>
  <si>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</si>
  <si>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</si>
  <si>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</si>
  <si>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</si>
  <si>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</si>
  <si>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</si>
  <si>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</si>
  <si>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</si>
  <si>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</si>
  <si>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</si>
  <si>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</si>
  <si>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</si>
  <si>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</si>
  <si>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</si>
  <si>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</si>
  <si>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</si>
  <si>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</si>
  <si>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</si>
  <si>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</si>
  <si>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</si>
  <si>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</si>
  <si>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</si>
  <si>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</si>
  <si>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</si>
  <si>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</si>
  <si>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</si>
  <si>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</si>
  <si>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</si>
  <si>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</si>
  <si>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</si>
  <si>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</si>
  <si>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</si>
  <si>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</si>
  <si>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</si>
  <si>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</si>
  <si>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</si>
  <si>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</si>
  <si>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</si>
  <si>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</si>
  <si>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</si>
  <si>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</si>
  <si>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</si>
  <si>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</si>
  <si>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</si>
  <si>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</si>
  <si>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</si>
  <si>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</si>
  <si>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</si>
  <si>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</si>
  <si>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</si>
  <si>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</si>
  <si>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</si>
  <si>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</si>
  <si>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</si>
  <si>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</si>
  <si>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</si>
  <si>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</si>
  <si>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</si>
  <si>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</si>
  <si>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</si>
  <si>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</si>
  <si>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</si>
  <si>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</si>
  <si>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</si>
  <si>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</si>
  <si>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</si>
  <si>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</si>
  <si>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</si>
  <si>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</si>
  <si>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</si>
  <si>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</si>
  <si>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</si>
  <si>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</si>
  <si>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</si>
  <si>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</si>
  <si>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</si>
  <si>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</si>
  <si>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</si>
  <si>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</si>
  <si>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</si>
  <si>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</si>
  <si>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</si>
  <si>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</si>
  <si>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</si>
  <si>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</si>
  <si>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</si>
  <si>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</si>
  <si>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</si>
  <si>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</si>
  <si>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</si>
  <si>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</si>
  <si>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</si>
  <si>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</si>
  <si>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</si>
  <si>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</si>
  <si>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</si>
  <si>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</si>
  <si>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</si>
  <si>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</si>
  <si>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</si>
  <si>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</si>
  <si>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</si>
  <si>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</si>
  <si>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</si>
  <si>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</si>
  <si>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</si>
  <si>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</si>
  <si>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</si>
  <si>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</si>
  <si>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</si>
  <si>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</si>
  <si>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</si>
  <si>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</si>
  <si>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</si>
  <si>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</si>
  <si>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</si>
  <si>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</si>
  <si>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ECR - Reference Q-note 200555381, Item 1. Suggest replacing W.003PQS252004 with W.003PQS252005. Original screws were too short.</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</si>
  <si>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</si>
  <si>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</si>
  <si>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</si>
  <si>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</si>
  <si>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</si>
  <si>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</si>
  <si>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</si>
  <si>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</si>
  <si>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</si>
  <si>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</si>
  <si>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</si>
  <si>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</si>
  <si>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</si>
  <si>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</si>
  <si>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</si>
  <si>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</si>
  <si>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</si>
  <si>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</si>
  <si>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</si>
  <si>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</si>
  <si>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</si>
  <si>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</si>
  <si>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</si>
  <si>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</si>
  <si>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</si>
  <si>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</si>
  <si>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</si>
  <si>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</si>
  <si>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</si>
  <si>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</si>
  <si>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</si>
  <si>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</si>
  <si>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</si>
  <si>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Description:  UPDATE DRAWINGS 312660-00-01, 312087-00-01 AND 311046-00-01;</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</si>
  <si>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</si>
  <si>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</si>
  <si>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</si>
  <si>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</si>
  <si>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</si>
  <si>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</si>
  <si>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</si>
  <si>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</si>
  <si>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</si>
  <si>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</si>
  <si>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</si>
  <si>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</si>
  <si>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</si>
  <si>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</si>
  <si>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</si>
  <si>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ECR - HF1 Packer 101793361 does not have an anchor clamp on the BOM. Per Pranay Asthana, the anchor clamp should be on the BOM. Also, the tie wraps to hold the test keys in place during shipping are not on any packer BOMs.</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</si>
  <si>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</si>
  <si>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</si>
  <si>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</si>
  <si>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</si>
  <si>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</si>
  <si>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</si>
  <si>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</si>
  <si>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</si>
  <si>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</si>
  <si>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</si>
  <si>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</si>
  <si>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</si>
  <si>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</si>
  <si>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</si>
  <si>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</si>
  <si>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</si>
  <si>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</si>
  <si>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</si>
  <si>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</si>
  <si>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</si>
  <si>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</si>
  <si>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</si>
  <si>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</si>
  <si>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</si>
  <si>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</si>
  <si>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</si>
  <si>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</si>
  <si>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</si>
  <si>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</si>
  <si>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</si>
  <si>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</si>
  <si>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</si>
  <si>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</si>
  <si>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</si>
  <si>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</si>
  <si>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</si>
  <si>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</si>
  <si>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</si>
  <si>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</si>
  <si>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</si>
  <si>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</si>
  <si>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</si>
  <si>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</si>
  <si>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</si>
  <si>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</si>
  <si>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</si>
  <si>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</si>
  <si>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</si>
  <si>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</si>
  <si>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</si>
  <si>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</si>
  <si>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</si>
  <si>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</si>
  <si>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</si>
  <si>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</si>
  <si>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</si>
  <si>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</si>
  <si>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</si>
  <si>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</si>
  <si>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</si>
  <si>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</si>
  <si>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</si>
  <si>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</si>
  <si>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</si>
  <si>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</si>
  <si>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</si>
  <si>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</si>
  <si>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</si>
  <si>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</si>
  <si>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</si>
  <si>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</si>
  <si>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</si>
  <si>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</si>
  <si>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</si>
  <si>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</si>
  <si>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</si>
  <si>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</si>
  <si>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</si>
  <si>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</si>
  <si>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</si>
  <si>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</si>
  <si>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</si>
  <si>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Non-Intrusive Flow Meter MOC</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</si>
  <si>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</si>
  <si>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</si>
  <si>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</si>
  <si>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</si>
  <si>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</si>
  <si>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</si>
  <si>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</si>
  <si>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</si>
  <si>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</si>
  <si>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</si>
  <si>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</si>
  <si>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</si>
  <si>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</si>
  <si>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</si>
  <si>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</si>
  <si>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</si>
  <si>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</si>
  <si>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</si>
  <si>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</si>
  <si>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</si>
  <si>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</si>
  <si>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</si>
  <si>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</si>
  <si>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</si>
  <si>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</si>
  <si>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</si>
  <si>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</si>
  <si>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</si>
  <si>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</si>
  <si>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</si>
  <si>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</si>
  <si>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</si>
  <si>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</si>
  <si>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</si>
  <si>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</si>
  <si>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</si>
  <si>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</si>
  <si>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</si>
  <si>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</si>
  <si>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</si>
  <si>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</si>
  <si>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</si>
  <si>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</si>
  <si>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</si>
  <si>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</si>
  <si>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</si>
  <si>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</si>
  <si>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</si>
  <si>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</si>
  <si>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</si>
  <si>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</si>
  <si>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</si>
  <si>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</si>
  <si>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</si>
  <si>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</si>
  <si>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</si>
  <si>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</si>
  <si>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</si>
  <si>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</si>
  <si>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</si>
  <si>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</si>
  <si>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</si>
  <si>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</si>
  <si>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</si>
  <si>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</si>
  <si>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</si>
  <si>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</si>
  <si>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</si>
  <si>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</si>
  <si>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</si>
  <si>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</si>
  <si>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</si>
  <si>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</si>
  <si>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</si>
  <si>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</si>
  <si>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</si>
  <si>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</si>
  <si>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</si>
  <si>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</si>
  <si>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</si>
  <si>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</si>
  <si>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</si>
  <si>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</si>
  <si>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</si>
  <si>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</si>
  <si>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</si>
  <si>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</si>
  <si>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</si>
  <si>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</si>
  <si>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</si>
  <si>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</si>
  <si>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</si>
  <si>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</si>
  <si>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</si>
  <si>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</si>
  <si>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</si>
  <si>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</si>
  <si>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</si>
  <si>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</si>
  <si>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</si>
  <si>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</si>
  <si>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</si>
  <si>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</si>
  <si>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</si>
  <si>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</si>
  <si>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</si>
  <si>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</si>
  <si>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</si>
  <si>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</si>
  <si>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</si>
  <si>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</si>
  <si>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</si>
  <si>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</si>
  <si>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</si>
  <si>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</si>
  <si>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</si>
  <si>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</si>
  <si>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</si>
  <si>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</si>
  <si>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</si>
  <si>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</si>
  <si>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</si>
  <si>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</si>
  <si>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</si>
  <si>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</si>
  <si>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</si>
  <si>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</si>
  <si>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</si>
  <si>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</si>
  <si>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</si>
  <si>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</si>
  <si>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</si>
  <si>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</si>
  <si>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</si>
  <si>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</si>
  <si>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</si>
  <si>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</si>
  <si>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</si>
  <si>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</si>
  <si>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</si>
  <si>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</si>
  <si>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</si>
  <si>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</si>
  <si>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</si>
  <si>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CHANGE INTERNAL TEST PRESSURE VALUE IN FAT PROCEDURES AND DESIGN DATA SHEETS FOR 70XX MC1 PACKERS FROM 7500 PSI TO 5500 PSI (THE SS CONTROL LINE TUBES 313298-FC THAT SEE COLLAPSE PRESSURE DURING THE FAT ARE RATED ONLY TO 6000 PSI IN COLLAPSE AT AMBIENT)- RAVI VAYEDA</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</si>
  <si>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</si>
  <si>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</si>
  <si>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</si>
  <si>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</si>
  <si>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</si>
  <si>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</si>
  <si>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</si>
  <si>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</si>
  <si>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</si>
  <si>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</si>
  <si>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</si>
  <si>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</si>
  <si>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</si>
  <si>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</si>
  <si>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</si>
  <si>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</si>
  <si>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</si>
  <si>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</si>
  <si>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</si>
  <si>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</si>
  <si>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</si>
  <si>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</si>
  <si>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</si>
  <si>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</si>
  <si>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</si>
  <si>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</si>
  <si>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</si>
  <si>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</si>
  <si>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</si>
  <si>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</si>
  <si>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</si>
  <si>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</si>
  <si>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</si>
  <si>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</si>
  <si>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</si>
  <si>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</si>
  <si>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</si>
  <si>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</si>
  <si>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</si>
  <si>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</si>
  <si>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</si>
  <si>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</si>
  <si>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</si>
  <si>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</si>
  <si>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</si>
  <si>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</si>
  <si>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</si>
  <si>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</si>
  <si>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</si>
  <si>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</si>
  <si>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</si>
  <si>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</si>
  <si>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</si>
  <si>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</si>
  <si>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</si>
  <si>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</si>
  <si>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</si>
  <si>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</si>
  <si>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</si>
  <si>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</si>
  <si>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</si>
  <si>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</si>
  <si>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</si>
  <si>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</si>
  <si>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</si>
  <si>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</si>
  <si>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</si>
  <si>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</si>
  <si>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</si>
  <si>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</si>
  <si>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</si>
  <si>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</si>
  <si>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</si>
  <si>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</si>
  <si>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</si>
  <si>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</si>
  <si>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</si>
  <si>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</si>
  <si>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</si>
  <si>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</si>
  <si>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</si>
  <si>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</si>
  <si>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</si>
  <si>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</si>
  <si>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</si>
  <si>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</si>
  <si>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</si>
  <si>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</si>
  <si>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</si>
  <si>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</si>
  <si>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</si>
  <si>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</si>
  <si>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</si>
  <si>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</si>
  <si>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</si>
  <si>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</si>
  <si>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</si>
  <si>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</si>
  <si>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</si>
  <si>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</si>
  <si>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</si>
  <si>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</si>
  <si>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</si>
  <si>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</si>
  <si>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</si>
  <si>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</si>
  <si>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</si>
  <si>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</si>
  <si>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</si>
  <si>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</si>
  <si>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</si>
  <si>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</si>
  <si>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</si>
  <si>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</si>
  <si>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</si>
  <si>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</si>
  <si>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</si>
  <si>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</si>
  <si>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</si>
  <si>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</si>
  <si>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</si>
  <si>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</si>
  <si>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</si>
  <si>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</si>
  <si>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</si>
  <si>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</si>
  <si>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</si>
  <si>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</si>
  <si>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</si>
  <si>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</si>
  <si>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</si>
  <si>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</si>
  <si>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</si>
  <si>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</si>
  <si>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UPDATE DRAWING W.302272-00-00 PER CWI STANDARDS. UPDATE ALL CORRESPONDING PARTS WITH W. PREFIX</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</si>
  <si>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</si>
  <si>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</si>
  <si>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</si>
  <si>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</si>
  <si>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</si>
  <si>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</si>
  <si>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</si>
  <si>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</si>
  <si>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</si>
  <si>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</si>
  <si>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</si>
  <si>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</si>
  <si>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</si>
  <si>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</si>
  <si>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</si>
  <si>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</si>
  <si>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</si>
  <si>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</si>
  <si>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</si>
  <si>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</si>
  <si>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</si>
  <si>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</si>
  <si>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</si>
  <si>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</si>
  <si>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</si>
  <si>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</si>
  <si>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</si>
  <si>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</si>
  <si>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</si>
  <si>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</si>
  <si>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</si>
  <si>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</si>
  <si>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</si>
  <si>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</si>
  <si>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</si>
  <si>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</si>
  <si>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</si>
  <si>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</si>
  <si>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</si>
  <si>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</si>
  <si>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</si>
  <si>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</si>
  <si>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</si>
  <si>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</si>
  <si>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</si>
  <si>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</si>
  <si>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</si>
  <si>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</si>
  <si>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</si>
  <si>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</si>
  <si>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</si>
  <si>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</si>
  <si>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</si>
  <si>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</si>
  <si>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</si>
  <si>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</si>
  <si>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</si>
  <si>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</si>
  <si>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</si>
  <si>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</si>
  <si>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</si>
  <si>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</si>
  <si>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</si>
  <si>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</si>
  <si>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</si>
  <si>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</si>
  <si>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</si>
  <si>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</si>
  <si>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</si>
  <si>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</si>
  <si>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</si>
  <si>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</si>
  <si>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</si>
  <si>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</si>
  <si>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</si>
  <si>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</si>
  <si>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</si>
  <si>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</si>
  <si>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</si>
  <si>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</si>
  <si>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</si>
  <si>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</si>
  <si>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</si>
  <si>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</si>
  <si>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</si>
  <si>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</si>
  <si>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</si>
  <si>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</si>
  <si>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</si>
  <si>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</si>
  <si>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</si>
  <si>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</si>
  <si>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</si>
  <si>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</si>
  <si>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</si>
  <si>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</si>
  <si>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ECR - REMOVE AND REVISE ALL APPLICABLE DOCUMENTS WITH ENGINEERING CONTROLLED AND UNRELEASED INFORMATION PER ATTACHED EMAIL FROM M. B.</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</si>
  <si>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</si>
  <si>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</si>
  <si>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</si>
  <si>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</si>
  <si>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</si>
  <si>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</si>
  <si>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</si>
  <si>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</si>
  <si>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</si>
  <si>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</si>
  <si>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</si>
  <si>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</si>
  <si>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</si>
  <si>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</si>
  <si>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</si>
  <si>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</si>
  <si>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</si>
  <si>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</si>
  <si>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</si>
  <si>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UPDATE DRAWING W.302276-00-01 PER CWI STANDARDS. UPDATE ALL CORRESPONDING PARTS WITH W. PREFIX</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</si>
  <si>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</si>
  <si>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</si>
  <si>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</si>
  <si>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</si>
  <si>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</si>
  <si>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</si>
  <si>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</si>
  <si>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</si>
  <si>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</si>
  <si>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</si>
  <si>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</si>
  <si>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</si>
  <si>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</si>
  <si>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</si>
  <si>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</si>
  <si>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</si>
  <si>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</si>
  <si>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</si>
  <si>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</si>
  <si>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</si>
  <si>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</si>
  <si>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</si>
  <si>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</si>
  <si>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</si>
  <si>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</si>
  <si>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</si>
  <si>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UPDATE DRAWING W.302169-00-00 PER CWI STANDARDS. UPDATE ALL CORRESPONDING PARTS WITH W. PREFIX</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</si>
  <si>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</si>
  <si>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</si>
  <si>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</si>
  <si>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</si>
  <si>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</si>
  <si>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</si>
  <si>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</si>
  <si>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</si>
  <si>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</si>
  <si>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</si>
  <si>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</si>
  <si>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</si>
  <si>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</si>
  <si>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</si>
  <si>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</si>
  <si>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</si>
  <si>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</si>
  <si>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</si>
  <si>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UPDATE DRAWING W.302548-00-00 PER CWI STANDARDS. UPDATE ALL CORRESPONDING PARTS WITH W. PREFIX</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</si>
  <si>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</si>
  <si>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</si>
  <si>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</si>
  <si>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</si>
  <si>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</si>
  <si>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</si>
  <si>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</si>
  <si>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</si>
  <si>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</si>
  <si>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</si>
  <si>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</si>
  <si>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</si>
  <si>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</si>
  <si>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</si>
  <si>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</si>
  <si>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</si>
  <si>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</si>
  <si>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</si>
  <si>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</si>
  <si>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</si>
  <si>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</si>
  <si>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</si>
  <si>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</si>
  <si>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</si>
  <si>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</si>
  <si>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</si>
  <si>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</si>
  <si>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</si>
  <si>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</si>
  <si>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</si>
  <si>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</si>
  <si>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</si>
  <si>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</si>
  <si>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</si>
  <si>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</si>
  <si>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</si>
  <si>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</si>
  <si>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</si>
  <si>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</si>
  <si>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</si>
  <si>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</si>
  <si>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</si>
  <si>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</si>
  <si>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</si>
  <si>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</si>
  <si>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</si>
  <si>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</si>
  <si>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</si>
  <si>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</si>
  <si>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</si>
  <si>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</si>
  <si>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</si>
  <si>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</si>
  <si>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</si>
  <si>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</si>
  <si>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</si>
  <si>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</si>
  <si>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</si>
  <si>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</si>
  <si>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</si>
  <si>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</si>
  <si>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</si>
  <si>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</si>
  <si>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</si>
  <si>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</si>
  <si>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</si>
  <si>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</si>
  <si>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</si>
  <si>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</si>
  <si>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</si>
  <si>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</si>
  <si>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</si>
  <si>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</si>
  <si>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</si>
  <si>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</si>
  <si>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</si>
  <si>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</si>
  <si>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</si>
  <si>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</si>
  <si>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</si>
  <si>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</si>
  <si>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</si>
  <si>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</si>
  <si>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</si>
  <si>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</si>
  <si>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</si>
  <si>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</si>
  <si>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</si>
  <si>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</si>
  <si>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</si>
  <si>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</si>
  <si>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</si>
  <si>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</si>
  <si>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</si>
  <si>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</si>
  <si>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</si>
  <si>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</si>
  <si>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</si>
  <si>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</si>
  <si>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</si>
  <si>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</si>
  <si>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</si>
  <si>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</si>
  <si>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</si>
  <si>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</si>
  <si>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</si>
  <si>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</si>
  <si>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UPDATE DRAWING W.302264-00-00 PER CWI STANDARDS. UPDATE ALL CORRESPONDING PARTS WITH W. PREFIX</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</si>
  <si>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</si>
  <si>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</si>
  <si>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</si>
  <si>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</si>
  <si>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</si>
  <si>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</si>
  <si>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</si>
  <si>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</si>
  <si>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</si>
  <si>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</si>
  <si>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</si>
  <si>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</si>
  <si>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</si>
  <si>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</si>
  <si>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</si>
  <si>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</si>
  <si>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</si>
  <si>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</si>
  <si>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</si>
  <si>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</si>
  <si>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</si>
  <si>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</si>
  <si>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</si>
  <si>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</si>
  <si>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</si>
  <si>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</si>
  <si>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</si>
  <si>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</si>
  <si>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</si>
  <si>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</si>
  <si>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</si>
  <si>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</si>
  <si>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</si>
  <si>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</si>
  <si>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</si>
  <si>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</si>
  <si>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</si>
  <si>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</si>
  <si>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</si>
  <si>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</si>
  <si>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</si>
  <si>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</si>
  <si>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</si>
  <si>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</si>
  <si>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</si>
  <si>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</si>
  <si>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</si>
  <si>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</si>
  <si>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</si>
  <si>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</si>
  <si>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</si>
  <si>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</si>
  <si>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</si>
  <si>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</si>
  <si>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</si>
  <si>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</si>
  <si>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</si>
  <si>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</si>
  <si>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</si>
  <si>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</si>
  <si>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</si>
  <si>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</si>
  <si>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</si>
  <si>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</si>
  <si>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</si>
  <si>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</si>
  <si>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</si>
  <si>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</si>
  <si>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</si>
  <si>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</si>
  <si>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</si>
  <si>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</si>
  <si>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</si>
  <si>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</si>
  <si>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</si>
  <si>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</si>
  <si>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</si>
  <si>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</si>
  <si>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</si>
  <si>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</si>
  <si>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</si>
  <si>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</si>
  <si>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</si>
  <si>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</si>
  <si>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</si>
  <si>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</si>
  <si>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</si>
  <si>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</si>
  <si>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</si>
  <si>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</si>
  <si>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</si>
  <si>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</si>
  <si>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</si>
  <si>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</si>
  <si>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</si>
  <si>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</si>
  <si>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</si>
  <si>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</si>
  <si>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</si>
  <si>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</si>
  <si>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</si>
  <si>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</si>
  <si>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</si>
  <si>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</si>
  <si>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</si>
  <si>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</si>
  <si>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</si>
  <si>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</si>
  <si>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</si>
  <si>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</si>
  <si>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</si>
  <si>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</si>
  <si>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</si>
  <si>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</si>
  <si>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</si>
  <si>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</si>
  <si>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</si>
  <si>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</si>
  <si>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</si>
  <si>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</si>
  <si>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</si>
  <si>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</si>
  <si>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</si>
  <si>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</si>
  <si>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</si>
  <si>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The assembly requires two (P/N 313566-00 SAP 594282) key stocks.  The BOM Drawing, 313285-02-01 Rev. 2 Item 42, only has a qty of one.  Reference parts; (Upper Body 316310-00-01 Section P-P)and (Lower Body 316309-00-01 Detail C).  There needs to be two keys to secure the two bodies together.</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</si>
  <si>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</si>
  <si>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</si>
  <si>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</si>
  <si>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</si>
  <si>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</si>
  <si>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</si>
  <si>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</si>
  <si>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</si>
  <si>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</si>
  <si>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</si>
  <si>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</si>
  <si>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</si>
  <si>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</si>
  <si>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</si>
  <si>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</si>
  <si>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</si>
  <si>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</si>
  <si>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</si>
  <si>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</si>
  <si>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</si>
  <si>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</si>
  <si>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</si>
  <si>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</si>
  <si>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</si>
  <si>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</si>
  <si>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</si>
  <si>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</si>
  <si>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</si>
  <si>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</si>
  <si>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</si>
  <si>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</si>
  <si>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</si>
  <si>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</si>
  <si>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</si>
  <si>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</si>
  <si>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</si>
  <si>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</si>
  <si>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</si>
  <si>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</si>
  <si>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</si>
  <si>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</si>
  <si>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</si>
  <si>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</si>
  <si>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</si>
  <si>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</si>
  <si>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</si>
  <si>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</si>
  <si>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</si>
  <si>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</si>
  <si>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</si>
  <si>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</si>
  <si>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</si>
  <si>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</si>
  <si>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</si>
  <si>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</si>
  <si>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</si>
  <si>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</si>
  <si>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</si>
  <si>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</si>
  <si>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</si>
  <si>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FCtype</t>
  </si>
  <si>
    <t>FCcode</t>
  </si>
  <si>
    <t>FCstate</t>
  </si>
  <si>
    <t>DItype</t>
  </si>
  <si>
    <t>DIcode</t>
  </si>
  <si>
    <t>DIstate</t>
  </si>
  <si>
    <t>Stype</t>
  </si>
  <si>
    <t>Scode</t>
  </si>
  <si>
    <t>Sstate</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</si>
  <si>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</si>
  <si>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</si>
  <si>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</si>
  <si>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</si>
  <si>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</si>
  <si>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</si>
  <si>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</si>
  <si>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</si>
  <si>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</si>
  <si>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</si>
  <si>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</si>
  <si>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</si>
  <si>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</si>
  <si>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</si>
  <si>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</si>
  <si>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</si>
  <si>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</si>
  <si>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</si>
  <si>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</si>
  <si>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</si>
  <si>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</si>
  <si>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</si>
  <si>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</si>
  <si>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</si>
  <si>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</si>
  <si>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</si>
  <si>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</si>
  <si>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</si>
  <si>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</si>
  <si>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</si>
  <si>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</si>
  <si>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</si>
  <si>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</si>
  <si>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</si>
  <si>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</si>
  <si>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</si>
  <si>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</si>
  <si>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</si>
  <si>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</si>
  <si>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</si>
  <si>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</si>
  <si>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</si>
  <si>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</si>
  <si>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</si>
  <si>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</si>
  <si>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</si>
  <si>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</si>
  <si>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</si>
  <si>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</si>
  <si>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</si>
  <si>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</si>
  <si>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</si>
  <si>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</si>
  <si>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</si>
  <si>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</si>
  <si>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</si>
  <si>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</si>
  <si>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</si>
  <si>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</si>
  <si>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</si>
  <si>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</si>
  <si>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</si>
  <si>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</si>
  <si>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</si>
  <si>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</si>
  <si>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</si>
  <si>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</si>
  <si>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</si>
  <si>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</si>
  <si>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</si>
  <si>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</si>
  <si>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</si>
  <si>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</si>
  <si>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</si>
  <si>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</si>
  <si>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</si>
  <si>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</si>
  <si>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</si>
  <si>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</si>
  <si>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</si>
  <si>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</si>
  <si>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</si>
  <si>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</si>
  <si>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</si>
  <si>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</si>
  <si>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</si>
  <si>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</si>
  <si>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</si>
  <si>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</si>
  <si>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</si>
  <si>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</si>
  <si>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</si>
  <si>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</si>
  <si>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</si>
  <si>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</si>
  <si>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</si>
  <si>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</si>
  <si>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</si>
  <si>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</si>
  <si>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</si>
  <si>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</si>
  <si>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</si>
  <si>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</si>
  <si>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</si>
  <si>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</si>
  <si>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</si>
  <si>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</si>
  <si>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</si>
  <si>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627375</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</si>
  <si>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</si>
  <si>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</si>
  <si>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</si>
  <si>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</si>
  <si>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</si>
  <si>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</si>
  <si>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</si>
  <si>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</si>
  <si>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</si>
  <si>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</si>
  <si>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</si>
  <si>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</si>
  <si>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</si>
  <si>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</si>
  <si>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</si>
  <si>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</si>
  <si>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</si>
  <si>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</si>
  <si>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</si>
  <si>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</si>
  <si>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</si>
  <si>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619712</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</si>
  <si>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</si>
  <si>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</si>
  <si>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</si>
  <si>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</si>
  <si>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</si>
  <si>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</si>
  <si>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</si>
  <si>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</si>
  <si>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</si>
  <si>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</si>
  <si>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</si>
  <si>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</si>
  <si>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</si>
  <si>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</si>
  <si>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</si>
  <si>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</si>
  <si>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</si>
  <si>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</si>
  <si>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</si>
  <si>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</si>
  <si>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</si>
  <si>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</si>
  <si>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</si>
  <si>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</si>
  <si>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</si>
  <si>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</si>
  <si>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</si>
  <si>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</si>
  <si>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</si>
  <si>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</si>
  <si>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</si>
  <si>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</si>
  <si>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</si>
  <si>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</si>
  <si>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</si>
  <si>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</si>
  <si>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</si>
  <si>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</si>
  <si>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</si>
  <si>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</si>
  <si>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</si>
  <si>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</si>
  <si>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</si>
  <si>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</si>
  <si>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</si>
  <si>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</si>
  <si>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</si>
  <si>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</si>
  <si>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</si>
  <si>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</si>
  <si>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</si>
  <si>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</si>
  <si>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</si>
  <si>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</si>
  <si>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</si>
  <si>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</si>
  <si>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</si>
  <si>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</si>
  <si>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</si>
  <si>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</si>
  <si>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</si>
  <si>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</si>
  <si>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</si>
  <si>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</si>
  <si>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</si>
  <si>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</si>
  <si>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</si>
  <si>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</si>
  <si>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</si>
  <si>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</si>
  <si>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</si>
  <si>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</si>
  <si>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</si>
  <si>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</si>
  <si>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</si>
  <si>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</si>
  <si>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</si>
  <si>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</si>
  <si>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</si>
  <si>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</si>
  <si>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</si>
  <si>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</si>
  <si>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</si>
  <si>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</si>
  <si>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</si>
  <si>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</si>
  <si>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</si>
  <si>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</si>
  <si>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</si>
  <si>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</si>
  <si>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</si>
  <si>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</si>
  <si>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</si>
  <si>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</si>
  <si>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</si>
  <si>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</si>
  <si>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</si>
  <si>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</si>
  <si>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</si>
  <si>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</si>
  <si>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</si>
  <si>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</si>
  <si>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</si>
  <si>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</si>
  <si>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</si>
  <si>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</si>
  <si>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</si>
  <si>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</si>
  <si>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</si>
  <si>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</si>
  <si>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</si>
  <si>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</si>
  <si>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</si>
  <si>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</si>
  <si>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</si>
  <si>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</si>
  <si>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</si>
  <si>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</si>
  <si>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</si>
  <si>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</si>
  <si>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</si>
  <si>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</si>
  <si>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</si>
  <si>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</si>
  <si>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</si>
  <si>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</si>
  <si>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</si>
  <si>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</si>
  <si>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</si>
  <si>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</si>
  <si>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</si>
  <si>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</si>
  <si>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</si>
  <si>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</si>
  <si>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</si>
  <si>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</si>
  <si>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</si>
  <si>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</si>
  <si>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</si>
  <si>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</si>
  <si>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</si>
  <si>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</si>
  <si>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</si>
  <si>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</si>
  <si>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</si>
  <si>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</si>
  <si>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</si>
  <si>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</si>
  <si>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</si>
  <si>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</si>
  <si>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</si>
  <si>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</si>
  <si>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</si>
  <si>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</si>
  <si>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</si>
  <si>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</si>
  <si>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</si>
  <si>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</si>
  <si>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</si>
  <si>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</si>
  <si>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</si>
  <si>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</si>
  <si>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</si>
  <si>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</si>
  <si>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</si>
  <si>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</si>
  <si>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</si>
  <si>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</si>
  <si>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</si>
  <si>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</si>
  <si>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</si>
  <si>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</si>
  <si>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</si>
  <si>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</si>
  <si>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</si>
  <si>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</si>
  <si>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</si>
  <si>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</si>
  <si>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</si>
  <si>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</si>
  <si>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</si>
  <si>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</si>
  <si>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</si>
  <si>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</si>
  <si>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</si>
  <si>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</si>
  <si>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</si>
  <si>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</si>
  <si>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</si>
  <si>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</si>
  <si>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</si>
  <si>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</si>
  <si>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</si>
  <si>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</si>
  <si>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</si>
  <si>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</si>
  <si>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</si>
  <si>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</si>
  <si>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</si>
  <si>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</si>
  <si>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</si>
  <si>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</si>
  <si>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</si>
  <si>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</si>
  <si>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</si>
  <si>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</si>
  <si>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</si>
  <si>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</si>
  <si>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</si>
  <si>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</si>
  <si>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</si>
  <si>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</si>
  <si>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</si>
  <si>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</si>
  <si>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</si>
  <si>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</si>
  <si>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</si>
  <si>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</si>
  <si>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</si>
  <si>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</si>
  <si>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</si>
  <si>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</si>
  <si>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</si>
  <si>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</si>
  <si>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</si>
  <si>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</si>
  <si>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</si>
  <si>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</si>
  <si>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</si>
  <si>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</si>
  <si>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</si>
  <si>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</si>
  <si>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</si>
  <si>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</si>
  <si>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</si>
  <si>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</si>
  <si>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</si>
  <si>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</si>
  <si>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</si>
  <si>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</si>
  <si>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</si>
  <si>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</si>
  <si>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</si>
  <si>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</si>
  <si>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</si>
  <si>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</si>
  <si>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</si>
  <si>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</si>
  <si>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</si>
  <si>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</si>
  <si>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</si>
  <si>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</si>
  <si>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</si>
  <si>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</si>
  <si>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</si>
  <si>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</si>
  <si>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</si>
  <si>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</si>
  <si>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</si>
  <si>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</si>
  <si>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</si>
  <si>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</si>
  <si>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</si>
  <si>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</si>
  <si>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</si>
  <si>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</si>
  <si>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</si>
  <si>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</si>
  <si>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</si>
  <si>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</si>
  <si>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</si>
  <si>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</si>
  <si>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</si>
  <si>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</si>
  <si>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</si>
  <si>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</si>
  <si>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</si>
  <si>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</si>
  <si>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</si>
  <si>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679217</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</si>
  <si>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</si>
  <si>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</si>
  <si>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</si>
  <si>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</si>
  <si>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</si>
  <si>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</si>
  <si>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</si>
  <si>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</si>
  <si>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</si>
  <si>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</si>
  <si>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</si>
  <si>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</si>
  <si>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</si>
  <si>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</si>
  <si>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</si>
  <si>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</si>
  <si>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</si>
  <si>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</si>
  <si>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</si>
  <si>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</si>
  <si>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</si>
  <si>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</si>
  <si>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</si>
  <si>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</si>
  <si>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</si>
  <si>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</si>
  <si>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</si>
  <si>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</si>
  <si>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</si>
  <si>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</si>
  <si>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</si>
  <si>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</si>
  <si>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</si>
  <si>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</si>
  <si>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</si>
  <si>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</si>
  <si>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</si>
  <si>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</si>
  <si>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</si>
  <si>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</si>
  <si>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</si>
  <si>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</si>
  <si>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</si>
  <si>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682094</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</si>
  <si>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</si>
  <si>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</si>
  <si>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</si>
  <si>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</si>
  <si>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</si>
  <si>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</si>
  <si>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</si>
  <si>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</si>
  <si>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</si>
  <si>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</si>
  <si>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</si>
  <si>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</si>
  <si>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</si>
  <si>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</si>
  <si>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</si>
  <si>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</si>
  <si>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</si>
  <si>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</si>
  <si>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</si>
  <si>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</si>
  <si>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</si>
  <si>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</si>
  <si>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</si>
  <si>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</si>
  <si>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</si>
  <si>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</si>
  <si>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</si>
  <si>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</si>
  <si>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</si>
  <si>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</si>
  <si>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</si>
  <si>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</si>
  <si>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</si>
  <si>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</si>
  <si>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</si>
  <si>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</si>
  <si>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</si>
  <si>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</si>
  <si>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</si>
  <si>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</si>
  <si>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</si>
  <si>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</si>
  <si>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</si>
  <si>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</si>
  <si>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</si>
  <si>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</si>
  <si>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</si>
  <si>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</si>
  <si>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</si>
  <si>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</si>
  <si>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</si>
  <si>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</si>
  <si>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</si>
  <si>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</si>
  <si>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</si>
  <si>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</si>
  <si>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</si>
  <si>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</si>
  <si>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</si>
  <si>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</si>
  <si>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</si>
  <si>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</si>
  <si>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</si>
  <si>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</si>
  <si>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</si>
  <si>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</si>
  <si>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</si>
  <si>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</si>
  <si>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</si>
  <si>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</si>
  <si>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</si>
  <si>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</si>
  <si>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</si>
  <si>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</si>
  <si>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</si>
  <si>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</si>
  <si>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</si>
  <si>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</si>
  <si>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</si>
  <si>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</si>
  <si>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</si>
  <si>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</si>
  <si>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</si>
  <si>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</si>
  <si>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</si>
  <si>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</si>
  <si>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</si>
  <si>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</si>
  <si>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</si>
  <si>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</si>
  <si>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</si>
  <si>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</si>
  <si>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</si>
  <si>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</si>
  <si>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</si>
  <si>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</si>
  <si>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</si>
  <si>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</si>
  <si>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</si>
  <si>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</si>
  <si>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</si>
  <si>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</si>
  <si>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689901</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</si>
  <si>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</si>
  <si>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</si>
  <si>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</si>
  <si>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</si>
  <si>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</si>
  <si>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</si>
  <si>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</si>
  <si>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</si>
  <si>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</si>
  <si>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</si>
  <si>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</si>
  <si>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</si>
  <si>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</si>
  <si>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</si>
  <si>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</si>
  <si>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</si>
  <si>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</si>
  <si>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</si>
  <si>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</si>
  <si>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</si>
  <si>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667350</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</si>
  <si>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</si>
  <si>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</si>
  <si>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</si>
  <si>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</si>
  <si>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</si>
  <si>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</si>
  <si>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</si>
  <si>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</si>
  <si>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</si>
  <si>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</si>
  <si>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</si>
  <si>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</si>
  <si>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</si>
  <si>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</si>
  <si>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</si>
  <si>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</si>
  <si>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</si>
  <si>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</si>
  <si>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</si>
  <si>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</si>
  <si>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</si>
  <si>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</si>
  <si>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</si>
  <si>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</si>
  <si>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</si>
  <si>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</si>
  <si>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</si>
  <si>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</si>
  <si>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</si>
  <si>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</si>
  <si>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</si>
  <si>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</si>
  <si>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</si>
  <si>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</si>
  <si>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</si>
  <si>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</si>
  <si>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</si>
  <si>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</si>
  <si>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</si>
  <si>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</si>
  <si>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</si>
  <si>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</si>
  <si>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</si>
  <si>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</si>
  <si>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</si>
  <si>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</si>
  <si>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</si>
  <si>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</si>
  <si>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</si>
  <si>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</si>
  <si>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</si>
  <si>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</si>
  <si>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</si>
  <si>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</si>
  <si>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</si>
  <si>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</si>
  <si>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</si>
  <si>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</si>
  <si>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</si>
  <si>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</si>
  <si>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</si>
  <si>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</si>
  <si>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</si>
  <si>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</si>
  <si>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</si>
  <si>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</si>
  <si>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</si>
  <si>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</si>
  <si>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</si>
  <si>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</si>
  <si>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</si>
  <si>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</si>
  <si>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</si>
  <si>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</si>
  <si>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</si>
  <si>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</si>
  <si>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</si>
  <si>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</si>
  <si>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</si>
  <si>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</si>
  <si>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</si>
  <si>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</si>
  <si>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</si>
  <si>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</si>
  <si>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</si>
  <si>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</si>
  <si>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</si>
  <si>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</si>
  <si>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</si>
  <si>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</si>
  <si>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</si>
  <si>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</si>
  <si>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</si>
  <si>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</si>
  <si>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</si>
  <si>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</si>
  <si>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</si>
  <si>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</si>
  <si>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</si>
  <si>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</si>
  <si>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</si>
  <si>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</si>
  <si>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</si>
  <si>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</si>
  <si>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</si>
  <si>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</si>
  <si>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</si>
  <si>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</si>
  <si>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</si>
  <si>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</si>
  <si>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</si>
  <si>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</si>
  <si>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</si>
  <si>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</si>
  <si>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</si>
  <si>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</si>
  <si>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</si>
  <si>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</si>
  <si>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</si>
  <si>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</si>
  <si>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</si>
  <si>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</si>
  <si>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</si>
  <si>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</si>
  <si>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</si>
  <si>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</si>
  <si>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</si>
  <si>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</si>
  <si>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</si>
  <si>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</si>
  <si>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</si>
  <si>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</si>
  <si>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</si>
  <si>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</si>
  <si>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</si>
  <si>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</si>
  <si>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</si>
  <si>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</si>
  <si>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</si>
  <si>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</si>
  <si>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</si>
  <si>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</si>
  <si>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</si>
  <si>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</si>
  <si>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</si>
  <si>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</si>
  <si>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</si>
  <si>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</si>
  <si>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</si>
  <si>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</si>
  <si>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</si>
  <si>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</si>
  <si>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</si>
  <si>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</si>
  <si>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</si>
  <si>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</si>
  <si>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</si>
  <si>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</si>
  <si>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</si>
  <si>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</si>
  <si>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</si>
  <si>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</si>
  <si>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</si>
  <si>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</si>
  <si>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</si>
  <si>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</si>
  <si>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</si>
  <si>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</si>
  <si>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</si>
  <si>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</si>
  <si>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</si>
  <si>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</si>
  <si>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</si>
  <si>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</si>
  <si>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</si>
  <si>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</si>
  <si>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</si>
  <si>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</si>
  <si>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</si>
  <si>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</si>
  <si>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</si>
  <si>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</si>
  <si>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</si>
  <si>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</si>
  <si>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</si>
  <si>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</si>
  <si>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</si>
  <si>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667346</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</si>
  <si>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</si>
  <si>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</si>
  <si>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</si>
  <si>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</si>
  <si>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</si>
  <si>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</si>
  <si>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</si>
  <si>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</si>
  <si>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</si>
  <si>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</si>
  <si>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</si>
  <si>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</si>
  <si>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</si>
  <si>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</si>
  <si>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</si>
  <si>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</si>
  <si>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</si>
  <si>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</si>
  <si>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</si>
  <si>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</si>
  <si>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</si>
  <si>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</si>
  <si>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</si>
  <si>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</si>
  <si>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</si>
  <si>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</si>
  <si>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</si>
  <si>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</si>
  <si>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</si>
  <si>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</si>
  <si>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</si>
  <si>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</si>
  <si>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</si>
  <si>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</si>
  <si>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</si>
  <si>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</si>
  <si>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</si>
  <si>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</si>
  <si>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</si>
  <si>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</si>
  <si>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</si>
  <si>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</si>
  <si>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</si>
  <si>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</si>
  <si>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</si>
  <si>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</si>
  <si>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</si>
  <si>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</si>
  <si>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</si>
  <si>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</si>
  <si>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</si>
  <si>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</si>
  <si>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</si>
  <si>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</si>
  <si>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</si>
  <si>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</si>
  <si>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</si>
  <si>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</si>
  <si>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</si>
  <si>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</si>
  <si>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</si>
  <si>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</si>
  <si>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</si>
  <si>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</si>
  <si>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</si>
  <si>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</si>
  <si>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</si>
  <si>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</si>
  <si>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</si>
  <si>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</si>
  <si>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</si>
  <si>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</si>
  <si>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</si>
  <si>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</si>
  <si>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</si>
  <si>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</si>
  <si>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</si>
  <si>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</si>
  <si>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</si>
  <si>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</si>
  <si>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</si>
  <si>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</si>
  <si>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</si>
  <si>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</si>
  <si>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</si>
  <si>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</si>
  <si>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</si>
  <si>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</si>
  <si>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</si>
  <si>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</si>
  <si>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</si>
  <si>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</si>
  <si>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</si>
  <si>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</si>
  <si>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</si>
  <si>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</si>
  <si>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</si>
  <si>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</si>
  <si>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</si>
  <si>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</si>
  <si>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</si>
  <si>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</si>
  <si>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</si>
  <si>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</si>
  <si>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</si>
  <si>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</si>
  <si>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</si>
  <si>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</si>
  <si>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</si>
  <si>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</si>
  <si>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</si>
  <si>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</si>
  <si>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</si>
  <si>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</si>
  <si>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</si>
  <si>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</si>
  <si>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</si>
  <si>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514302</t>
  </si>
  <si>
    <t>673797</t>
  </si>
  <si>
    <t>613047</t>
  </si>
  <si>
    <t>622806</t>
  </si>
  <si>
    <t>669478</t>
  </si>
  <si>
    <t>666603</t>
  </si>
  <si>
    <t>671221</t>
  </si>
  <si>
    <t>659194</t>
  </si>
  <si>
    <t>627852</t>
  </si>
  <si>
    <t>664801</t>
  </si>
  <si>
    <t>671607</t>
  </si>
  <si>
    <t>678617</t>
  </si>
  <si>
    <t>659326</t>
  </si>
  <si>
    <t>661903</t>
  </si>
  <si>
    <t>666702</t>
  </si>
  <si>
    <t>679658</t>
  </si>
  <si>
    <t>663259</t>
  </si>
  <si>
    <t>538472</t>
  </si>
  <si>
    <t>557734</t>
  </si>
  <si>
    <t>687815</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</si>
  <si>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</si>
  <si>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</si>
  <si>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</si>
  <si>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</si>
  <si>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</si>
  <si>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</si>
  <si>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</si>
  <si>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</si>
  <si>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</si>
  <si>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</si>
  <si>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</si>
  <si>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</si>
  <si>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</si>
  <si>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</si>
  <si>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</si>
  <si>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</si>
  <si>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</si>
  <si>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</si>
  <si>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</si>
  <si>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</si>
  <si>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</si>
  <si>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</si>
  <si>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</si>
  <si>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</si>
  <si>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</si>
  <si>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</si>
  <si>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</si>
  <si>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</si>
  <si>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</si>
  <si>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</si>
  <si>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</si>
  <si>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</si>
  <si>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</si>
  <si>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</si>
  <si>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</si>
  <si>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</si>
  <si>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Current Sheet Filter Prefix</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</si>
  <si>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</si>
  <si>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</si>
  <si>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</si>
  <si>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</si>
  <si>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</si>
  <si>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</si>
  <si>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</si>
  <si>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</si>
  <si>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</si>
  <si>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</si>
  <si>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</si>
  <si>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</si>
  <si>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</si>
  <si>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</si>
  <si>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</si>
  <si>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</si>
  <si>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</si>
  <si>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</si>
  <si>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REQUEST TO REPLICATE ISSUES WITH TRENDING FUNCTIONALITY IN SWM, ENCOUNTERED BY BSP, AND PROVIDE SOLUTION.  PLEASE SEE
ATTACHED EMAIL CORRESPONDENCE FOR MORE DETAILS.
2011-06-27, Weekly Meeting:  RTA to be moved to WD5 lab office.  Needs to be a high priority.</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</si>
  <si>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</si>
  <si>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</si>
  <si>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</si>
  <si>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</si>
  <si>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</si>
  <si>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</si>
  <si>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</si>
  <si>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</si>
  <si>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</si>
  <si>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</si>
  <si>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</si>
  <si>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Standard Production Lead Time</t>
  </si>
  <si>
    <t>Remaining Production Lead Time</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</si>
  <si>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</si>
  <si>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</si>
  <si>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</si>
  <si>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</si>
  <si>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</si>
  <si>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</si>
  <si>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</si>
  <si>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</si>
  <si>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Tech Rev'd Due Date</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</si>
  <si>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</si>
  <si>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</si>
  <si>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</si>
  <si>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</si>
  <si>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</si>
  <si>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</si>
  <si>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</si>
  <si>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</si>
  <si>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</si>
  <si>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</si>
  <si>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</si>
  <si>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</si>
  <si>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</si>
  <si>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</si>
  <si>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</si>
  <si>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</si>
  <si>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</si>
  <si>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</si>
  <si>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</si>
  <si>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</si>
  <si>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</si>
  <si>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</si>
  <si>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Maersk Oil Qatar</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</si>
  <si>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</si>
  <si>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</si>
  <si>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</si>
  <si>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</si>
  <si>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</si>
  <si>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</si>
  <si>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</si>
  <si>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</si>
  <si>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</si>
  <si>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</si>
  <si>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</si>
  <si>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</si>
  <si>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</si>
  <si>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</si>
  <si>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</si>
  <si>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</si>
  <si>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</si>
  <si>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</si>
  <si>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</si>
  <si>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</si>
  <si>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</si>
  <si>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</si>
  <si>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698242</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</si>
  <si>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</si>
  <si>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</si>
  <si>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</si>
  <si>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</si>
  <si>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</si>
  <si>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</si>
  <si>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</si>
  <si>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</si>
  <si>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</si>
  <si>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</si>
  <si>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</si>
  <si>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</si>
  <si>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</si>
  <si>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</si>
  <si>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</si>
  <si>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</si>
  <si>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</si>
  <si>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</si>
  <si>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</si>
  <si>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</si>
  <si>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</si>
  <si>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</si>
  <si>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</si>
  <si>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700105</t>
  </si>
  <si>
    <t>700181</t>
  </si>
  <si>
    <t>RTA CREATION FOR NEW WA FOR ROCKNI VAN CLEIF</t>
  </si>
  <si>
    <t>700190</t>
  </si>
  <si>
    <t>Rockni Van Clief</t>
  </si>
  <si>
    <t>Cole Grandjean</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</si>
  <si>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</si>
  <si>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</si>
  <si>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</si>
  <si>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</si>
  <si>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</si>
  <si>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</si>
  <si>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</si>
  <si>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</si>
  <si>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</si>
  <si>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</si>
  <si>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</si>
  <si>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</si>
  <si>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</si>
  <si>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</si>
  <si>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</si>
  <si>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</si>
  <si>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</si>
  <si>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</si>
  <si>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</si>
  <si>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</si>
  <si>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703939</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</si>
  <si>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</si>
  <si>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</si>
  <si>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</si>
  <si>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</si>
  <si>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</si>
  <si>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</si>
  <si>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</si>
  <si>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</si>
  <si>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</si>
  <si>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</si>
  <si>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</si>
  <si>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</si>
  <si>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</si>
  <si>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</si>
  <si>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</si>
  <si>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</si>
  <si>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</si>
  <si>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</si>
  <si>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</si>
  <si>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</si>
  <si>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</si>
  <si>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</si>
  <si>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</si>
  <si>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</si>
  <si>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</si>
  <si>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</si>
  <si>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</si>
  <si>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</si>
  <si>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</si>
  <si>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</si>
  <si>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</si>
  <si>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</si>
  <si>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</si>
  <si>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</si>
  <si>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</si>
  <si>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</si>
  <si>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</si>
  <si>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</si>
  <si>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</si>
  <si>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</si>
  <si>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</si>
  <si>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</si>
  <si>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</si>
  <si>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</si>
  <si>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</si>
  <si>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</si>
  <si>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707207</t>
  </si>
  <si>
    <t>M/N-101847491, 101853798, 102002536, Drawing 311786-11-01 Rev.A
Please remove the 4.0 Min length dimension for the 3-1/2 VAM Top Pin Thread.</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</si>
  <si>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</si>
  <si>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</si>
  <si>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</si>
  <si>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</si>
  <si>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</si>
  <si>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</si>
  <si>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</si>
  <si>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</si>
  <si>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</si>
  <si>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</si>
  <si>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</si>
  <si>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</si>
  <si>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</si>
  <si>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</si>
  <si>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</si>
  <si>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CREATE AMS TEMPLATE FOR DI SOFTWARE</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</si>
  <si>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</si>
  <si>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</si>
  <si>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</si>
  <si>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</si>
  <si>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</si>
  <si>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</si>
  <si>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</si>
  <si>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</si>
  <si>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</si>
  <si>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</si>
  <si>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</si>
  <si>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</si>
  <si>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</si>
  <si>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</si>
  <si>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</si>
  <si>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</si>
  <si>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</si>
  <si>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</si>
  <si>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</si>
  <si>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</si>
  <si>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</si>
  <si>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</si>
  <si>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</si>
  <si>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707805</t>
  </si>
  <si>
    <t>Turkish Petroleum</t>
  </si>
  <si>
    <t>ECR TO CREATE AS BUILT DRAWINGS FOR 71CO647 FOUR WELL MODULAR SAFETY SYSTEM FOR TURKISH PETROLEUM</t>
  </si>
  <si>
    <t>705274</t>
  </si>
  <si>
    <t>707803</t>
  </si>
  <si>
    <t>ECR TO CREATE AS BUILT DRAWINGS FOR 71CO646 FOR TURKISH PETROLEUM</t>
  </si>
  <si>
    <t>A Routine Is currently running (1=true)</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</si>
  <si>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</si>
  <si>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</si>
  <si>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</si>
  <si>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</si>
  <si>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</si>
  <si>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</si>
  <si>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</si>
  <si>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</si>
  <si>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</si>
  <si>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</si>
  <si>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</si>
  <si>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</si>
  <si>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</si>
  <si>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</si>
  <si>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</si>
  <si>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</si>
  <si>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</si>
  <si>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</si>
  <si>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</si>
  <si>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</si>
  <si>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</si>
  <si>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</si>
  <si>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</si>
  <si>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</si>
  <si>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</si>
  <si>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</si>
  <si>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</si>
  <si>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</si>
  <si>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</si>
  <si>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</si>
  <si>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</si>
  <si>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</si>
  <si>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</si>
  <si>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</si>
  <si>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</si>
  <si>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</si>
  <si>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</si>
  <si>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</si>
  <si>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</si>
  <si>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</si>
  <si>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</si>
  <si>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</si>
  <si>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</si>
  <si>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</si>
  <si>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</si>
  <si>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</si>
  <si>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</si>
  <si>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</si>
  <si>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</si>
  <si>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</si>
  <si>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</si>
  <si>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</si>
  <si>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</si>
  <si>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</si>
  <si>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</si>
  <si>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</si>
  <si>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</si>
  <si>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</si>
  <si>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</si>
  <si>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</si>
  <si>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</si>
  <si>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</si>
  <si>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713656</t>
  </si>
  <si>
    <t>To create a 3.5 HSB valve (4140/Inc 718) integretion with accupulse(9 cr) with multi function fitting kit for saudi Aramco along lines of currently supplied HVC integretion (102003691)</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</si>
  <si>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</si>
  <si>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</si>
  <si>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</si>
  <si>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</si>
  <si>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</si>
  <si>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</si>
  <si>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</si>
  <si>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</si>
  <si>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</si>
  <si>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</si>
  <si>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</si>
  <si>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</si>
  <si>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</si>
  <si>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</si>
  <si>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</si>
  <si>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</si>
  <si>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</si>
  <si>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</si>
  <si>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</si>
  <si>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</si>
  <si>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</si>
  <si>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</si>
  <si>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</si>
  <si>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</si>
  <si>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</si>
  <si>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</si>
  <si>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</si>
  <si>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</si>
  <si>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</si>
  <si>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</si>
  <si>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</si>
  <si>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712307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</si>
  <si>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</si>
  <si>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</si>
  <si>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</si>
  <si>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</si>
  <si>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</si>
  <si>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</si>
  <si>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</si>
  <si>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</si>
  <si>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</si>
  <si>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</si>
  <si>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</si>
  <si>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</si>
  <si>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</si>
  <si>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</si>
  <si>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</si>
  <si>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</si>
  <si>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</si>
  <si>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</si>
  <si>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</si>
  <si>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</si>
  <si>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</si>
  <si>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</si>
  <si>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</si>
  <si>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</si>
  <si>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</si>
  <si>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</si>
  <si>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</si>
  <si>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</si>
  <si>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</si>
  <si>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</si>
  <si>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</si>
  <si>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</si>
  <si>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</si>
  <si>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</si>
  <si>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</si>
  <si>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</si>
  <si>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</si>
  <si>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</si>
  <si>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</si>
  <si>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</si>
  <si>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</si>
  <si>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</si>
  <si>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</si>
  <si>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</si>
  <si>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</si>
  <si>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</si>
  <si>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</si>
  <si>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</si>
  <si>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</si>
  <si>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</si>
  <si>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</si>
  <si>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</si>
  <si>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</si>
  <si>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</si>
  <si>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</si>
  <si>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</si>
  <si>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</si>
  <si>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</si>
  <si>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</si>
  <si>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</si>
  <si>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</si>
  <si>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</si>
  <si>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</si>
  <si>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</si>
  <si>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</si>
  <si>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</si>
  <si>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</si>
  <si>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</si>
  <si>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</si>
  <si>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</si>
  <si>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</si>
  <si>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2011-10-04 WM - THE PROJECT IS ON HOLD UNTIL COMPLETION OF GAUGE PROTECTION R00000676065. THE CIRCUIT IS BEING FINALIZED FOR DEVELOPMENT.</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</si>
  <si>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</si>
  <si>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</si>
  <si>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</si>
  <si>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</si>
  <si>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</si>
  <si>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</si>
  <si>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FMC Houston</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</si>
  <si>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</si>
  <si>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</si>
  <si>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</si>
  <si>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</si>
  <si>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</si>
  <si>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Assign to Lab Office 5  7/11/11 DM  Patch sent to field 9/22. Working on engineering report to issue to field and close out RTA. Additional problems per field RTA should be submitted. 11/14/11 DM</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</si>
  <si>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</si>
  <si>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</si>
  <si>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</si>
  <si>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</si>
  <si>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</si>
  <si>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</si>
  <si>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</si>
  <si>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</si>
  <si>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</si>
  <si>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722426</t>
  </si>
  <si>
    <t>UPDATE DRAWINGS 312950-00-01, 313728-00-01, 313148-00-01, 310283-00-01, 313050-00-01, 313044-00-01 TO ADD CRITICAL COMPONENT DESIGNATION TO PRINT</t>
  </si>
  <si>
    <t>736378</t>
  </si>
  <si>
    <t>REMOVE PRESSURE TRANSMITTER, BALL VALVE, AND COMPONENTS AS SHOWN ON MARKED UP DRAWINGS FROM THE CUSTOMER ATTACHED.</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</si>
  <si>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</si>
  <si>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</si>
  <si>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</si>
  <si>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</si>
  <si>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728690</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</si>
  <si>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</si>
  <si>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</si>
  <si>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</si>
  <si>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Statoil Fast Track</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</si>
  <si>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</si>
  <si>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</si>
  <si>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</si>
  <si>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</si>
  <si>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</si>
  <si>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</si>
  <si>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</si>
  <si>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</si>
  <si>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</si>
  <si>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</si>
  <si>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</si>
  <si>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</si>
  <si>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</si>
  <si>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</si>
  <si>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</si>
  <si>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</si>
  <si>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</si>
  <si>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</si>
  <si>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</si>
  <si>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</si>
  <si>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731186</t>
  </si>
  <si>
    <t>Request for creating a SAP number for elctronic part in SHS.Item is a ADAM ethernet switch, 6520i.</t>
  </si>
  <si>
    <t>732963</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</si>
  <si>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</si>
  <si>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</si>
  <si>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</si>
  <si>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</si>
  <si>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</si>
  <si>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</si>
  <si>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</si>
  <si>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</si>
  <si>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</si>
  <si>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</si>
  <si>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</si>
  <si>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</si>
  <si>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</si>
  <si>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</si>
  <si>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</si>
  <si>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</si>
  <si>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</si>
  <si>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</si>
  <si>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</si>
  <si>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</si>
  <si>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</si>
  <si>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</si>
  <si>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733921</t>
  </si>
  <si>
    <t>NSC Chornomornaftogaz</t>
  </si>
  <si>
    <t>728962</t>
  </si>
  <si>
    <t>ADTI-Stella</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</si>
  <si>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</si>
  <si>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</si>
  <si>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</si>
  <si>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</si>
  <si>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</si>
  <si>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</si>
  <si>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</si>
  <si>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</si>
  <si>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</si>
  <si>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</si>
  <si>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</si>
  <si>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</si>
  <si>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</si>
  <si>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</si>
  <si>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Tommie Burks</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</si>
  <si>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</si>
  <si>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</si>
  <si>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</si>
  <si>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</si>
  <si>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</si>
  <si>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Statoil Snorre B</t>
  </si>
  <si>
    <t>ECR D00503211 Drawing should have a (2x) on dimension 7.050.
See attached email.
-----------------------------------------------------------IN ENGINEERING DESIGN-A.BERRET_10/17/2011---------------END
RTA WILL BE CANCELLED, BECAUSE REQUEST WAS COMPLETED ON RTA 718435 (OEWUMI 21OCT11)</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</si>
  <si>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</si>
  <si>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</si>
  <si>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</si>
  <si>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</si>
  <si>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</si>
  <si>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731124</t>
  </si>
  <si>
    <t>PDX/XPIO software has a limitation on the real-time plots generated by the software.  The maximum pressure limit is 10k psi.  Increase the limit to allow for 25kpsi (30kpsi?) gauges.</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</si>
  <si>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</si>
  <si>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</si>
  <si>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</si>
  <si>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</si>
  <si>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</si>
  <si>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</si>
  <si>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</si>
  <si>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</si>
  <si>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727216</t>
  </si>
  <si>
    <t>UPLOAD 309001-06-01 DRAWING FROM DOMINO TO CWI. SETUP PART STRUCTURE.</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</si>
  <si>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</si>
  <si>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</si>
  <si>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</si>
  <si>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</si>
  <si>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</si>
  <si>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</si>
  <si>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</si>
  <si>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</si>
  <si>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</si>
  <si>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</si>
  <si>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</si>
  <si>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</si>
  <si>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</si>
  <si>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</si>
  <si>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</si>
  <si>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</si>
  <si>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</si>
  <si>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</si>
  <si>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</si>
  <si>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</si>
  <si>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</si>
  <si>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</si>
  <si>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</si>
  <si>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</si>
  <si>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</si>
  <si>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736493</t>
  </si>
  <si>
    <t>736379</t>
  </si>
  <si>
    <t>UPLOAD CWI the procedure 7403-5140 referenced in the CPI ATTACHED</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</si>
  <si>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</si>
  <si>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</si>
  <si>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</si>
  <si>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</si>
  <si>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</si>
  <si>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</si>
  <si>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</si>
  <si>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</si>
  <si>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</si>
  <si>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</si>
  <si>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</si>
  <si>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</si>
  <si>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</si>
  <si>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</si>
  <si>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</si>
  <si>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</si>
  <si>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</si>
  <si>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</si>
  <si>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</si>
  <si>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</si>
  <si>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</si>
  <si>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</si>
  <si>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</si>
  <si>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</si>
  <si>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</si>
  <si>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</si>
  <si>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</si>
  <si>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</si>
  <si>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</si>
  <si>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</si>
  <si>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</si>
  <si>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734308</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</si>
  <si>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</si>
  <si>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</si>
  <si>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</si>
  <si>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</si>
  <si>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</si>
  <si>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</si>
  <si>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</si>
  <si>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</si>
  <si>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</si>
  <si>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</si>
  <si>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</si>
  <si>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</si>
  <si>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</si>
  <si>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</si>
  <si>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</si>
  <si>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</si>
  <si>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</si>
  <si>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728620</t>
  </si>
  <si>
    <t>MFGR SPEC - Create documentation for Eagle Downhole Solutions Extention with bushing for traveling block, MFGR PN 110804-00. This extention is used for the vise in MFG to hold smaller parts.</t>
  </si>
  <si>
    <t>735006</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</si>
  <si>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</si>
  <si>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</si>
  <si>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</si>
  <si>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</si>
  <si>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</si>
  <si>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</si>
  <si>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</si>
  <si>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</si>
  <si>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</si>
  <si>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</si>
  <si>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</si>
  <si>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</si>
  <si>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</si>
  <si>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</si>
  <si>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</si>
  <si>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</si>
  <si>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</si>
  <si>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</si>
  <si>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</si>
  <si>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</si>
  <si>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732970</t>
  </si>
  <si>
    <t>Next Generation ICV development
See requirements document.</t>
  </si>
  <si>
    <t>736693</t>
  </si>
  <si>
    <t>Ref.part 235SF0967011-SB2  (9670 Splice Clamp Assy),
Except:
- All parts which are made of 25Cr to be made of 13Cr</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</si>
  <si>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</si>
  <si>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</si>
  <si>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</si>
  <si>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</si>
  <si>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</si>
  <si>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</si>
  <si>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</si>
  <si>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</si>
  <si>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</si>
  <si>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</si>
  <si>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</si>
  <si>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730819</t>
  </si>
  <si>
    <t>P1411</t>
  </si>
  <si>
    <t>736307</t>
  </si>
  <si>
    <t>736449</t>
  </si>
  <si>
    <t>UPDATE SAP PART NUMBER 101828288 TO MATCH DRAWING REQUESTED BY J. MACDONALD. REQUESTED REFERENCE NUMBER BE CHANGED BY CAPE FROM 302254-04 TO W.302254-04; HOWEVER THERE IS ALREADY A REFERENCE NUMBER W.302254-04 (590982). WILL ONE OF THESE NEED TO BE OBSOLETED?</t>
  </si>
  <si>
    <t>732444</t>
  </si>
  <si>
    <t>ECR-316892-00-01. ON SHEET 2 AT SECTION E-E,DETAIL F ,CHANGE THRU HOLES TO .4 MIN. SCREW ONLY GOES IN AROUND .3. TAPS ARE NOT LONG ENOUGH TO GO THRU</t>
  </si>
  <si>
    <t>732445</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</si>
  <si>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</si>
  <si>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</si>
  <si>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</si>
  <si>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</si>
  <si>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</si>
  <si>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</si>
  <si>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</si>
  <si>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OBSOLETE AND SUPERCEDE -SG1 STATOIL 3-DIGIT IDENTIFIER- QA REQUEST DUE TO AGREEMENT ON SB2_SB3 GLOBAL QUALITY PLAN PER D. HICKMAN</t>
  </si>
  <si>
    <t>22:  splt=N/A</t>
  </si>
  <si>
    <t>720845</t>
  </si>
  <si>
    <t>PETROBRAS BRAZIL</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</si>
  <si>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</si>
  <si>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</si>
  <si>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</si>
  <si>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</si>
  <si>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</si>
  <si>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</si>
  <si>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</si>
  <si>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734448</t>
  </si>
  <si>
    <t>731916</t>
  </si>
  <si>
    <t>UPDATE DRAWING 026483-04-01 TO MEET HCT STANDARDS</t>
  </si>
  <si>
    <t>735014</t>
  </si>
  <si>
    <t>735016</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</si>
  <si>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</si>
  <si>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</si>
  <si>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</si>
  <si>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</si>
  <si>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</si>
  <si>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</si>
  <si>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</si>
  <si>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732973</t>
  </si>
  <si>
    <t>736083</t>
  </si>
  <si>
    <t>728440</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</si>
  <si>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</si>
  <si>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</si>
  <si>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</si>
  <si>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</si>
  <si>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</si>
  <si>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</si>
  <si>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 position sensor simulator to the existing ramping gauge simulator software/hardware package.</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</si>
  <si>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</si>
  <si>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</si>
  <si>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</si>
  <si>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</si>
  <si>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</si>
  <si>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</si>
  <si>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</si>
  <si>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</si>
  <si>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</si>
  <si>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</si>
  <si>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</si>
  <si>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</si>
  <si>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</si>
  <si>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1:  SIT has been completed successfully at Berwick, LA - AGS 7/31/11 Documentation to be completed early next year.  11/14/11 DM</t>
  </si>
  <si>
    <t>729048</t>
  </si>
  <si>
    <t>Checking</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</si>
  <si>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</si>
  <si>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</si>
  <si>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</si>
  <si>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</si>
  <si>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</si>
  <si>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Create a standardised shroud kit with the following components:
1. shroud pup
2. landing nipple
3. shroud crossover
4. lock mandrel
5. equalizing valve
6. coupling
7. tubing pup joint
8. Wireline Entry Guide
This kit shall be in 25CR Metalurgy and rated to 10K</t>
  </si>
  <si>
    <t>Create a standardised shroud kit with the following components:
1. shroud pup
2. landing nipple
3. shroud crossover
4. lock mandrel
5. equalizing valve
6. coupling
7. tubing pup joint
8. Wireline Entry Guide.
This kit shall be in 4140 Metalurgy and rated to 10K</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</si>
  <si>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</si>
  <si>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</si>
  <si>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</si>
  <si>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</si>
  <si>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</si>
  <si>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</si>
  <si>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724202</t>
  </si>
  <si>
    <t>Suncor</t>
  </si>
  <si>
    <t>724494</t>
  </si>
  <si>
    <t>SAP 102092782 Commodity 226HA00735U5O01
Please change the bottom connection for the above referenc valve to 3 1/2-9.30 API EUE 8RD Pin / material 4140</t>
  </si>
  <si>
    <t>SPLT=0</t>
  </si>
  <si>
    <t>Daniel Clements</t>
  </si>
  <si>
    <t>728343</t>
  </si>
  <si>
    <t>Sai Karthik Rajaraman</t>
  </si>
  <si>
    <t>727979</t>
  </si>
  <si>
    <t>725200</t>
  </si>
  <si>
    <t>ExxonMobil - ENL</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</si>
  <si>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</si>
  <si>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3: OPC interface document received from Aker, PLC logic change review meeting has been performed and project plan has been updated to include all steps required for project completion - AGS 7/31/11  Anticipate completion mid March 2012.  11/14/11 DM</t>
  </si>
  <si>
    <t>727715</t>
  </si>
  <si>
    <t>HESS</t>
  </si>
  <si>
    <t>I need two changes to part number 102095618.
Change 1. The description of this part needs to read Flatpack Dual, 1  3/8 - 1 1/4 x.065
Change 2.  In the description the 1/4 line in the flatpack needs to have a wall thickness of .065, not .049.</t>
  </si>
  <si>
    <t>727122</t>
  </si>
  <si>
    <t>728613</t>
  </si>
  <si>
    <t>Well Dynamics</t>
  </si>
  <si>
    <t>Slick joint tool used to screw on the Upper retaining ring to the slick joint</t>
  </si>
  <si>
    <t>727116</t>
  </si>
  <si>
    <t>727108</t>
  </si>
  <si>
    <t>728617</t>
  </si>
  <si>
    <t>9-5/8 inch packer straddle for upper body setting port pressure test</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</si>
  <si>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</si>
  <si>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</si>
  <si>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</si>
  <si>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</si>
  <si>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</si>
  <si>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733846</t>
  </si>
  <si>
    <t>FIELD LOCATION MADE CHANGES TO SAFETY SYSTEM 71CO651. THE CHANGES ARE LISTED IN THE DOCUMENTS ATTACHED. THESE CHANGES ARE TO BE INCORPORATED INTO 71CO651 REVESION B ENGINEERING UPDATE</t>
  </si>
  <si>
    <t>731193</t>
  </si>
  <si>
    <t>REQUEST FOR CREATING A SAP NUMBER FOR A HYDAC ADAPTER USED WITH ACCUMULATOR CHARGING KIT TO CHARGE A HYDAC ACCUMULATOR WITH N2.</t>
  </si>
  <si>
    <t>733914</t>
  </si>
  <si>
    <t>731190</t>
  </si>
  <si>
    <t>REQUEST FOR CREATING A SAP NUMBER FOR AN ACCUMULATOR CHARGING KIT USED TO PRE-CHARGE THE ACCUMULATOR IN THE SHS. ITEM DESCRIPTION IS ACCUMULATOR CHARGING KIT WITH GAUGES UP TO 3K PSI</t>
  </si>
  <si>
    <t>731187</t>
  </si>
  <si>
    <t>28:</t>
  </si>
  <si>
    <t>20:  splt=N/A</t>
  </si>
  <si>
    <t>18:</t>
  </si>
  <si>
    <t>PMT</t>
  </si>
  <si>
    <t>Need to qualify low cost water-glycol based DCV for new Multi-valve SHS design.
Resources:  Jim Kelley, Shane Barnes, Charlie Betts
Time:  160 hours
ZEWO:  103796619
Network:  HTWD601958 M001</t>
  </si>
  <si>
    <t>736993</t>
  </si>
  <si>
    <t>Create SAP MN for the attached 5.5in TR-SSSV Clamp, TubeTec Ref A5500-26A-M1-L and A5500-26A-M1-L for 44 x 12 mm flatpack.</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</si>
  <si>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</si>
  <si>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</si>
  <si>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</si>
  <si>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</si>
  <si>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736977</t>
  </si>
  <si>
    <t>REQUEST FOR CREATING A SAP NUMBER FOR ELCTRONIC PART IN SHS. ITEM IS A LEVEL TRANSMITTER PTX 7801 6K PSI 30 FOOT CABLE W/ ATEX CERT</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</si>
  <si>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</si>
  <si>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</si>
  <si>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737549</t>
  </si>
  <si>
    <t>Extras</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</si>
  <si>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</si>
  <si>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</si>
  <si>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737968</t>
  </si>
  <si>
    <t>QGC</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</si>
  <si>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</si>
  <si>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737804</t>
  </si>
  <si>
    <t>CHANGE DRG 315685-02-01 TO HAVE THE MIN WALL THICKNESS ADDED AND RUN OUT TOL TO THE SAME AS ON DRGS 315685-00-01- AND -01-01.</t>
  </si>
  <si>
    <t>737859</t>
  </si>
  <si>
    <t>M/N-593899 Drawing 313151-00-01 Rev.D and M/N-593901 Drawing 313152-00-01 Rev.C
Please update the End and Center Element drawings to reflect the approved dimensional deviations for Custom Rubber Products. Please reference attached deviations..</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</si>
  <si>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t>
  </si>
  <si>
    <t>703289</t>
  </si>
  <si>
    <t>634112</t>
  </si>
  <si>
    <t>744082</t>
  </si>
  <si>
    <t>ECR - PACKER ENVELOPE GENERATIONS FOR EXISTING HF1 PRODUCTS.  TASK WILL INCLUDE ALL REQUIRED DOCUMENTS PLUS THE PUBLISHED ENVELOPE IN A PDF FORMAT.  PART 8:
722HF1763901 - IGNORE DUE TO VAM ACE THREAD CALLOUT
722HF1763902 - ENVELOPE ALREADY CREATED USING RTA 721651
722HF1763903 
722HF1763904 - ENVELOPE ALREADY CREATED USING RTA 716501
722HF1764500 - ENVELOPE ALREADY CREATED USING RTA 732963
IGNORE ALL NEW VAM THREADS</t>
  </si>
  <si>
    <t>742633</t>
  </si>
  <si>
    <t>Ref. 7in TLC assy (235AC2107000)
Except:
- number of slots: 2 slots 90deg apart. Each w/4x.25 lines.
- threads to be 7in 29LB Vam Top Box x Pin
- material to be 25Cr
REQUEST WAS ALREADY COMPLETED FROM RTA 734944 (OEWUMI 20DEC11)</t>
  </si>
  <si>
    <t>743261</t>
  </si>
  <si>
    <t>Saudi</t>
  </si>
  <si>
    <t>Quality request on behalf of Production to update the CWI structure for SAP MN 101979013; Ref no. 722MC1964300 to include the following engineering documents per the attached e-mail.
Add ES-A-514 and ES-T-754.
RTA WILL BE CANCELLED DUE TO ABOVE REQUEST ALREADY PROCESSED AND COMPLETED ON T00000743391 (OEWUMI 04JAN12)</t>
  </si>
  <si>
    <t>740845</t>
  </si>
  <si>
    <t>DRAWING CHANGES REQUIRED FOR PISTON HOUSING FOR SIZE 7029 MC PRODUCTION PACKER.  CURRENT SPECIAL BUTTRESS THREAD AND BORE DIAMETER WILL PREVENT MATING PART, UPPER CONE, FROM SLIDING INSIDE OF PISTON HOUSING DURING ASSEMBLY.  DRAWINGS 314574-00-01 AND D00545456 NEED SPECIAL BUTTRESS THREAD CALLOUT CHANGED TO 5.374-8 TPI FROM 5.224-8 TPI; AND, BORE DIAMETER CHANGED TO 5.226 FROM 5.090/5.085.  PREVIOUS CHANGES MADE TO THESE THREADS AND BORES ON DRAWING REVISIONS TO 314574-00-01 AFTER REV. 5 (AND COPIED WHEN D00545456 WAS CREATED) WERE INCORRECT AND NEED TO BE UNDONE.  SEE ATTACHED DRAWING MARKUPS.</t>
  </si>
  <si>
    <t>Regarding SAP MN 590680 (ref no. W.300899-00) and other relevant sizes / material variants, Quality request to add the following specifications:
ES-I-125 for additional hardness testing and ES-I-30 for Dye Penetrant
The specifications should be added to the following components (1/4 INCH):
- Primary Jam Nut: W.300955-02
- Secondary Jam Nut: W.31017-JL
- Tertiary Jam Nut: 304457-JL
- Front Ferrule: W.030588-00
- Rear Ferrule: W.030587-00
- Ferrule Set: W.300449-00
(3/8 INCH - SAP NUMBER 588446)
- ALL JAM NUTS AND ALL FERRULES
(1/2 INCH - SAP NUMBER 591220 &amp; 594962 )
- ALL JAM NUTS AND ALL FERRULES
Note: A-150(USE ES-MA-189 INSTEAD per DT) is not specified in ES-I-125, can it be added to ensure an additional hardness is performed on the raw material for the ferrules consistently.
REVISION TO A-150 HAS BEEN REQUESTED FROM J.C AT CARROLTON TO INCLUDE ES-MA-189 (OEWUMI 04JAN11)</t>
  </si>
  <si>
    <t>OBSOLETE 589280 (W.028PQS252006) AND REPLACE WITH 588885 (030PQS252006)
IN ENGINEERING DESIGN-A.BERRET_10/17/2010-END
IN DRAFTING. FOLDER ASSIGENED TO CHETAN L. FOR BOM DRAWING UPDATE-A.BERRET_10/25/2011-END
FOLDER RETUNED TO P. JAMES BOX FOR APPROVAL_A. BERRET_12/06/2011_END</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</si>
  <si>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
2012-01-03 WM: The RTA has not been placed n WIP due to other priorities.  There will be an official kick off meeting by 2012-01-06.  The RTA will be placed in WIP.</t>
  </si>
  <si>
    <t>Kick-off mtg this wk.  12/12/11 DM</t>
  </si>
  <si>
    <t>743036</t>
  </si>
  <si>
    <t>All</t>
  </si>
  <si>
    <t>745885</t>
  </si>
  <si>
    <t>Worley Parsons</t>
  </si>
  <si>
    <t>Same As: 71SSS1; SFTY SYS STD RTA DESIGN REQ
Except: Design Control Panel as per Worley Parsons RFQ Ref No. 40500000116IN010Rev0.  Bid due date January 19, 2012.
Project Name: 
Special Quality Plan Required?: No
Material: 
Technical Support Deliverables:
Preliminary Design Specifications
Reference Assembly Drawing</t>
  </si>
  <si>
    <t>743328</t>
  </si>
  <si>
    <t>ECR-314429-00-01.  MISSING DIMENSIONS ON SHEET 2. MARKED UP DRG BY OMOTAYO ATTACHED. MASTER DRG TO BE REVISED.
FOLDER RETURNED TO T. BORDMAN FOR REVIEW AND DISTRIBUTION_A.BERRET_01/09/2012.</t>
  </si>
  <si>
    <t>744017</t>
  </si>
  <si>
    <t>REVISE 9290-6826 TO FIT MANDREL CONCENTRIC TO HOLE.</t>
  </si>
  <si>
    <t>746434</t>
  </si>
  <si>
    <t>741229</t>
  </si>
  <si>
    <t>ECR - 313295-00-01 REV E.
Move the MARK PER FIND No 802 from the position of the arrow pointing to end face &amp; move to a note at the bottom the sheet.
The marking is ES-MM-51-4. Which states do not metal stamp.
PLEASE REVIEW OTHER RELEASE KEYS AND REVISE AS NEEDED (OEWUMI 18DEC11)</t>
  </si>
  <si>
    <t>M/N-588280, Drawing W.018885-00-00 Rev.2
The BOM shows coating AC-C-024-B Phosphate, please change the coating to B-011 QPQ to reflect what is called out on the drawing.
FOLDER RETURNED TO T. BORDMAN BOX FOR DISTRIBUTION-A.BERRET
12/22/2011</t>
  </si>
  <si>
    <t>742284</t>
  </si>
  <si>
    <t>Request to update footer of document ES-A-433 to the correct revision. Page 1 shows revision C and the following pages show revision B
UPDATE TO SPEC COMPLETED. FOLDER RETURNED TO P. JAMES FOR DISTRIBUTION AND APPROVAL_A.BERRET_01/09/2012</t>
  </si>
  <si>
    <t>741854</t>
  </si>
  <si>
    <t>741009</t>
  </si>
  <si>
    <t>Statoil- Snorre A P-36</t>
  </si>
  <si>
    <t>Create new MN and drawing for custom crossover per attached redline drawing. 
Qty 1 PKR HF1 9653 CONTRL LINE SET KO 25 SB2  MN 596585 on order for Statoil Snorre A P36 on SO 8232862. CRK November 9th 2011. 
Per Qnote 200668884 lower body thread was recut and new custom crossover now required. 
Reference MN 101909799   BODY CROSSOVER SIZE 96 HF1 PACKER TBG SET, KNOCK OUT PLUG RELEASE -ST0</t>
  </si>
  <si>
    <t>742647</t>
  </si>
  <si>
    <t>ECR - Gauge mandrel assembly, MN 102102059, has assembly and test procedure ES-A-500 attached in the structure in CWI. Per Rameen Bakhtiary, the correct procedure should be ES-A-543, which is in progress of being written.</t>
  </si>
  <si>
    <t>738950</t>
  </si>
  <si>
    <t>741011</t>
  </si>
  <si>
    <t>PN 102113356  - Need pertinent documents created with PN 102113356 released to production by Friday. (12/19/11)   We have part coming in next week and can not goods receipt with out release of part number.</t>
  </si>
  <si>
    <t>746558</t>
  </si>
  <si>
    <t>ECR - //FOR dwg 307019-00-01 (MN 101996090) Body Crossover, HF1 Packer with Knockout Plug, The feature control frames in 9 locations calls out concentricity but does not include a primary datum. Datums are required for concentricity callouts with GD&amp;T. Request dwg be updated to include a datum callout and updated feature control frames.  //FOR dwg 307020-00-01 (MN 592279) Spacer, HF1 Ret Packer, with knockout release, chamfer in zone D2 is undefined. The chamfer is shown on the dwg but is not being added to the parts coming in from suppliers.</t>
  </si>
  <si>
    <t>742485</t>
  </si>
  <si>
    <t>MISCELLANEOUS E-MAIL REQUEST
KELLEY PEGODA 122011
REF: MN 597298</t>
  </si>
  <si>
    <t>738796</t>
  </si>
  <si>
    <t>CREATE BASIC NEXT GENERATION TRANSDUCER SIMULATOR FOR USE WITH THE ROC-X TESTING (THIS RTA TO BE SUPPLEMENTAL TO 532968)</t>
  </si>
  <si>
    <t>745037</t>
  </si>
  <si>
    <t>741522</t>
  </si>
  <si>
    <t>Murphy Malaysia</t>
  </si>
  <si>
    <t>To Create a 3.5 HSB with SHROUD kit with CARBIDE insert and a multi purpose fitting kit. Integration level number will be 226HA0F07353SO</t>
  </si>
  <si>
    <t>740391</t>
  </si>
  <si>
    <t>REQUEST TO UPDATE ASSEMBLY PROCEDURE 2225-5003 TO INCLUDE THE FULL LIST OF CHECK VALVES.
Note: There are current Shell orders in progress. This may become a priority if TPI raises concerns.
Shell Princess P6
Shell Llano</t>
  </si>
  <si>
    <t>743050</t>
  </si>
  <si>
    <t>738804</t>
  </si>
  <si>
    <t>CREATE A TEST SYSTEM SOFTWARE SUITE FOR QUARTZDYNE TO TEST GAUGES (ROC-X ROC-nnn AND AEM). THIS RTA IS TO BE A SUPPLEMENT TO 532968.</t>
  </si>
  <si>
    <t>746411</t>
  </si>
  <si>
    <t>743428</t>
  </si>
  <si>
    <t>ELEC: Incoming Inspection DOC. 9381-5202 issues:
01 When testing ROC gauge PN 9381-6078 step 9.10 minimum and maximum do not match step 9.8 step 9.10 allways shows FAIL.
02 When testing ROC gauge PN 9381-6026 step 9.5 shows FAIL when my measurements are 80.0 mV - 85.0 mV.
03 Step 8.6 condition (PASS) the font does not match.</t>
  </si>
  <si>
    <t>744778</t>
  </si>
  <si>
    <t>Same As: 235AC2965501-SB2; CLP,TPR LOCK,9655,13CR,5 1/2-23.00 -SB2
Except: 1. Modify for 7 inch tubing to fit in 10 3/4 inch 65,7 lb/ft casing.
2. 2 wedges 4 x 1/4 + bump 8mm
3. 1 wedge 2 x 3/8 + bump 11mm
Tech Start Date is in the past
Project Name: Visund South V3
Special Quality Plan Required?: Yes
Quality Plan Identifier: SB2
Material: (9) 13 CR 105 MY 35 HRC (ES-MA-585)
Mating Infomation:</t>
  </si>
  <si>
    <t>ECR - PACKER ENVELOPE GENERATIONS FOR EXISTING HF1 PRODUCTS.  TASK WILL INCLUDE ALL REQUIRED DOCUMENTS PLUS THE PUBLISHED ENVELOPE IN A PDF FORMAT.  PART 5:
722HF1702305 
722HF1702607 
722HF1702608 
722HF1702941 - PENDING TENARIS
722HF1702944 - PENDING TENARIS
IGNORE ALL NEW VAM THREADS</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</si>
  <si>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
FOLDER RETURNED TO ENG. FOR CHECKING AFTER TASK(S) CONSOLIDATION-A. BERRET_12/23/2011</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</si>
  <si>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
FOLDER (1/6) RETURNED TO STEVEN GAARE FOR UPDATING DRAWING (MISSING DIM.) OR OTHERS WHEN AND WHERE  NECESSARY
A. BERRET_12/23/2011_END</t>
  </si>
  <si>
    <t>740889</t>
  </si>
  <si>
    <t>745227</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</si>
  <si>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
2012-01-03 WM: The dual powered XPIO is being built in CWI.  This RTA will be completed after release of dual powered XPIO.</t>
  </si>
  <si>
    <t>739958</t>
  </si>
  <si>
    <t>Increased demand for a cost effective permanent monitoring gauges prompted reviving the Halliburton SmartLogU+2122 pressure, temperature, and vibration gauge. SmartLogU+2122 will target low temperature, low pressure, cost sensitive fields where a ROC Quartz gauge accuracy is not required. This development effort will be a full system development with the final product being the gauges mounted on a mandrel communicating with our standard surface equipment.</t>
  </si>
  <si>
    <t>740675</t>
  </si>
  <si>
    <t>745927</t>
  </si>
  <si>
    <t>744986</t>
  </si>
  <si>
    <t>742522</t>
  </si>
  <si>
    <t>Drawing W.020108-01-02 Rev F shows max OD dimension of CT shifting tool to be 2.715in nominal (at connector sub OD).  The connector sub (Dwg 308927-00-01 Rev B) shows maximum OD to be 2.700in.
Need to change Dwg W.020108-01-02 dimension to 2.700 MAX.
FOLDER RETURNED TO T. BORDMAN FOR REVIEW AND DISTRIBUTION_A.BERRET_01/09/2012</t>
  </si>
  <si>
    <t>738186</t>
  </si>
  <si>
    <t>Saudi Aramco MLJ 81</t>
  </si>
  <si>
    <t>DH New ROC Mdrl:Sgl ROC 175
Need drawings and part number set up for 4.5INCH, 15.1ppf, Q 125 VAM TOP HC, P x P, for single ROC - 175 Tubing Ported Mandrel. No by pass slots needed, run inside 9.625 INCH 58.4 ppf casing
------
2011-12-13 ST - SENT TO J. SEALE FOR CHECKING
PER ZUHED ABDURAHMAN -- ON HOLD UNTIL CLARIFICATIONS ON THE REQUEST ARE MADE -- SEE ATTACHED EMAIL - ST
2012-01-03, WM: RTA to be placed in DH until clarification received from submitter
-----
1/3/2012 RB - RTA not yet placed in WIP. leaving in submitted state.
2012-01-09, WM: Dana to place in define requirements.</t>
  </si>
  <si>
    <t>13: SPLT=140  Spoke to submitter...High profile project for Hal and work is already awarded to us. Gauges on order to arrive 2/8.  12/6/11 DM</t>
  </si>
  <si>
    <t>745038</t>
  </si>
  <si>
    <t>Permanent Monitoring Software - Due to migration to Windows 7 OS, standard PM group softwares, mainly Mentor Graphics PADS and IAR Compilers setup configurations have changed.  Nick Cooper has supported in installation of these softwares before.  If possible, a quick reference sheet or a cheat sheet for installing these software would be great as PM is growing and expanding with possibility of migrating to Windows 7 and new hires.</t>
  </si>
  <si>
    <t>738230</t>
  </si>
  <si>
    <t>Maersk Qatar</t>
  </si>
  <si>
    <t>4 1/2 inch Multi-Conductor Electro-Hydraulic Disconnect Development for Maersk Qatar</t>
  </si>
  <si>
    <t>738464</t>
  </si>
  <si>
    <t>Horizontal EZGauge development.</t>
  </si>
  <si>
    <t>744679</t>
  </si>
  <si>
    <t>Petrobel</t>
  </si>
  <si>
    <t>New ROC Mdrl: SGL ROC150
Create Drawing and SAP MN for a Single ROC-150 Gauge Mandrel, 3.5in 9.2ppf JFE Bear Box x Pin, Material: 13%Cr 80 Ksi MY.
2012-01-03, WM: Assign to Mark, class B.</t>
  </si>
  <si>
    <t>14: SPLT=112 Assigned to Mark G, changed class to B, changed request design complete date to 2/7/2012- 1/3/2012 RB.  Cancelling per C McKay email- attached.  1/4/12 DM</t>
  </si>
  <si>
    <t>744081</t>
  </si>
  <si>
    <t>ECR - PACKER ENVELOPE GENERATIONS FOR EXISTING HF1 PRODUCTS.  TASK WILL INCLUDE ALL REQUIRED DOCUMENTS PLUS THE PUBLISHED ENVELOPE IN A PDF FORMAT.  PART 7:
722HF1703234
722HF1703235
722HF1866100 - VAM ACE THREADS; DO NOT CREATE ENVELOPE
722HF1866101 - VAM ACE THREADS; DO NOT CREATE ENVELOPE
722HF1866102 - VAM ACE THREADS; DO NOT CREATE ENVELOPE
IGNORE ALL NEW VAM THREADS</t>
  </si>
  <si>
    <t>744468</t>
  </si>
  <si>
    <t>CORRECT PAGE NUMBERING FOR ES-A-540.</t>
  </si>
  <si>
    <t>739132</t>
  </si>
  <si>
    <t>744765</t>
  </si>
  <si>
    <t>Same As: 235SF0967018-SB2; CLP,SPLC,9670,13CR,7-29.00 VAMTOP  -SB2
Except: 1. Six Slots Required
2. 4 hyd.lines x 1/4 0,049 WT Inc 825, 1 hyd.line x 3/8 Inc 825, 1 el.line x 1/4 0,035 WT Inc 825
3. SB2 Qulaity Plan Required.
Tech Start Date is in the past
Project Name: Visund South
Special Quality Plan Required?: Yes
Quality Plan Identifier: SB2
Material: (9) 13 CR 105 MY 35 HRC (ES-MA-585)
Mating Infomation:</t>
  </si>
  <si>
    <t>744460</t>
  </si>
  <si>
    <t>Amend HF-1 Packer Drawing
HF-1 Packer drawing 033461-06-01 lists the cross section D-D as having 4 x component 37 (Transport Plug) installed. I believe this to be the incorrect component as the transport plugs are installed in the FMJ ports during transit.
The drawing needs to be updated as this particular assembly will be installed in 2 weeks time and used for an isolation prupose.</t>
  </si>
  <si>
    <t>744936</t>
  </si>
  <si>
    <t>ECR TO CHANGE REFERENCE NUMBER ON ALL DOCUMENTATION FOR MC-1 PACKER 722MCS964004.  THIS PACKER SHOULD BE REFERENCE NUMBER 722MC19640XX (USE NEXT AVAILABLE NUMBER IN THAT SERIES).  THIS PACKER WAS ORIGINALLY INTENDED TO HAVE A DIFFERENT MECHANICAL DESIGN FROM STANDARD MC-1 PACKER, BUT WAS SWITCHED BACK TO STANDARD MC-1 DESIGN TOO LATE IN PROCESS TO CHANGE REFERENCE NUMBER.  PLEASE REVISE AND CHANGE REFERENCE NUMBER ON BOM FOR PACKER PART NUMBER 597452, PACKER ASSEMBLY DRAWING NUMBER 314910-04, AND PACKER DDS 722MCS964004.</t>
  </si>
  <si>
    <t>744084</t>
  </si>
  <si>
    <t>ECR - PACKER ENVELOPE GENERATIONS FOR EXISTING HF1 PRODUCTS.  TASK WILL INCLUDE ALL REQUIRED DOCUMENTS PLUS THE PUBLISHED ENVELOPE IN A PDF FORMAT.  PART 9:
722HF1964300 - NEW VAM THREADS; DO NOT CREATE ENVELOPE
722HF1964301
722HF1964302 - NEW VAM THREADS; DO NOT CREATE ENVELOPE
722HF1964303 - NEW VAM THREADS; DO NOT CREATE ENVELOPE
722HF1964304
IGNORE ALL NEW VAM THREADS</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</si>
  <si>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
RTA WILL BE CANCELLED DUE TO DUPLICATE REQUEST BEING PERFORMED ON RTA 720175 AND 720685 (OEWUMI 08DEC11)</t>
  </si>
  <si>
    <t>745740</t>
  </si>
  <si>
    <t>Same As: 722HF1965346; PKR,HF1,SZ 9653,TBG SET,KO,13CR,5,5 1/
Except: request a 5.5 HF1 with 7 feed thru.
concept work as been carried out by RTA 721795. 
attached is the packer customer in put sheet that requires all addition information. 
required all the technical support deliverables that are hightlight. 
Project Name: Greater Western Flank
Special Quality Plan Required?: No
Material: (7) 13 CR 80 MY 22HRC (ES-MA-58-7)
Technical Support Deliverables:
Preliminary Design Specifications
Reference Assembly Drawing
Reference BDMI
Reserve SAP Material Number
ZZ Drawing
Operating Envelope</t>
  </si>
  <si>
    <t>741842</t>
  </si>
  <si>
    <t>746022</t>
  </si>
  <si>
    <t>Murphy</t>
  </si>
  <si>
    <t>Burullus/BG-Saphire S Central</t>
  </si>
  <si>
    <t>Generate new MN and drawing for a 4.750 ECCENTRIC SEAL STACK ASSEMBLY WITH MULTI-LINE FEEDTHRU (4) similar to MN 101996875 (296SF0472801) with a seal area length: 40in. Material: L80 13%Cr; 80 MY Equivalent, Threads: 2.875 in 9.2ppf Vam Top Box x Vam Top Pin
Thread weight to be 6.4ppf as there is no 2-7/8 9.2ppf threads.  (DPT 1/3/12)</t>
  </si>
  <si>
    <t>745321</t>
  </si>
  <si>
    <t>Unicell/Midwest Petroleum</t>
  </si>
  <si>
    <t>738879</t>
  </si>
  <si>
    <t>Apache</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</si>
  <si>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2/6)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
FOLDER (1/6) RETURNED TO STEVEN GAARE FOR UPDATING DRAWING (MISSING DIM.) OR OTHERS WHEN AND WHERE  NECESSARY
A. BERRET_12/23/2011_END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</si>
  <si>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
FOLDER (3/6) RETURNED TO STEVEN GAARE FOR UPDATING DRAWING (MISSING DIM.) OR OTHERS WHEN AND WHERE  NECESSARY
A. BERRET_12/23/2011_END</t>
  </si>
  <si>
    <t>745853</t>
  </si>
  <si>
    <t>Revise 9381-8056 and 9381-8058 to make a rib on the bottom of the fixture to make it stronger.</t>
  </si>
  <si>
    <t>741526</t>
  </si>
  <si>
    <t>ExxonMobil-Kizomba</t>
  </si>
  <si>
    <t>742151</t>
  </si>
  <si>
    <t>Kuwait Oil company</t>
  </si>
  <si>
    <t>743386</t>
  </si>
  <si>
    <t>742735</t>
  </si>
  <si>
    <t>CLOSING QUALITY NOTIFICATIONS (QN) - QNs CURRENTLY OPEN IN SAP REQUIRE CLOSING USING THE ATTACHED INSTRUCTIONS. ALL QN NUMBERS ARE LISTED IN THE ATTACHED SPREADSHEET. TARGET COMPLETION FOR CLOSURE OF ALL QNs NOTED IN THE ATTACHED FILES IS BEFORE THE END OF YEAR 2011. BEEKEN IS REQUESTED AS A RESOURCE FOR THIS ACTIVITY. CLOSURE INSTRUCTIONS AND A LIST OF ALL QNS REQUIRING CLOSURE ARE ATTACHED TO THIS RTA.</t>
  </si>
  <si>
    <t>744785</t>
  </si>
  <si>
    <t>Same As: 235SF0967018-SB2; CLP,SPLC,9670,13CR,7-29.00 VAMTOP  -SB2
Except: 1. Modify for 7 inch 32 lb/ft tubing to fit in 10 3/4 inch 65,7 lbs/ft casing.
2. 8 slots required
3. 6 hyd.lines x 1/4 0,049 WT Inc 825, 1 hyd.line x 3/8 0,049 WT Inc 825, 1 el.line x 1/4 0,035 WT Inc 825.
4. The seat grove on the Anchor Sub to be 5,915 to 5,925.inch. Clamp design to fit this seat groove.
Tech Start Date is in the past
Project Name: Visund South V3
Special Quality Plan Required?: Yes
Quality Plan Identifier: SB2
Material: (9) 13 CR 105 MY 35 HRC (ES-MA-585)
Mating Infomation:</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</si>
  <si>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
FOLDER (6/6) RETURNED TO STEVEN GAARE FOR UPDATING DRAWING (MISSING DIM.) OR OTHERS WHEN AND WHERE  NECESSARY
A. BERRET_12/23/2011_END</t>
  </si>
  <si>
    <t>741519</t>
  </si>
  <si>
    <t>To Create a 3.5 HSB with DEFLECTOR with CARBIDE insert with a multi purpose fitting kit. Integration level number will be 226HA0F07353DO</t>
  </si>
  <si>
    <t>745449</t>
  </si>
  <si>
    <t>ECR - Gauge assy dual ROC, MN 101938514, assembly procedure ES-A-531. Per David Gill, the current limit on pg 9 step 11 reads 21-35mA, this limit is to high for ROC gauges. Usually the current reads closer to 19 mA.</t>
  </si>
  <si>
    <t>744099</t>
  </si>
  <si>
    <t>ECR - drawing 9290-2715 has the 5.5 in. 17 lb. box thread identified as a pin thread. See attachment in hi-lite yellow.</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</si>
  <si>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
FOLDER (5/6) RETURNED TO STEVEN GAARE FOR UPDATING DRAWING (MISSING DIM.) OR OTHERS WHEN AND WHERE  NECESSARY
A. BERRET_12/23/2011_END</t>
  </si>
  <si>
    <t>ECR - PACKER ENVELOPE GENERATIONS FOR EXISTING HF1 PRODUCTS.  TASK WILL INCLUDE ALL REQUIRED DOCUMENTS PLUS THE PUBLISHED ENVELOPE IN A PDF FORMAT.  PART IV:
722HF1702940
722HF1702942
722HF1702943
722HF1703231
IGNORE ALL NEW VAM THREADS</t>
  </si>
  <si>
    <t>New CI Mdrl: New CV Design
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
2012-01-03, WM:  Lee check valve design is under way and RTA can proceed after design has been completed.</t>
  </si>
  <si>
    <t>738440</t>
  </si>
  <si>
    <t>Develop a valve-gauge combo. The objective is to integrate the WD gauges into the ICV product line (particularly the HS).
More detail to be provided by FC PLM.</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</si>
  <si>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SENT BACK TO ENGINEER FOR CORRECTIONS. 120711 RCVD. FILE BACK FOR CORRECTION REVIEW.SOME CORRECTIONS NOT YET COMPLETED, SENDING BACK TO ENGINEER FOR FURTHER CORRECTIONS. (KEN) 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</si>
  <si>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
FOLDER (4/6) RETURNED TO STEVEN GAARE FOR UPDATING DRAWING (MISSING DIM.) OR OTHERS WHEN AND WHERE  NECESSARY
A. BERRET_12/23/2011_END</t>
  </si>
  <si>
    <t>745441</t>
  </si>
  <si>
    <t>ECR-313479. Change drg to have a .13 radius (8 Plcs)in the corners of the 1.00 wide x 5 degree slots on sheet 2. Change Min Thread length from .95 to .8. This will allow thread  milling of the holes reducing breakage of taps Change other crimp clamp housing to the same. Ref changes already done on 316841-00-01</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</si>
  <si>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
2012-01-03, WM:  Lee check valve design is under way and RTA can proceed after design has been completed.</t>
  </si>
  <si>
    <t>DH New CI Mdrl: New CV Design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
2012-01-03, WM:  Lee check valve design is under way and RTA can proceed after design has been completed.</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</si>
  <si>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
2011-12-12 WM: Follow up with procurement is in progress.  Awaiting confirmation that purging of stock has been completed.</t>
  </si>
  <si>
    <t>New Flowmeter:Shells alternative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
2012-01-03, WM: Order canceled; will proceed with design release since drawings have been completed.</t>
  </si>
  <si>
    <t>DH New ROC Mdrl:SGL ROC175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
2012-01-03, WM: Still awaiting feedback from Jim.</t>
  </si>
  <si>
    <t>DH Mod ROC Mdrl: Chg to annulus
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
2012-01-09, WM: RTA to be placed in DH. Waiting on response from submitter to continue. Email attached to RTA.</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</si>
  <si>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
2011-12-21 Aswin Balasubramanian: The project plan has been updated and technology due dates revised.  Echo and ROC-P project requirements along with resource availability during December 2011 has changed the technology due date to 2012-06-15.</t>
  </si>
  <si>
    <t>New CI Mdrl: R Nipple Profile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
2012-01-03, WM: RTA requirements clarified and emails to be attached to RTA by Rameen. Work can proceed.
2012-01-09, WM: Dana to verify AIS date</t>
  </si>
  <si>
    <t>New CI Mdrl:Special ID/OD
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
2012-01-03, WM: Sam to set up conference call to finalize specifications. Tech revised due date to be reviewed after specs finalized.</t>
  </si>
  <si>
    <t>1: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  Cancelling RTA per attached email from J Flygare.  1/4/12 DM</t>
  </si>
  <si>
    <t>2: SPLT=84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  Bruce Gavin, Jim, and Dan to meet 12/6 to identify requirements to be discussed with ADCO next week.  12/5/11 DM  Mtg never happened with Craig and Bruce.  Robert in Abu Dhabi next week and will get info on modem interface.  12/9/11 DM</t>
  </si>
  <si>
    <t>17:  AIS date? Assign to J Kelley Code B.  10/10/11 DM Review in process. 12/5/11 DM  Follow up with field regaring AIS date and project.  Ted to review status with Jim.  12/9/11 DM</t>
  </si>
  <si>
    <t>DH New Flowmeter:REF 9290-6664
DH  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
2012-01-03, WM: RTA has been placed on design hold due to undefined matl requirements. RTA will proceed once resolved.
2012-01-09, WM: Dana to cancel RTA.</t>
  </si>
  <si>
    <t>DH  Same As: 215HA0550018; VLV, HVC, INTEGRATION, ACCUPULSE, 5-1/2,
Except: 5.5 in HVC ICV 13Cr, Tenaris Blue Box x Pin, water injection well, choking carbide trim 31153735
Project Name: MR6 (M2A)
Special Quality Plan Required?: No
Material: (7) 13 CR 80 MY 22HRC (ES-MA-58-7)
Mating Infomation:</t>
  </si>
  <si>
    <t>New Flowmeter:Shells primary
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
2011-11-30 MG - Mandrel ID 2.75 min drawing change completed &amp; forwarded to Paul Haines for checking.
2012-01-03, WM: Order canceled; will proceed with design release since drawings have been completed.</t>
  </si>
  <si>
    <t>DH  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</si>
  <si>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740868</t>
  </si>
  <si>
    <t>Same As: 722MC1964701; PKR,MC1,9647,TBG SET,SHIFT REL,13CR,8
Except: change the thread into 4.5 12.6 ppf fox k and remain others the same need part number for this tomorrow.
Project Name: Changbei
Special Quality Plan Required?: No
Material: (7) 13 CR 80 MY 22HRC (ES-MA-58-7)
Technical Support Deliverables:
Reserve SAP Material Number</t>
  </si>
  <si>
    <t>740867</t>
  </si>
  <si>
    <t>Same As: 722MC1702601; PKR ASSY FOR SZ 7 26 - 29 MC HYDR SET RT
Except: change the thread into 3.5 9.6 ppf fox k and remain others all the same and need the part number for this pice tomorrow
Project Name: Changbei
Special Quality Plan Required?: No
Material: (7) 13 CR 80 MY 22HRC (ES-MA-58-7)
Technical Support Deliverables:
Reserve SAP Material Number</t>
  </si>
  <si>
    <t>740496</t>
  </si>
  <si>
    <t>Petroleum Development Oman</t>
  </si>
  <si>
    <t>746690</t>
  </si>
  <si>
    <t>ECR - Dual ROC gauge assy, MN 102108984, does not have any assy or test procedures attached in CWI. Production cannot proceed without this. Please attach.</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</si>
  <si>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2011-01-10 AB.</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</si>
  <si>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
2012-01-10 WM: TransControl has tested with ROC-L.  Further testing is scheduled to undergo with ROC-150 gauges.  The dates are to finalized.  2012-01-10 AB</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</si>
  <si>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
2012-01-03 WM: The manufacturer specification for all purchased parts has been completed and is under review.  The BOM will be built and support documentation updated accordingly.  The dual power XPIO build has a higher priority and this RTA will be revisited after XPIO build in CWI is done.</t>
  </si>
  <si>
    <t>Submitted By</t>
  </si>
  <si>
    <t>Ian Gooch</t>
  </si>
  <si>
    <t>Jay Bissell</t>
  </si>
  <si>
    <t>Steven Gray</t>
  </si>
  <si>
    <t>Philip Allardyce</t>
  </si>
  <si>
    <t>David Mills</t>
  </si>
  <si>
    <t>Eric Morrell</t>
  </si>
  <si>
    <t>Erica Notto</t>
  </si>
  <si>
    <t>Martin Staelens</t>
  </si>
  <si>
    <t>Dougie Davies</t>
  </si>
  <si>
    <t>Paul Murray</t>
  </si>
  <si>
    <t>Melissa A Allen</t>
  </si>
  <si>
    <t>Tommy Lofthus</t>
  </si>
  <si>
    <t>Colton Puckett</t>
  </si>
  <si>
    <t>Martita Gill</t>
  </si>
  <si>
    <t>Colin McKay</t>
  </si>
  <si>
    <t>Lorenzzo Breda Minassa</t>
  </si>
  <si>
    <t>Torje Tvedt</t>
  </si>
  <si>
    <t>Paul Anthony</t>
  </si>
  <si>
    <t>Kenneth Dixson</t>
  </si>
  <si>
    <t>Bill Hanks</t>
  </si>
  <si>
    <t>Steve Ewens</t>
  </si>
  <si>
    <t>Christoffer Naden</t>
  </si>
  <si>
    <t>Leary R Friebele</t>
  </si>
  <si>
    <t>Heather Gray</t>
  </si>
  <si>
    <t>Albert Nurullin</t>
  </si>
  <si>
    <t>Suzi Marcuccio</t>
  </si>
  <si>
    <t>Sigbjorn Jarstad</t>
  </si>
  <si>
    <t>Anthony Rivera</t>
  </si>
  <si>
    <t>Jonathan L Hrabik</t>
  </si>
  <si>
    <t>Keith Wee</t>
  </si>
  <si>
    <t>Brent Nelson</t>
  </si>
  <si>
    <t>Kare Hognestad</t>
  </si>
  <si>
    <t>Christopher Tawse</t>
  </si>
  <si>
    <t>Bharathwaj Kannan</t>
  </si>
  <si>
    <t>Ksenia Abakumova</t>
  </si>
  <si>
    <t>Frank Gremillion</t>
  </si>
  <si>
    <t>Omar Mirza</t>
  </si>
  <si>
    <t>Stephen Allan</t>
  </si>
  <si>
    <t>Glen Breerwood</t>
  </si>
  <si>
    <t>Jennifer Clemonds</t>
  </si>
  <si>
    <t>Peter Kemshall</t>
  </si>
  <si>
    <t>Rory Gardner</t>
  </si>
  <si>
    <t>Per Egil Riis</t>
  </si>
  <si>
    <t>Alessandro Torchiana</t>
  </si>
  <si>
    <t>Marcelo Batocchio</t>
  </si>
  <si>
    <t>Melissa Smith</t>
  </si>
  <si>
    <t>Courage Erumwunse</t>
  </si>
  <si>
    <t>Charles Shade</t>
  </si>
  <si>
    <t>Robert J Smith</t>
  </si>
  <si>
    <t>Kevin Duane</t>
  </si>
  <si>
    <t>Vinaa Raachma Maartina</t>
  </si>
  <si>
    <t>Paul Lively</t>
  </si>
  <si>
    <t>William Kruse</t>
  </si>
  <si>
    <t>Mayra Gomez</t>
  </si>
  <si>
    <t>Mariane Morgan</t>
  </si>
  <si>
    <t>Suresh Jacob</t>
  </si>
  <si>
    <t>Lindsey McAninch</t>
  </si>
  <si>
    <t>Stig-Marius Holgersen</t>
  </si>
  <si>
    <t>Alan McLauchlan</t>
  </si>
  <si>
    <t>Chris David</t>
  </si>
  <si>
    <t>Hugo Gomez</t>
  </si>
  <si>
    <t>Zuhed Abdurahman</t>
  </si>
  <si>
    <t>Tony Stuart</t>
  </si>
  <si>
    <t>Raymund Meijs</t>
  </si>
  <si>
    <t>Ameerah Muhammad</t>
  </si>
  <si>
    <t>Debra J Patton</t>
  </si>
  <si>
    <t>melissa smith</t>
  </si>
  <si>
    <t>Bartosz Krupski</t>
  </si>
  <si>
    <t>Lilia Roman</t>
  </si>
  <si>
    <t>Samuel Guerrero</t>
  </si>
  <si>
    <t>Laurese Chatman</t>
  </si>
  <si>
    <t>Graham C Fleming</t>
  </si>
  <si>
    <t>Cindy Veroba</t>
  </si>
  <si>
    <t>Gregory D Treleaven</t>
  </si>
  <si>
    <t>tengrlrw</t>
  </si>
  <si>
    <t>Tom Golden</t>
  </si>
  <si>
    <t>Saravanan Muniyandy</t>
  </si>
  <si>
    <t>Jameel Rahman</t>
  </si>
  <si>
    <t>Roar Hinna</t>
  </si>
  <si>
    <t>Kevin Wood1</t>
  </si>
  <si>
    <t>John Leitch</t>
  </si>
  <si>
    <t>Christopher Vancamp</t>
  </si>
  <si>
    <t>Barry Meldrum</t>
  </si>
  <si>
    <t>Joe Karigan</t>
  </si>
  <si>
    <t>Leif Kvarme</t>
  </si>
  <si>
    <t>Seth Cormier</t>
  </si>
  <si>
    <t>Nicholas Croke</t>
  </si>
  <si>
    <t>Steve Paterson</t>
  </si>
  <si>
    <t>JoeAngel Galindo</t>
  </si>
  <si>
    <t>Jim MacDonald</t>
  </si>
  <si>
    <t>Doug Finley</t>
  </si>
  <si>
    <t>Sandra Perryman</t>
  </si>
  <si>
    <t>Travis Pellerin</t>
  </si>
  <si>
    <t>Michel LeBlanc</t>
  </si>
  <si>
    <t>Sergio Culebro</t>
  </si>
  <si>
    <t>Kasey Boutte</t>
  </si>
  <si>
    <t>Abdallah A. Abdulhalim</t>
  </si>
  <si>
    <t>Rhalina Duguid</t>
  </si>
  <si>
    <t>Elward Gardner</t>
  </si>
  <si>
    <t>Blake Arabie</t>
  </si>
  <si>
    <t>Joe Requestor</t>
  </si>
  <si>
    <t>Fabio Cervini</t>
  </si>
  <si>
    <t>Simon White</t>
  </si>
  <si>
    <t>Paul Terry</t>
  </si>
  <si>
    <t>Brian Stolz</t>
  </si>
  <si>
    <t>Basheer Al-Felfel</t>
  </si>
  <si>
    <t>Jerry Hutsen</t>
  </si>
  <si>
    <t>Rob Pounds</t>
  </si>
  <si>
    <t>Campbell Mitchell</t>
  </si>
  <si>
    <t>Nassim Mesaoudi</t>
  </si>
  <si>
    <t>Cesar Ricardo Marin1</t>
  </si>
  <si>
    <t>Jiacheng Qian</t>
  </si>
  <si>
    <t>Bryan Norrie</t>
  </si>
  <si>
    <t>Develop and qualify Solar Panel Assy for ADCO Perm Downhole Gauges Project
Customer:  ADCO
Project:     ASAB
Quality:     AD1
10/17/11 WM Assign to James Kelley Class B  Ted/Robert still need to review requirements. Dana to email Craig &amp; Bruce and confirm AIS date and priority for all ADCO rtas.
2011-11-07, WM:  RTA reassigned to Dan.
2011-12-15 WM: awaiting information about modem.
2012-01-03 WM: Identified Modem. Create an SAP part spec to be released under subtask. Change to Development RTA type.
2012-01-10, WM: Part number sent to Jim for review. Will be changed to development RTA</t>
  </si>
  <si>
    <t>Requestor Email</t>
  </si>
  <si>
    <t>Ian.gooch@halliburton.com</t>
  </si>
  <si>
    <t>Jay.bissell@halliburton.com</t>
  </si>
  <si>
    <t>Steven.Gray2@halliburton.com</t>
  </si>
  <si>
    <t>David.Mills@welldynamics.com</t>
  </si>
  <si>
    <t>kasey.boutte@halliburton.com</t>
  </si>
  <si>
    <t>ale.avila@halliburton.com</t>
  </si>
  <si>
    <t>Eric.Morrell@welldynamics.com</t>
  </si>
  <si>
    <t>Matthew.Scogin@welldynamics.com</t>
  </si>
  <si>
    <t>vicky.jackson@halliburton.com</t>
  </si>
  <si>
    <t>Scott.Hoadley@halliburton.com</t>
  </si>
  <si>
    <t>Martin.Staelens@welldynamics.com</t>
  </si>
  <si>
    <t>Holly.Marback@halliburton.com</t>
  </si>
  <si>
    <t>Dougie.Davies@Halliburton.com</t>
  </si>
  <si>
    <t>Bill.Hanks@Halliburton.com</t>
  </si>
  <si>
    <t>OMOTAYO.EWUMI@HALLIBURTON.COM</t>
  </si>
  <si>
    <t>Dyane.Henson@Halliburton.com</t>
  </si>
  <si>
    <t>DANA.MOE@WELLDYNAMICS.COM</t>
  </si>
  <si>
    <t>Melissa.Allen@welldynamics.com</t>
  </si>
  <si>
    <t>chris.david@halliburton.com</t>
  </si>
  <si>
    <t>kare.hognestad@halliburton.com</t>
  </si>
  <si>
    <t>Colton.puckett@halliburton.com</t>
  </si>
  <si>
    <t>Anand.venugopal@halliburton.com</t>
  </si>
  <si>
    <t>Gaynell.Chatelain@Halliburton.com</t>
  </si>
  <si>
    <t>gireesh.bhat@halliburton.com</t>
  </si>
  <si>
    <t>Colin.McKay@welldynamics.com</t>
  </si>
  <si>
    <t>LORENZZOBREDA.MINASSA@HALLIBURTON.com</t>
  </si>
  <si>
    <t>Savio.Saldanha@welldynamics.com</t>
  </si>
  <si>
    <t>Torje.Tvedt@welldynamics.com</t>
  </si>
  <si>
    <t>Paul.Anthony@Halliburton.com</t>
  </si>
  <si>
    <t>Kenneth.Dixson@pinntech.com</t>
  </si>
  <si>
    <t>charles.shade@halliburton.com</t>
  </si>
  <si>
    <t>Omotayo.Ewumi@halliburton.com</t>
  </si>
  <si>
    <t>chris.vancamp@halliburton.com</t>
  </si>
  <si>
    <t>Colin.mckay@halliburton.com</t>
  </si>
  <si>
    <t>steve.ewens@halliburton.com</t>
  </si>
  <si>
    <t>Dana.Moe@Halliburton.com</t>
  </si>
  <si>
    <t>Kelley.Pegoda@halliburton.com</t>
  </si>
  <si>
    <t>Debra.Hickman@welldynamics.com</t>
  </si>
  <si>
    <t>Lisbeth.Odegaard@halliburton.com</t>
  </si>
  <si>
    <t>Leary.Friebele@welldynamics.com</t>
  </si>
  <si>
    <t>Steve.Ewens@Halliburton.com</t>
  </si>
  <si>
    <t>Tommy.Lofthus@welldynamics.com</t>
  </si>
  <si>
    <t>Albert.Nurullin@Halliburton.com</t>
  </si>
  <si>
    <t>Damon.Trahan@welldynamics.com</t>
  </si>
  <si>
    <t>Suzi.Marcuccio@Halliburton.com</t>
  </si>
  <si>
    <t>Anthony.Rivera@halliburton.com</t>
  </si>
  <si>
    <t>Kenny.Pham@welldynamics.com</t>
  </si>
  <si>
    <t>GIREESH.BHAT@HALLIBURTON.COM</t>
  </si>
  <si>
    <t>Jonathan.Hrabik@Halliburton.com</t>
  </si>
  <si>
    <t>Gireesh.Bhat@welldynamics.com</t>
  </si>
  <si>
    <t>NA</t>
  </si>
  <si>
    <t>Brent.Nelson@welldynamics.com</t>
  </si>
  <si>
    <t>Bharathwaj.Kannan@welldynamics.com</t>
  </si>
  <si>
    <t>Ksenia.Abakumova@halliburton.com</t>
  </si>
  <si>
    <t>Hernandez@halliburton.com</t>
  </si>
  <si>
    <t>suzi.marcuccio@halliburton.com</t>
  </si>
  <si>
    <t>Nicholas.Cooper@welldynamics.com</t>
  </si>
  <si>
    <t>frank.gremillion@pinntech.com</t>
  </si>
  <si>
    <t>Samuel.Tehven@halliburton.com</t>
  </si>
  <si>
    <t>Joelshaw2@halliburton.com</t>
  </si>
  <si>
    <t>Stephen.Allan@welldynamics.com</t>
  </si>
  <si>
    <t>Keith.wee@halliburton.com</t>
  </si>
  <si>
    <t>Hakon.Kaltveit@halliburton.com</t>
  </si>
  <si>
    <t>Jim.Kelley@Halliburton.com</t>
  </si>
  <si>
    <t>Glen.Breerwood@welldynamics.com</t>
  </si>
  <si>
    <t>Jennifer.Clemonds@welldynamics.com</t>
  </si>
  <si>
    <t>matthew.scogin@halliburton.com</t>
  </si>
  <si>
    <t>jay.bissell@halliburton.com</t>
  </si>
  <si>
    <t>Rory.gardner@halliburton.com</t>
  </si>
  <si>
    <t>Robert.Thornburg@Halliburton.com</t>
  </si>
  <si>
    <t>Alan.McLauchlan@halliburton.com</t>
  </si>
  <si>
    <t>PerEgil.Riis@welldynamics.com</t>
  </si>
  <si>
    <t>Alessandro.Torchiana@welldynamics.com</t>
  </si>
  <si>
    <t>Robert.mcmanus@halliburton.com</t>
  </si>
  <si>
    <t>William.Kruse@welldynamics.com</t>
  </si>
  <si>
    <t>holly.marback@hallilburton.com</t>
  </si>
  <si>
    <t>Kenny.Pham@Halliburton.com</t>
  </si>
  <si>
    <t>Mayra.Hadley@welldynamics.com</t>
  </si>
  <si>
    <t>Courage.Erumwunse@halliburton.com</t>
  </si>
  <si>
    <t>Charles.Shade@welldynamics.com</t>
  </si>
  <si>
    <t>Robert.Smith@welldynamics.com</t>
  </si>
  <si>
    <t>Joel.Shaw2@halliburton.com</t>
  </si>
  <si>
    <t>suzi.marcuccio@gmail.com</t>
  </si>
  <si>
    <t>Aswin.Balasubramanian@welldynamics.com</t>
  </si>
  <si>
    <t>Paul.Lively@Halliburton.com</t>
  </si>
  <si>
    <t>janice.callaway@halliburton.com</t>
  </si>
  <si>
    <t>mariane.morgan@welldynamics.com</t>
  </si>
  <si>
    <t>Audrey.Rennie@Halliburton.com</t>
  </si>
  <si>
    <t>edwin.gonzalez@halliburton.com</t>
  </si>
  <si>
    <t>DAMON.TRAHAN@HALLIBURTON.COM</t>
  </si>
  <si>
    <t>Lindsey.McAninch@halliburton.com</t>
  </si>
  <si>
    <t>Hai.Bi@welldynamics.com</t>
  </si>
  <si>
    <t>joeangel.galindo@halliburton.com</t>
  </si>
  <si>
    <t>Hugo.Gomez@halliburton.com</t>
  </si>
  <si>
    <t>David.Gill@halliburton.com</t>
  </si>
  <si>
    <t>Zuhed.Abdurahman@welldynamics.com</t>
  </si>
  <si>
    <t>Pamela.Forester@welldynamics.com</t>
  </si>
  <si>
    <t>Esmeralda.hernandez@halliburton.com</t>
  </si>
  <si>
    <t>kathryn.moe@welldynamics.com</t>
  </si>
  <si>
    <t>Raymund.Meijs@Halliburton.com</t>
  </si>
  <si>
    <t>Ameerah.Muhammad@Halliburton.com</t>
  </si>
  <si>
    <t>Debbie.Patton@welldynamics.com</t>
  </si>
  <si>
    <t>marcelo.batocchio@halliburton.com</t>
  </si>
  <si>
    <t>roar.hinna@halliburton.com</t>
  </si>
  <si>
    <t>Bartosz.Krupski@halliburton.com</t>
  </si>
  <si>
    <t>Ravi.Vayeda@welldynamics.com</t>
  </si>
  <si>
    <t>holly.marback@halliburton.com</t>
  </si>
  <si>
    <t>Mark.Guy@welldynamics.com</t>
  </si>
  <si>
    <t>pamela.forester@halliburton.com</t>
  </si>
  <si>
    <t>David.Brightman@Halliburton.com</t>
  </si>
  <si>
    <t>Mariane.Morgan@Halliburton.com</t>
  </si>
  <si>
    <t>Laurese.Richmond@Halliburton.com</t>
  </si>
  <si>
    <t>Suzi.marcuccio@halliburton.com</t>
  </si>
  <si>
    <t>chris.david@welldynamics.com</t>
  </si>
  <si>
    <t>Paul.Haines@welldynamics.com</t>
  </si>
  <si>
    <t>Graham.Fleming@welldynamics.com</t>
  </si>
  <si>
    <t>Mark.bedry@halliburton.com</t>
  </si>
  <si>
    <t>Gregory.Treleaven@welldynamics.com</t>
  </si>
  <si>
    <t>Lori.Witherow@halliburton.com</t>
  </si>
  <si>
    <t>clifford.allen@halliburton.com</t>
  </si>
  <si>
    <t>JANICE.CALLAWAY@HALLIBURTON.COM</t>
  </si>
  <si>
    <t>Saravanan.Muniyandy@halliburton.com</t>
  </si>
  <si>
    <t>pam.funk@halliburton.com</t>
  </si>
  <si>
    <t>glen.breerwood@welldynamics.com</t>
  </si>
  <si>
    <t>courage.erumwunse</t>
  </si>
  <si>
    <t>Kevin.Bedborough@Halliburton.com</t>
  </si>
  <si>
    <t>Mark.guy@halliburton.com</t>
  </si>
  <si>
    <t>stigmarius.holgersen@halliburton.com</t>
  </si>
  <si>
    <t>Peter.Kemshall@halliburton.com</t>
  </si>
  <si>
    <t>Kevin.Wood2@halliburton.com</t>
  </si>
  <si>
    <t>James.Seale@welldynamics.com</t>
  </si>
  <si>
    <t>Rameen.Bakhtiary@halliburton.com</t>
  </si>
  <si>
    <t>ted.soules@halliburton.com</t>
  </si>
  <si>
    <t>Erica.Notto@welldynamics.com</t>
  </si>
  <si>
    <t>Chris.Vancamp@halliburton.com</t>
  </si>
  <si>
    <t>stephen.allan@halliburton.com</t>
  </si>
  <si>
    <t>Courage.erumwunse@halliburton.com</t>
  </si>
  <si>
    <t>Andre.Pinheiro@halliburton.com</t>
  </si>
  <si>
    <t>david.mclare@halliburton.com</t>
  </si>
  <si>
    <t>Kare.Hognestad@welldynamics.com</t>
  </si>
  <si>
    <t>Darryl.Jones@welldynamics.com</t>
  </si>
  <si>
    <t>STEPHEN.ALLAN</t>
  </si>
  <si>
    <t>MARIANE.MORGAN@WELLDYNAMICS.COM</t>
  </si>
  <si>
    <t>Kevin.Duane@Halliburton.com</t>
  </si>
  <si>
    <t>Ale.Avila@welldynamics.com</t>
  </si>
  <si>
    <t>seth.cormier@halliburton.com</t>
  </si>
  <si>
    <t>hai.bi@halliburton.com</t>
  </si>
  <si>
    <t>Kenny.Daves@welldynamics.com</t>
  </si>
  <si>
    <t>Nicholas.Croke@halliburton.com</t>
  </si>
  <si>
    <t>dan.taylor@halliburton.com</t>
  </si>
  <si>
    <t>KELLEY.PEGODA@WELLDYNAMICS.COM</t>
  </si>
  <si>
    <t>Matthew.scogin@halliburton.com</t>
  </si>
  <si>
    <t>ckaminski@innovaelec.com</t>
  </si>
  <si>
    <t>Stephen.Paterson@welldynamics.com</t>
  </si>
  <si>
    <t>kelley.pegoda@halliburton.com</t>
  </si>
  <si>
    <t>Joeangel.Galindo@welldynamics.com</t>
  </si>
  <si>
    <t>Thomas.Cassidy@halliburton.com</t>
  </si>
  <si>
    <t>Jim.MacDonald@welldynamics.com</t>
  </si>
  <si>
    <t>ebrewer@innovaelec.com</t>
  </si>
  <si>
    <t>Terje.Nilsen@halliburton.com</t>
  </si>
  <si>
    <t>zuhed.abdurahman@halliburton.com</t>
  </si>
  <si>
    <t>ESMERALDA.HERNANDEZ@WELLDYNAMICS.COM</t>
  </si>
  <si>
    <t>MAYRA.HADLEY@HADLEY</t>
  </si>
  <si>
    <t>Sigbjorn.jarstad@halliburton.com</t>
  </si>
  <si>
    <t>Ravi.Vayeda@Halliburton.com</t>
  </si>
  <si>
    <t>colin.mckay2@halliburton.com</t>
  </si>
  <si>
    <t>phil.allardyce@halliburton.com</t>
  </si>
  <si>
    <t>Alan.mclauchlan@halliburton.com</t>
  </si>
  <si>
    <t>Ahmed.Jasser@halliburton.com</t>
  </si>
  <si>
    <t>TIM.ORTIZ@HALLIBURTON.COM</t>
  </si>
  <si>
    <t>Travis.Pellerin@halliburton.com</t>
  </si>
  <si>
    <t>Valerie.Ngim@welldynamics.com</t>
  </si>
  <si>
    <t>Sandra.Perryman@welldynamics.com</t>
  </si>
  <si>
    <t>Steve.mackey@halliburton.com</t>
  </si>
  <si>
    <t>Gregory.Marshall@welldynamics.com</t>
  </si>
  <si>
    <t>Frank.Gremillion@pinntech.com</t>
  </si>
  <si>
    <t>Melissa.allen@halliburton.com</t>
  </si>
  <si>
    <t>Jameel.Rahman@welldynamics.com</t>
  </si>
  <si>
    <t>MAYRA.HADLEY@HALLIBURTON.COM</t>
  </si>
  <si>
    <t>Dyane.Henson@welldynamics.com</t>
  </si>
  <si>
    <t>Michel.LeBlanc@halliburton.com</t>
  </si>
  <si>
    <t>Gloria.Macias@halliburton.com</t>
  </si>
  <si>
    <t>craig.yeates@halliburton.com</t>
  </si>
  <si>
    <t>jim.macdonald@welldynamics.com</t>
  </si>
  <si>
    <t>Edwin.gonzalez@halliburton.com</t>
  </si>
  <si>
    <t>Dana.Moe@welldynamics.com</t>
  </si>
  <si>
    <t>savio.saldanha@welldynamics.com</t>
  </si>
  <si>
    <t>mike.regan@halliburton.com</t>
  </si>
  <si>
    <t>SCOTT.GARNER@HALLIBURTON.COM</t>
  </si>
  <si>
    <t>alistair.stuart@halliburton.com</t>
  </si>
  <si>
    <t>debra.hickman@welldynamics.com</t>
  </si>
  <si>
    <t>David.Teale@welldynamics.com</t>
  </si>
  <si>
    <t>HOLLY.MARBACK@HALLIBURTON.COM</t>
  </si>
  <si>
    <t>Bruce.Gavin@halliburton.com</t>
  </si>
  <si>
    <t>bruce.gavin@halliburton.com</t>
  </si>
  <si>
    <t>COLTON.PUCKETT@HALLIBURTON.COM</t>
  </si>
  <si>
    <t>Tommy.lofthus@halliburton.com</t>
  </si>
  <si>
    <t>PAUL.JAMES@WELLDYNAMICS.COM</t>
  </si>
  <si>
    <t>DEBRA.HICKMAN@WELLDYNAMICS.COM</t>
  </si>
  <si>
    <t>Pranay.Asthana@welldynamics.com</t>
  </si>
  <si>
    <t>Bruce.Gavin@Halliburton.com</t>
  </si>
  <si>
    <t>janice.callaway@welldynamics.com</t>
  </si>
  <si>
    <t>Kirby.Schrader@welldynamics.com</t>
  </si>
  <si>
    <t>Kelly.Neves@halliburton.com</t>
  </si>
  <si>
    <t>Darren.Cortes@Halliburton.com</t>
  </si>
  <si>
    <t>KELLEY.PEGODA@HALLIBURTON.COM</t>
  </si>
  <si>
    <t>Phil.Allardyce@welldynamics.com</t>
  </si>
  <si>
    <t>Ikenna.Gaius@Halliburton.com</t>
  </si>
  <si>
    <t>DAVID.GILL@HALLIBURTON.COM</t>
  </si>
  <si>
    <t>Rameen.bakhtiary@halliburton.com</t>
  </si>
  <si>
    <t>Glen.breerwood@halliburton.com</t>
  </si>
  <si>
    <t>michael.boucher@halliburton.com</t>
  </si>
  <si>
    <t>michael.guillory@halliburton.com</t>
  </si>
  <si>
    <t>ALAN.MCLAUCHLAN@HALLIBURTON.COM</t>
  </si>
  <si>
    <t>JANICE.CALLAWAY@WELLDYNAMICS.COM</t>
  </si>
  <si>
    <t>JIM.MACDONALD@HALLIBURTON.COM</t>
  </si>
  <si>
    <t>Chetan.Lokesh@halliburton.com</t>
  </si>
  <si>
    <t>eric.lucyk@halliburton.com</t>
  </si>
  <si>
    <t>Dougie.Davies@halliburton.com</t>
  </si>
  <si>
    <t>savio.saldanha@halliburton.com</t>
  </si>
  <si>
    <t>Paul.James@welldynamics.com</t>
  </si>
  <si>
    <t>Brian.Stolz@Halliburton.com</t>
  </si>
  <si>
    <t>colin.mckay@halliburton.com</t>
  </si>
  <si>
    <t>Esmeralda.mcleane@halliburton.com</t>
  </si>
  <si>
    <t>Jerry.Hutsen@welldynamics.com</t>
  </si>
  <si>
    <t>Rob.pounds@halliburton.com</t>
  </si>
  <si>
    <t>Peter.kemshall@halliburton.com</t>
  </si>
  <si>
    <t>craig.yeats@halliburton.com</t>
  </si>
  <si>
    <t>Samuel.guerrero@halliburton.com</t>
  </si>
  <si>
    <t>Ted.Soules@welldynamics.com</t>
  </si>
  <si>
    <t>Campbell.Mitchell@halliburton.com</t>
  </si>
  <si>
    <t>Kieth.wee@hallilburton.com</t>
  </si>
  <si>
    <t>Waqar.ahmed@halliburton.com</t>
  </si>
  <si>
    <t>Cole.Grandjean@halliburton.com</t>
  </si>
  <si>
    <t>Doug.finley@halliburton.com</t>
  </si>
  <si>
    <t>Kelechi.ezennaya@halliburton.com</t>
  </si>
  <si>
    <t>Theodore Soules</t>
  </si>
  <si>
    <t>Khoa Pham</t>
  </si>
  <si>
    <t>Manager/Lead</t>
  </si>
  <si>
    <t>pmSub</t>
  </si>
  <si>
    <t>Pmgroups</t>
  </si>
  <si>
    <t>PMgrpDelim</t>
  </si>
  <si>
    <t>FCgroups</t>
  </si>
  <si>
    <t>FCgrpDelim</t>
  </si>
  <si>
    <t>DIgroups</t>
  </si>
  <si>
    <t>DIgrpDelim</t>
  </si>
  <si>
    <t>Sgroups</t>
  </si>
  <si>
    <t>SgrpDelim</t>
  </si>
  <si>
    <t>746997</t>
  </si>
  <si>
    <t>Table Control</t>
  </si>
  <si>
    <t>746998</t>
  </si>
  <si>
    <t>746999</t>
  </si>
  <si>
    <t>747301</t>
  </si>
  <si>
    <t>ECR - PACKER ENVELOPE GENERATIONS FOR EXISTING HF1 PRODUCTS.  TASK WILL INCLUDE ALL REQUIRED DOCUMENTS PLUS THE PUBLISHED ENVELOPE IN A PDF FORMAT.  PART II:
722HF1702611
722HF1703204
722HF1703232
722HF1703233
722HF1764500 - PERFORMANCE ENVELOPE CREATED RTA 627102
IGNORE ALL NEW VAM THREADS</t>
  </si>
  <si>
    <t>Statoil Stjerne M-13</t>
  </si>
  <si>
    <t>SPLT=112</t>
  </si>
  <si>
    <t>747115</t>
  </si>
  <si>
    <t>DH  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</si>
  <si>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DH  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</si>
  <si>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DH Same As: 722MCS964004; PACKER, MC-1, 13CR, 5.50 17 SL APEX BOX
Except: Change of bore size / tubing connections to 3 1/2 inch 9.2lbs/ft Vam Top, Box X Pin connections.
All other spec to remain the same on packer.
Tech Start Date is in the past
Project Name: Nimr Polymer Injection
Special Quality Plan Required?: No
Material: (7) 13 CR 80 MY 22HRC (ES-MA-58-7)
Mating Infomation:</t>
  </si>
  <si>
    <t>Statoil Visund S V3</t>
  </si>
  <si>
    <t>Full Screen Option</t>
  </si>
  <si>
    <t>747414</t>
  </si>
  <si>
    <t>Same As: 226HA00735S1O00SB2; VLV INTEGD,HS-B,ACCUPULSE, - SB2
Except: 1. Modify to include Position Sensor.
2. Customize Flow Trim for D0058430002. See attachment.
Tech Start Date is in the past
Project Name: Stjerne M13
Special Quality Plan Required?: Yes
Quality Plan Identifier: SB2
Material: (9) 13 CR 105 MY 35 HRC (ES-MA-585)
Mating Infomation:</t>
  </si>
  <si>
    <t>747422</t>
  </si>
  <si>
    <t>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</si>
  <si>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747404</t>
  </si>
  <si>
    <t>Same As: 722HF1106504; PKR,HF1,1065,TBG SET,KO PLUG,25CR
Except: 
1. Material to be 13Cr
2. Quality plan to be SB2</t>
  </si>
  <si>
    <t>747000</t>
  </si>
  <si>
    <t>(TEC (Tubing Encapsulated Conductor,( Tube; 1/4 in. x 0.049 in. wall, Alloy 825 material), Encapsulated: Santoprene with 80MILS,  0.410 in. OD round- White in color, stamp length in meters on Santoprene, P-06 Filler, FEP, T-05 Fluropolymer Dielectric insulation, 16 gauge solid copper conductor, CP-1, Supplied on Torroidal metal spool, 60 inches maximum O.D., 36 inches wide,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R-0000732754</t>
  </si>
  <si>
    <t>elward.gardner@halliburton.com</t>
  </si>
  <si>
    <t>747395</t>
  </si>
  <si>
    <t>Same As: 226HA00735S1O00SB2; VLV INTEGD,HS-B,ACCUPULSE, - SB2
Except: 1. Require modifications to include Position Sensor.
2. Customised Flow Trim  315955HCD. See attachment.
Tech Start Date is in the past
Project Name: Stjerne M-13
Special Quality Plan Required?: Yes
Quality Plan Identifier: SB2
Material: (9) 13 CR 105 MY 35 HRC (ES-MA-585)
Mating Infomation:</t>
  </si>
  <si>
    <t>747413</t>
  </si>
  <si>
    <t>Same As: 226HA00735S1O00SB2; VLV INTEGD,HS-B,ACCUPULSE, - SB2
Except: 1. Modify to include Position Sensor.
2. Customize flow trim for D0054830002. See attachment.
Tech Start Date is in the past
Project Name: Stjerne M13
Special Quality Plan Required?: Yes
Quality Plan Identifier: SB2
Material: (9) 13 CR 105 MY 35 HRC (ES-MA-585)
Mating Infomation:</t>
  </si>
  <si>
    <t>747823</t>
  </si>
  <si>
    <t>TASK TO RELEASE NEW PARTS (HF1 PACKERS)</t>
  </si>
  <si>
    <t>747933</t>
  </si>
  <si>
    <t>Jim.MacDonald@halliburton.com</t>
  </si>
  <si>
    <t>747529</t>
  </si>
  <si>
    <t>Shell  Perdido GA6</t>
  </si>
  <si>
    <t>The documentation for 101945582 needs to be updated with a PDF version of the drawing, specification sheet, and error free design. Product has already need delivered. No design changes are needed.
FOLDER WITH O. EWUMI FOR CHECKING_A. BERRET_01/12/2012</t>
  </si>
  <si>
    <t>747763</t>
  </si>
  <si>
    <t>Same As: 235SF0967018; CLP,SPLC,9670,13CR,7-29.00 VAMTOP HC BOX
Except: 1. Change Threads to 7 inch 29 lb/ft VT HC Box x 5 inch 15 lbs/ft VT pin.
2. Change Material to 25 Chrome.
3. Include SB2 Quality Plan.
Project Name: Stjerne M11
Special Quality Plan Required?: Yes
Quality Plan Identifier: SB2
Material: (12) 25 CR  AF918 85 MY (ES-MA-66-49)
Mating Infomation:</t>
  </si>
  <si>
    <t>747732</t>
  </si>
  <si>
    <t>Same As: 722HF1763904-SB2; PKR ASSY,7639 TY HF1,WITH KNOCK -SB2
Except: 
1. Flow wetted parts to be made of Inconel 718
2. Rest of parts made of 25Cr, to be made of 13Cr</t>
  </si>
  <si>
    <t>747722</t>
  </si>
  <si>
    <t>Same As: 215PA0550003-SB2; VLV, INTEGD HVI 5-1/2 ACCUPULSE -SB2
Except: 
1. Flow Trim to be 311537-31
2. By-pass for 4 x 1/4in lines</t>
  </si>
  <si>
    <t>747720</t>
  </si>
  <si>
    <t>Same As: 216HA00728U1O00; VLV INTEGD,HS,ACCUPULSE,2-7/8,UNSHRDD,13Cr
Except: 
1. Shrouded valve
2. Position Sensor
3. All flow wetted parts to be made of Inc.718. 
Rest of equipment to be made of 13Cr
4. Flowtrim to be D00390754
5. Concentric
6. Quality plan to be SB2</t>
  </si>
  <si>
    <t>747719</t>
  </si>
  <si>
    <t>Same As: 216HAP1035U3O00SB2; VLV INTEGD HS ACCUPULSE,3-1/2 -SB2
Except: 
All flow wetted parts to be made of Inc.718.
Rest ?? 13Cr</t>
  </si>
  <si>
    <t>747550</t>
  </si>
  <si>
    <t>Shell Perdido</t>
  </si>
  <si>
    <t>Statoil Stjerne M13</t>
  </si>
  <si>
    <t>Statoil Stjerne M11</t>
  </si>
  <si>
    <t>42: SPLT=140</t>
  </si>
  <si>
    <t>747944</t>
  </si>
  <si>
    <t>ECR-317042-00-01. CHANGE WIDTH OF SLIP TO 2 X .858 AS PER ATTACHED MARKED UP DRG. 
ALSO REVIEW OTHER SLIPS TO CONFIRM THAT WIDTH DISCREPANCY DOES NOT EXIST. (OEWUMI 04JAN12)
FOLDER RETURNED TO T. BORDMAN FOR DISTRIBUTION_A. BERRET_01/13/2012</t>
  </si>
  <si>
    <t>Statoil  Visund S V4</t>
  </si>
  <si>
    <t>748001</t>
  </si>
  <si>
    <t>UPDATE REFERENCE NUMBER TO READ SAP PART NUMBER FOR 595765 AND 595767 AND ALSO OBSOLETE PN 595765 AND 595767 BECAUSE THE UNIT OF MEASURE WAS EA. A NEW PART NUMBER WAS CREATED FOR 595765 REF 316417-GU AND 595767 REF 316417-GU-ST0 TO CHANGE THE UOM TO MST.</t>
  </si>
  <si>
    <t>ECR - 3.5 direct HS integration, MN 102085302
The item numbers in the BOM in CWI do not match the item numbers on the drawing, 316916-04-01.
IN ENGINEERING DESIGN_A.BERRET_01/09/2012.
FOLDER RETURNED TO O. EWUMI FOR CHECKING_A. BERRET_01/13/2012.</t>
  </si>
  <si>
    <t>Waiting on customer to approve quality plan.  1/13/12 DM</t>
  </si>
  <si>
    <t>Shell Changbei</t>
  </si>
  <si>
    <t>ELEC</t>
  </si>
  <si>
    <t>1/14/2012 Permanent Monitoring RTA Priorities List</t>
  </si>
  <si>
    <t>627101</t>
  </si>
  <si>
    <t>748377</t>
  </si>
  <si>
    <t>6 foot pup joint with Vam Top box (coupling) on one end and T3SB pin on the other.</t>
  </si>
  <si>
    <t>Emailed submitter for requirements doc and code/quality clarification.  1/16/12 DM</t>
  </si>
  <si>
    <t>21: 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</si>
  <si>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
FOLDER RETURNED TO D. TRAHAN FOR APPROVAL-A. BERRET_12/19/2011
FOLDER RETURNED TO O. EWUMI FOR APPROVAL_A.BERRET_01/16/2012</t>
  </si>
  <si>
    <t>748374</t>
  </si>
  <si>
    <t>6 foot pup joint with Vam Top box (coupling) on one side and T3SB box on the other</t>
  </si>
  <si>
    <t xml:space="preserve">Emailed submitter for requirements document and code/quality.  1/16/12 DM </t>
  </si>
  <si>
    <t>748366</t>
  </si>
  <si>
    <t>UPDATE SAP PART NUMBER 594585 AND ITS ASSOCIATED DRAWING (ENG CONTROL) REQUESTED BY K. MOE (SEE ATTACHED EMAIL)</t>
  </si>
  <si>
    <t>katie.moe@welldynamics.com</t>
  </si>
  <si>
    <t>748258</t>
  </si>
  <si>
    <t>ECR-D00515022. Missing dimension on sheet 2 grid ref G3 for position and width of radial slot. Taken dimension from solidworks drg as 2.16 and .77 wide.</t>
  </si>
  <si>
    <t>25: SPLT=98 Changed to code 2 see attached email from submitter.  12/8/11 DM</t>
  </si>
  <si>
    <t>SPLT=N/A Dana to follow-up on AIS date and obtain SPLT from manufacturing.  Assign to Mark, class C. 10/31/2011 MS Moved up priority per PMT discussion.  11/3/11 DM Added requirements document from submitter.  11/3/11 DM Added email from submitter w/flow rate info.  12/7/11 DM  Placing on design hold until field supplies metallurgy confirmation per S Saldanha.  12/9/11 DM</t>
  </si>
  <si>
    <t>13: SPLT=126</t>
  </si>
  <si>
    <t>748591</t>
  </si>
  <si>
    <t>Same as: 235SF0967018-SB2;  CLP,SPLC,9670,13CR,7-29.00 VAMTOP -SB2
Except: Change Material to 25Cr</t>
  </si>
  <si>
    <t>748592</t>
  </si>
  <si>
    <t>ELEC - UPDATE SAP NUMBER 614829 AT REQUEST OF K. PEGODA (SEE EMAILS ATTACHED). PIN PART NUMBER SA3350/1 NEEDS TO BE ADDED TO THE BOM (SEE EMAIL 2 ATTACHED)</t>
  </si>
  <si>
    <t>ECR- SAP M/N 102000874 - 313738-00-01 REV M
See attached file, changes were made according to RTA 696291 but additional coating spec was added to SAP number and drawing.  
Please remove find number 0808 from BOM and remove notes 4 from drawing 316165-00-01
IN ENGINEER DESIGN_A.BERRET_01/17/2012_END</t>
  </si>
  <si>
    <t>New Termination Cap
Same As: 9388-6057; ROC-S CBL TERMN ASSY (NI ALY 718)
Except: During a recent episode on Oseberg South where a dual gauge was used in the lower zone we needed to customize a blind plug PN 588628 with a cable termination ASSY to isolate the feedthrough part of the gauge.
The primary backup solution should be to have a ROCH2 gauge in stock, but there may be times when we need a box with all the required parts and a procedure to archieve a proper blind off of a feedthrough gauge.
Tech Start Date is in the past
Project Name: Dual gauges
Special Quality Plan Required?: Yes
Quality Plan Identifier: SB-2
Material: (14) Inconel 718 125 MY 40 HRC (ES-MA-46-2)
Mating Infomation:
----
2012-01-03, WM: Assign to Mark, class C. Design review will be needed when design has been completed.
2012-01-12, MG: Design &amp; drafting complete, forwarded to James for checking.
2012-01-17, J. SEALE: CHECKING COMPLETE SENDING TO R. BAKHTIARY FOR APPROVAL</t>
  </si>
  <si>
    <t>748788</t>
  </si>
  <si>
    <t>Larry Crocker</t>
  </si>
  <si>
    <t>749120</t>
  </si>
  <si>
    <t>SPLT=N/A</t>
  </si>
  <si>
    <t>42: SPLT=140 Cancelling per attached email from submitter.  1/18/12 DM</t>
  </si>
  <si>
    <t>CREATE BP1 FMJ VARIANT
120811 RTA SENT TO QUALITY FOR REVIEW AND APPROVAL
120811 RTA PENDING REVIEW AND APPROVAL BY CUSTOMER OF UPDATED QUALITY PLAN THIS RTA IS ON HOLD UNTIL IT HAS BEEN APPROVED BY THE CUSTOMER DSH</t>
  </si>
  <si>
    <t>ECR - 3.5 HS valve, MN 102085304, has FAT procedure ES-T-715 in the structure. This valve is a -ST0 variant which requires a DIACS barrier test. Please change the test procedure to  ES-T-712, DIACS barrier test for HS valves.
IN ENGINEERING DESIGN_A.BERRET_01/09/2012.
TSG NOTES 11812 RCVD. FILE FOR PROCESSING. TO BE CANCELLED REF. TASK 745606. (KEN) END</t>
  </si>
  <si>
    <t>ECR - 5.5 HVC valve, MN 102112484, has FAT procedure ES-T-715 in the structure. This valve is a -ST0 variant which requires a DIACS barrier test. Please change the test procedure to  ES-T-712, DIACS barrier test for HVC valves.
IN ENGINEERING_A.BERRET_01/09/2012
TSG NOTES 11812 RCVD. FILE FOR PROCESSING. TO BE CANCELLED REF. TASK 745606. (KEN) END</t>
  </si>
  <si>
    <t>Statoil  Visund V4</t>
  </si>
  <si>
    <t>749730</t>
  </si>
  <si>
    <t>MAKE CORRECTIONS TO BOMS WHICH CONTAIN INCORRECT QUANTITIES, WHICH SHOULD BE IN METERS, FOR P/N 101805944, 101805975.</t>
  </si>
  <si>
    <t>ted.soules@welldynamics.com</t>
  </si>
  <si>
    <t>Shell Habanero</t>
  </si>
  <si>
    <t>749945</t>
  </si>
  <si>
    <t>Christopher.Tawse@Halliburton.com</t>
  </si>
  <si>
    <t>749836</t>
  </si>
  <si>
    <t>Statoil Visund V4</t>
  </si>
  <si>
    <t>Shell Europa A8</t>
  </si>
  <si>
    <t>CBM project: Drawing update/migration from Domino to CWI per attached legend.
TSG NOTES 10-27-11 TO TSG FOR REVIEW AND RELEASE SO PARTS CAN BE BACKFILLED J. CALLAWAY
IN ENGINEERING DESIGN_A.BERRET_01/17/2011---------------END
IN DRAFTINF_FOLDER RETURNED TO S. GAARE FOR BOM BUILD AND END. DRAWINGS UPDATES_A. BERRET_01/252012---------------END</t>
  </si>
  <si>
    <t>751631</t>
  </si>
  <si>
    <t>Test; please ignore</t>
  </si>
  <si>
    <t>750056</t>
  </si>
  <si>
    <t>MODIFYING THE ASSEMBLY INSTRUCTIONS FOR 71CO657 EXXON IRAQ TO FACILITATE THE ASSEMBLY OF THE SINGLE WELL SAFETY SYSTEM.</t>
  </si>
  <si>
    <t>752112</t>
  </si>
  <si>
    <t>Create Drawings for all (4) plastic inserts (2-7/8, 3-1/2, 4-1/2, 5-1/2) Travis Bordman has all the SolidWorks models to be used for the drawings.</t>
  </si>
  <si>
    <t>Part Number 101915960 needs a Technical Document similar to the Design Data Sheet on 101817745.
IN ENGENNERING FOR CHECKING_A. BERRET_01/25/2012--------END
FOLDER RETURNED TO P. JAMES FOR APPROVAL_A. BERRET_01/26/2012---------------------------------------END</t>
  </si>
  <si>
    <t>751401</t>
  </si>
  <si>
    <t>750550</t>
  </si>
  <si>
    <t>Achmigaz</t>
  </si>
  <si>
    <t>update the 71CA118 to include the Autoclave 15MX44K8 adapter fitting</t>
  </si>
  <si>
    <t>Assign to Robert T Class A  1/23/12 DM</t>
  </si>
  <si>
    <t>Charpy Vee Notch
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
2012-01-03, WM: Assign to Mark, class A. Mark to review requirements and determine scope/feasibility.
---
1/6/2012 RB - Rameen to contact Sandra Perryman to verify the scope of this RTA. Mark has created new assembly containing the requested O-Ring; need to verify quantities and quality needs of the new part.
----
1/10/2012 RB - Sent email to submitter &amp; requestor to verify requirements of RTA. Email has been attached
----
1/25/2012 RB - Contacted quality to look into testing requirements. Meeting set up with quality &amp; submitter to discuss requirements.</t>
  </si>
  <si>
    <t>750717</t>
  </si>
  <si>
    <t>750694</t>
  </si>
  <si>
    <t>CREATE DRAWINGS FOR SEAL TEST FIXTURE FOR 4.500 HS CHOKE</t>
  </si>
  <si>
    <t>ECR D00388600 REV C SAP 101838619 COULD THE BOM BE UPDATED TO REFLECT XYLAN COATING REQUIREMENT?
IN ENGINEERING DESIGN_A.BERRET_01/17/2012
FOLDER RETURNED TO O. EWUMI FOR CHECKING_A.BERRET_01/202012</t>
  </si>
  <si>
    <t>751904</t>
  </si>
  <si>
    <t>STATOIL Peregrino</t>
  </si>
  <si>
    <t>SPLT=84</t>
  </si>
  <si>
    <t>750022</t>
  </si>
  <si>
    <t>Shell Caisson</t>
  </si>
  <si>
    <t>R Smith contacting submitter.  Duplicate request being handled on another RTA.  Will cancel after contact has been made.  1/23/12 DM</t>
  </si>
  <si>
    <t>751704</t>
  </si>
  <si>
    <t>M/N-591124 and 591126, Drawing W.302243-00-00
Please remove the 6.995/7.000 dimension as this is not necessary for manufacturing the part and meeting geometry requirements.</t>
  </si>
  <si>
    <t>751721</t>
  </si>
  <si>
    <t>ADTI/Enquest-Heather</t>
  </si>
  <si>
    <t>751994</t>
  </si>
  <si>
    <t>Ref.part 216HA00745U3O00 VLV,INTEGD,HS,ACCUPULSE,4-1/2,UNSHRDD
Except:
- Flow Trim - use 316612-01
- 2 off External slots for FMJ splices
- Bypass for 1 off 1/4in line
- Change material to 13Cr
- Threads to be 4,5in 12,6PPF
- Quality Plan to be SB2</t>
  </si>
  <si>
    <t>ECR- D00441840 REV C
A diameter or length for the 75 deg angle shown on 
detail E is missing.
-----------------------------------------------------------IN ENG. DESIGN-A. BERRET_10/31/2011---------------------END
IN DRAFTIONG: FOLDER RETURNED TO T. BORDMAN BOX FOR DISTRIBUTION_A. BERRET_11/28/2011
FOLDER RETURNED TO PAUL JAMES FOR APPROVAL_A.BERRET_01/25/2012----------------------------END</t>
  </si>
  <si>
    <t>Approval</t>
  </si>
  <si>
    <t>1/4 X .049, ALLOY 825 TEC
CREATE NEW PART NUMBER FOR (1 SPOOL 6600M) TEC, 1/4 X .049, ALLOY 825, P-06 FILLER FEP INSULATION, 16 GA SOLID COPPER CONDUCTOR, CP-1, 0.41
Quality plan KZ1</t>
  </si>
  <si>
    <t>752250</t>
  </si>
  <si>
    <t>For drawing 308091-09-01, section (N-N) requires a call out change. Change it from 33/18 to 33/9. This reflects a shorter screw length for item 9 that will avoid protrusion in the assembly.</t>
  </si>
  <si>
    <t>750831</t>
  </si>
  <si>
    <t>ECR 316850-00-01 REV B CAN THE LENGTH OF THE NATIONAL THREAD BE ADDED BACK IN TO DRAWING. LENGTH SHOWS AS BEING 3.95 INCHES IN REV 1</t>
  </si>
  <si>
    <t>751378</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</si>
  <si>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4.5- RTA 750717
ZEWO:  103456504
Network: HTWD601618 M001</t>
  </si>
  <si>
    <t>751678</t>
  </si>
  <si>
    <t>Drawing W.304236-00-00 Rev.J
17 associated material numbers.
Please add a note to the drawing that states,
KEEP ALL 6 PIECES TOGETHER AS A MATCHED SET.</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</si>
  <si>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
2011-12-19 WM: The schematic and component list has been scheduled for completion by first week of Jan 2012.  2011-12-19 AB
2012-01-24 WM: The schematic is being finalized and expected to be complete in two weeks.  2012-01-24 AB</t>
  </si>
  <si>
    <t>750072</t>
  </si>
  <si>
    <t>Chevron Angola Blk 0</t>
  </si>
  <si>
    <t>same as part number 102036908, but with a change in threads from the current T3SB to Tenaris Blue.</t>
  </si>
  <si>
    <t>Cancelled per attached email from C McKay.  1/23/12 DM</t>
  </si>
  <si>
    <t>751185</t>
  </si>
  <si>
    <t>ECR - request a new part number pre-swage tool, new design. Please find the attached red-lined drawing to create new pre-swage tool for shop use in Spring. The handle is longer and thicker to make use easier.</t>
  </si>
  <si>
    <t>Drawings 313482-00-01 Rev.2 and 316438-00-01 Rev.B
Please add 2X 15 degrees for the bevels at each end of the 3.268 length shown in SECTION B-B, both drawings.
IN ENGINEERING FOR CHECKING_A. BERRET_01/26/2012--------END
FOLDER RETURNED TO DRAFTING VIA TRAVIS BORDMAN FOR EDITING AND BOM UDATES_A. BERRET_01/27/2012---------------------END</t>
  </si>
  <si>
    <t>ECR - Steam valve, MN 101833487, has assy and test procedure 316651-00-01 rev 1 in the structure. Per Darryl Jones, the correct procedure is 316651-00-01, attached. Please change the procedures.
IN ENG. DESIGN FOR CHECKING_A.BERRET_01/20/2012---------END</t>
  </si>
  <si>
    <t>751320</t>
  </si>
  <si>
    <t>MN 101838492
Create packer envelope for 722HF1965309 and attach in CWI.</t>
  </si>
  <si>
    <t>750608</t>
  </si>
  <si>
    <t xml:space="preserve">      Issues with 9670-6060 II
01)	Step 8.6-8.8 In order to read register 30122 a change in Modbus is needed. Change Modbus Point Type to Input Register. Change address to 0100 and length to 23.
02)	Step 9.5 This sequence will not activate digital mode for the IWIS card. 
03)	Step 9.12 This sequence will not activate digital mode for the IWIS card.</t>
  </si>
  <si>
    <t>Safety System
Same As: 71SSS1; SFTY SYS STD RTA DESIGN REQ
Except: Design control panel as per email dtd Dec. 19 from Hon.
Project Name: 
Special Quality Plan Required?: No
Material: 
Technical Support Deliverables:
Preliminary Design Specifications
Reference Assembly Drawing
2012-01-03 WM: Awaiting clarification from customer. No specifications supplied.
2012-01-09, WM: Have not received safety system specifications and AIS from customer. Jay has sent request on Jan 3. Jay will resend.</t>
  </si>
  <si>
    <t>12:  SPLT=N/A Still waiting on response from field.  1/16/12 DM  Jay sending 2nd request for specs to submitter.  1/23/12 DM</t>
  </si>
  <si>
    <t>751214</t>
  </si>
  <si>
    <t>This RTA is a request to create a SAP number for the Completion Products 7in 26lb.ft VAMTOP Clamp Protector (Part number AS-7000-3-1604), Carbon Steel Material.
MATERIAL DESCRIPTION: 7in, 26lb.ft VAM TOP, Cross Coupling Protector (p/n: AS-7000-3-1604), 8.276in Running OD, two Slots for 11mm rounded encapsulated 0.250 lines, Carbon Steel material.
NOTE: THIS MATERIAL MUST BE SHIPPED STRAIGHT FROM VENDOR MANUFACTURE (UK)TO HCT-BRAZIL (MACA¿¿/RJ) WITH THE HALLIBURTON CUSTOMER SERVICE PSL SUPPORT (DO NOT PASS THIS MATERIAL THROUGH THE WELLDYNAMICS SPRING/TX FACILITY IN ORDER TO ALLOW MATCH THE CLIENT DELIVERY TIME AND COST ESTIMATION).   
PROJECT NAME: STATOIL PEREGRINO - BR11193</t>
  </si>
  <si>
    <t>12.1: SPLT=N/A</t>
  </si>
  <si>
    <t>750992</t>
  </si>
  <si>
    <t>Revise ES-A-523 Section 5.5 to clarify process for positioning of release collet.
Need to add an inspection method to verify the collet is positioned correctly relative to the release housing shoulder.  Pictures or drawings to show correct view would be helpful.
Investigate some kind of gauge or go-nogo tooling to aid the Assembly group in quickly measuring the correct location and to reduce confusion or misalignment.
Reference CPI 300211161, Conoco Bawal packer investigation.</t>
  </si>
  <si>
    <t>751771</t>
  </si>
  <si>
    <t>-----CANCEL THIS RTA------
---SAME AS RTA 751781-----
----    S TEHVEN    ------
REVISE DRAWING 9290-2790 TO CHANGE THE SECTION LABEL D TO LABEL C.</t>
  </si>
  <si>
    <t>751524</t>
  </si>
  <si>
    <t>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</si>
  <si>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751525</t>
  </si>
  <si>
    <t>751408</t>
  </si>
  <si>
    <t>Upper Level M/N-101840913 Carrier, Inner Carbide Assy.
M/N-101840320, Drawing D00390756 Rev.C
Please change the 7X 2.899/2.901 reference OD at the right side of DETAIL-B to 7X 2.8995/2.9000, leave the triangle 1 associated with this dimension.</t>
  </si>
  <si>
    <t>751317</t>
  </si>
  <si>
    <t>MN 101903675
Create packer envelope for 722HF1965346 and attach in CWI.</t>
  </si>
  <si>
    <t>751764</t>
  </si>
  <si>
    <t>ECR - Accu-Pulse and Digi poppet vacuum test fixture requires additional dimensional callouts to achieve a tighter tolerance per Bob Gissler. Also, the parts do not have SAP part numbers. Please revise the drawings, 029984-00 and 308418-00, per the attachment, assign SAP part numbers and set up in CWI.</t>
  </si>
  <si>
    <t>751278</t>
  </si>
  <si>
    <t>ECR-9290-2786.Gauge Mandrel 9290-2786 there is a missing dimension for the face of the slot to the centre at the left hand side grid C7.E-Mail sent by Mark Guy that the dimension from the pin centre to the slot bottom at grid C7 should be 2.470.</t>
  </si>
  <si>
    <t>315270-00-01 has the bore and outside diameters missing for the 3.625-8 stub acme thread and 4.625-10 stub acme thread.
IN ENGINEERING FOR CHECKING_A. BERRET_01/26/2012--------END
RETURNED TO P. JAMES FOR APPROVAL_A. BERRET_01/26/2012--END</t>
  </si>
  <si>
    <t>ECR - HVC assembly document ES-A-442 instructs to use a drift (size 3.720) on page 14, step 3.3. Valve assembly 101821390 has a special I.D. that differs from that of a common valve. This valve has a 3.688 I.D. The 3.720 drift cannot be used in a 3.688 I.D. bore.
IN ENGINEERING DESIGN_A. BERRET_01/27/2012--------------END</t>
  </si>
  <si>
    <t>750776</t>
  </si>
  <si>
    <t>751963</t>
  </si>
  <si>
    <t>BC Petroleum</t>
  </si>
  <si>
    <t>Dan Taylor</t>
  </si>
  <si>
    <t>751523</t>
  </si>
  <si>
    <t>Material 102054316 MANDREL ASSEMBLY, 3 1/2-9.20, PERFORATION, 2 X 1/4 FMJ, TENARIS BLUE PIN X PIN, 13% CHROME 80K Is missing shipping plugs from the B.O.M. Suggest m/n 590839 / D  W.301664-00-00 / 9  qty 2.0   W.301664-00     ASSEMBLY, SHIPPING PLUG FOR 1/4 FMJ FITTING be added to protect the two FMJ ports.</t>
  </si>
  <si>
    <t>34: SPLT=154 Well cancelled.  Design far enough along it will be completed for future needs. 4/18/11 DM</t>
  </si>
  <si>
    <t>1: SPLT=33   9/25/11 WM reviewing BOM; awaiting updated drawings from ProServe to incorporate into our drawings Wkly mtg 10/4. Parts on order and build started. New changes to design recd 9/30.  10/3/11 DM   2011-07-05, Matthew Scogin:  Leadtime is not standard due to new manufacturer.  Splt reflects this. T Soules to set up mtg w/ProServ Norway 7/19/11 DM Field to order direct from ProServ.  8/11/11 DM Mtg w/mfg 8/17. D Moe to confirm AIS date can be pushed to 1/20/2012.  8/15/11 DM     Ted &amp; Josh sending initial design details to manufacturer by  8/2.  7/25/11 DM  Mtg w/mfg next week.  8/29/11 DM  Robert going to Norway to meet w/ProServ and Statoil.  9/6/11 DM Robert in Norway this week mtg with Proserv and Statoil.  9/12/11 DM Recd GA drwgs from Norway. Design to be completed in next week or two.  9/19/11 DM Pushed AIS date per R Smith.  9/21/11 DM  DM Pushed AIS date per R Smith.  9/21/11 DM  Waiting for updated drwgs from ProServ.  Meeting w/them 10/11.  10/10/11 DM ProServ drawings have been reviewed and changes need to be made.  MeetingPlace mtg scheduled tomorrow. Dana to ck with Christoffer to confirm PO is in place for this order. 10/24/11 DM  Working on TrendingWorX Logger issues, modbus maps to be updated, shipping PLCs to Norway.  11/14/11 DM  DI waiting for final drwgs from ProServ.  11/14/11 DM Recd incomplete drwgs from ProServ.  Meeting with Josh 12/6 to work out additional drwg requirements.  12/5/11 DM  Still waiting for additional drwg from ProServ. System already on order. 12/9/11 DM  Recd drwgs from ProServ but still need clarifications. Mtg with them tomorrow.  1/16/12 DM  Sifting through designs from ProServ and loading info.  1/23/12 DM</t>
  </si>
  <si>
    <t>8: SPLT=168 @@ To drftg 8/12.  8/11/11 DM Inital drwg complete. Design review mtg 8/23.  8/23/11 DM Emailed field regarding customer PO and AIS date. Changing to code 6 until customer PO is received.  8/25/11 DM Emailed field regarding customer PO and AIS date. Changing to code 6 until customer PO is received.  8/25/11 DM  Design hold until Research Engineering completes and releases Smartplex HS Manifold and Protective Cover Assembly. Changed AIS date to 5/18 and changed to Code 1 per PMT mtg.  1/13/12 DM</t>
  </si>
  <si>
    <t>30: SPLT=N/A On design hold waiting for designs by Carrollton FC. RTA 707224-718 Landing Nipple, 707227-718 Lock Mandrel, 707231-718 Equalizing Valve/Prong.  8/22/11 DM Pushed out AIS date and TRDD per P James.  9/20/11 DM Revised AIS and TRDD per P James.  10/5/11 DM</t>
  </si>
  <si>
    <t>31: SPLT=N/A  On design hold waiting for designs by Carrollton FC. RTA 707224-718 Landing Nipple, 707227-718 Lock Mandrel, 707231-718 Equalizing Valve/Prong.  8/22/11 DM Pushed out AIS date and TRDD per P James.  9/20/11 DM Revised AIS and TRDD per P James.  10/5/11 DM</t>
  </si>
  <si>
    <t>32: SPLT=N/A On design hold waiting for designs by Carrollton FC. RTA 707224-718 Landing Nipple, 707227-718 Lock Mandrel, 707231-718 Equalizing Valve/Prong.  8/22/11 DM Pushed out AIS date and TRDD per P James.  9/20/11 DM</t>
  </si>
  <si>
    <t>33: SPLT=N/A On design hold waiting for designs by Carrollton FC. RTA 707224-718 Landing Nipple, 707227-718 Lock Mandrel, 707231-718 Equalizing Valve/Prong.  8/22/11 DM Pushed out AIS date and TRDD per P James.  9/20/11 DM</t>
  </si>
  <si>
    <t>23: SPLT= N/A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</si>
  <si>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25: SPLT=N/A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  Sent back to M Guy for minor changes.  12/5/11 DM  Removed customer requirement due to Shells cancellation.  12/8/11 DM</t>
  </si>
  <si>
    <t>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  Waiting for final confirmation from customer. J Flygare indicates he anticipates and approval.  12/5/11 DM  Emailed J Flygare for update on customer approval.  1/16/12 DM</t>
  </si>
  <si>
    <t>14: SPLT=126 Pushed AIS and TRDD per P James.  9/20/11 DM  Changed AIS date per PMT mtg.  1/13/12 DM  Chgd to Code 1 because once design is released it will be used on the next well.  1/24/12 DM</t>
  </si>
  <si>
    <t>20: SPLT=112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  Emailed field re: AIS date.  1/10/12 DM  Revised AIS date per attached email from field.  1/10/12 DM</t>
  </si>
  <si>
    <t>SPLT=168  Emailed submitter and requested a requirements document.  10/27/11 DM  Recd and attached requirements document.  11/2/11 DM  Placing on design hold until field supplies metallurgy confirmation per S Saldanha.  12/9/11 DM</t>
  </si>
  <si>
    <t>35: SPLT=N/A</t>
  </si>
  <si>
    <t>SPLT=168  Emailed submitter to request requirements document.  10/27/11 DM Recd and attached requirements document.  11/2/11 DM  Attached updated requirements document reflecting thread changes to Tenaris Blue.  11/17/11 DM  Emailed submitter for confirmation on number of lines required. 12/7/11 DM  Recd confirmation from submitter that 5 lines are required.  Email attached. 12/8/11 DM</t>
  </si>
  <si>
    <t>SPLT=210  No customer PO until end of year. May need to VSF long lead items once this is received. Design waiting for development of 4.5 multi-function ftg kit which is underway. Email attached.  10/13/11 DM  Changed AIS date per PMT mtg.  1/13/12 DM</t>
  </si>
  <si>
    <t>26:  SPLT=N/A Dana to assign to Mark, Class B.  11/21/11 DM  New gauge design in progress.  Mandrel design completed, drafting in progress. 12/5/11 DM  2011-11-30 MG - Start design &amp; drafting. Venturi assembly &amp; mandrel details the same as 705274 but with feedthru at downhole end of mandrel  2011-12-8 MG - Design complete. Forward to Sam for checking.  Removed customer requirement due to Shells cancellation.  12/8/11 DM</t>
  </si>
  <si>
    <t>New ROC Mdrl: D.Redundant ROC175
4.5 12.6ppf, 13Cr 80K, JFE Bear Gauge Mandrel. 
To accomodate ROC-175, 1.125 OD, 0-16KPSIA GAUGE, Dual Redundant Gauge P/N 9381-6076 SAP 101868151
Max OD 7in 32lb
Casg Size 4 1/2 15.1
Metallurgy  13Cr 80Ksi
Connection  JFE Bear x JFE Bear
Min ID  5.969
2011-11-28 WM: Assign to James Class B 11/28/11 DM
----
12/05/2011 - J. SEALE COMPLETED DESIGN MATERIAL CHANGE WITH EDS, SENDING TO S. TEHVEN FOR CHECKING.
------
2011-12-13 ST - SENT BACK TO J. SEALE FOR CORRECTIONS
------
2011-12-13 ST - SENT TO R. BAKHTIARY FOR APPROVAL
------
2011-12-15 J STEINHOFF - CHECKING COMPLETE. DIFFERENT CASING SIZES ARE LISTED BETWEEN THE RTA PAGE AND THE MANDREL REQUIREMENTS DOC, PLEASE CONFIRM CORRECT SIZE WAS USED.
2012-01-03, WM:  Design is being reveiwed to determined feasibility.
----
1/6/2012 RB - Mandrel design must be altered (special clearance coupling?, decreased ID?, use dual 0.75 OD gauges?, etc.) to lower OD within drift. Rameen to contact Kelechi Ezennaya to determine what direction will be taken to proceed.
2012-01-09, WM: Submitter to be contacted per note above.
-----
1/25/2012 RB - Submitter responded with modified specifications per attached email and RTA re-design has been completed. RTA is ready for approval.</t>
  </si>
  <si>
    <t>4: SPLT=112 Emailed field for AIS date.  11/2/11 DM  Need drawing for customer review and mn for PO. Completion date is 6/2012.  11/23/2011 DM  Assign to James Class B 11/28/11 DM</t>
  </si>
  <si>
    <t>2: Hakeem to contact TSG for pre-release of mn for customer PO.  Design to be completed in standard lead time.  12/5/11 DM Design completed except for pump, which may change.  Once decision is made design can be completed within a couple of days.  Jay discussing pneumatic pump costs for possible change with customer. 12/9/11 DM  Design review completed.   Changes being made per design review and will be sent to Ted for approval. Change referenced number to 71CO661.  1/12/12 DM  Emailed D Henson to revise referenced number.  1/18/12 DM  Sending out for quote. Scheduling design review prior to material number release.  1/23/12 DM</t>
  </si>
  <si>
    <t>SPLT=140  Attached updated requirements document reflecting thread changes to Tenaris Blue.  11/17/11 DM  Placing on design hold until field supplies metallurgy confirmation per S Saldanha.  12/9/11 DM</t>
  </si>
  <si>
    <t>SPLT=154 Emailed field with existing part number to verify new design is still required.  Waiting for response. Email attached.  1/4/12 DM  Customer wants to go to tender so placing RTA on hold per attached email from submitter.  1/10/12 DM</t>
  </si>
  <si>
    <t>6: SPLT=126 @@ 1/3/2012 RB - Assigned to James, changed class to C, changed request design complete date to 2/7/2012  Emailed submitter regarding AIS date and to inform him that standard lead times apply which will be 5/25.  1/19/12 DM Changed AIS date per attached email from submitter.  1/19/12 DM</t>
  </si>
  <si>
    <t>3: SPLT=140 @@ Emailed submitter for AIS date, customer, and project.  11/23/11DM  Recd required info from submitter. Email attached. 12/8/11 DM Pushed AIS date per S Saldanha. Email attached.  1/24/12 DM</t>
  </si>
  <si>
    <t>9: SPLT=140 @@  Emailed submitter regarding 5/12/12 delivery date per PMT. Waiting for confirmation from field to change AIS date.  1/19/12 DM Confirmation from field to push AIS date-email attached. 1/20/12 DM  Emailed submitter for splice orientation details.  1/25/12 DM  Customer markup of splice orientaiton attached.  1/26/12 DM</t>
  </si>
  <si>
    <t>10: SPLT=140 @@  Emailed submitter regarding 5/12/12 delivery date per PMT. Waiting for confirmation from field to change AIS date.  1/19/12 DM Confirmation from field to push AIS date-email attached. 1/20/12 DM  Emailed submitter re: no bumper bar to anchor flatpack.  1/25/12 DM</t>
  </si>
  <si>
    <t>11: SPLT=140 @@  Emailed submitter regarding 5/12/12 delivery date per PMT. Waiting for confirmation from field to change AIS date.  1/19/12 DM  Confirmation from field to push AIS date-email attached. 1/20/12 DM</t>
  </si>
  <si>
    <t>15: SPLT=126 Called submitter to follow up on requirements document request.  1/16/12 DM  Attached requirements document recd from submitter.  1/16/12 DM Per phone conversation with submitter single cable terms w/dual gauge assy required.  1/17/12 DM  Contacted Rameen and changed description to release unthreaded variant per PMT mtg.  1/19/12 DM  Changed AIS date per Shell rig schedule and confirmation by T Taylor.  1/19/12 DM</t>
  </si>
  <si>
    <t>11: SPLT=126</t>
  </si>
  <si>
    <t>12: SPLT=126</t>
  </si>
  <si>
    <t>14: SPLT=126 Waiting for response from field re: using ROC-175 on both this and 728465 and confirmation of AIS date.  1/4/12 DM  ROC D will be used per T Taylor. Attached requirements document.  1/16/12 DM  Contacted Rameen and changed description to release unthreaded variant per PMT mtg.  1/19/12 DM  Changed AIS date per Shell rig schedule and confirmation by T Taylor.  1/19/12 DM</t>
  </si>
  <si>
    <t>18: SPLT=126  Changed AIS date per Shell rig schedule and confirmation of G Breerwood. Confirmation email attched.  1/19/12 DM</t>
  </si>
  <si>
    <t>3.5IN 9.2PPF S13CR 110 Ksi VAM Top Gauge Mandrel with Fully Redundant ROC 175 20Ksi Gauge mounted and comes with termination. 0.69IN bypass slots on both sides of the mandrel. Class B Shell Thread Class. SE1 Quality Plan. This RTA will require an EDS, an EFD and a CERT document to submit to Shell.
------
2012-01-16 ST - SENT TO J. SEALE FOR CHECKING
------
2012-01-22 J. SEALE - CHECKING COMPLETE, SENDING BACK TO S. TEHVEN FOR DRAWING CORRECTION.</t>
  </si>
  <si>
    <t>SPLT=126 Emailed submitter to verify AIS date, Code, and requirements document.  1/11/12 DM Changed material per attached email from submitter.  1/13/12 DM  Changed AIS date per Shell rig schedule and confirmation of G Breerwood. Confirmation email attached.  1/19/12 DM  Placing on hold per submitter request until tubing connections are verified by customer. Email attached. 1/24/12 DM</t>
  </si>
  <si>
    <t>8: SPLT=126 Changed AIS date per Shell rig schedule and confirmation of G Breerwood.  Confirmation email attached. 1/19/12 DM</t>
  </si>
  <si>
    <t>15: SPLT=168 Emailed submitter regarding 9/1/12 delivery date per PMT. Waiting for confirmation from field to change AIS date.  1/19/12 DM</t>
  </si>
  <si>
    <t>29: SPLT=140</t>
  </si>
  <si>
    <t>SPLT=168  Cancelling per submitter customer wants HS instead of HVC valves. Completed most of design so will go ahead and complete. 1/27/12 DM</t>
  </si>
  <si>
    <t>18: SPLT=168 Emailed submitter regarding 9/1/12 delivery date per PMT. Waiting for confirmation from field to change AIS date.  1/19/12 DM</t>
  </si>
  <si>
    <t>26: SPLT=168  Called submitter re: attached email from S Saldanha. Left message.  1/16/12 DM</t>
  </si>
  <si>
    <t>19: SPLT=168 Emailed submitter regarding 9/1/12 delivery date per PMT. Waiting for confirmation from field to change AIS date.  1/19/12 DM</t>
  </si>
  <si>
    <t>25: SPLT=168  Changed AIS date per PMT.  Need to finish design asap for field design reviews.  1/13/12 DM</t>
  </si>
  <si>
    <t>16: SPLT=168 Emailed submitter regarding 9/1/12 delivery date per PMT. Waiting for confirmation from field to change AIS date.  1/19/12 DM</t>
  </si>
  <si>
    <t>12: SPLT=140 @@ Email to field requesting packer info-email attached.  1/20/12 DM  Emailed submitter regarding splice sub requirements.  1/25/12 DM  Submitter splice sub requirements attached.  1/26/12 DM</t>
  </si>
  <si>
    <t>750781</t>
  </si>
  <si>
    <t>MFGR SPEC - VIZ BOARD CARDS - Create a spec to define white, orange and green cards to be used in mfg on the visual management workflow board; mfgr spec that defines characteristics of card and the artwork in .jpg format should be included as a definition object in the doc object. PAUL LIVELY 1/25/2012</t>
  </si>
  <si>
    <t>M/N-594096 Drawing 312542-00-01 Rev.7
Please modify NOTE 8, find number 0803; is B-001 Moly should be B-006 Bead Blast for the 3-1/2 10.2 NSCT Pin Thread.
IN ENGINEERING CHECKING_A. BERRET_10/03/2011------------END
FOLDER RETURNED TO P. JAMES FOR APPROVAL_A. BERRET_10/05/2011---------------------------------------END
FOLDER RETURNED TO P. JAMES_AFFECTED ITEMS LIST NEEDS TO BE FURTHER EDITED_A. BERRET_10/09/2011------------------END
IN ENG. DESIGN CHECK-A. BERRET_10/31/2011---------------END
FOLDER RETURNED TO P. JAMES FOR APPROVAL-A. BERRET_11/08/2011---------------------------------------END
RETURNED TO T. BORDMAN FOR MINOR PRINT CHANGES-A. BERRET_11/17/2011---------------------------------------END
IN ENG DESIGN FOR CHECKING_A.BERRET_01/31/2012----------END</t>
  </si>
  <si>
    <t>753061</t>
  </si>
  <si>
    <t>ECR-9450-2298 should be ES-MA-89-4 in the BOM.Correct 101984516 in CWI. Ref e-mail from Mark Guy</t>
  </si>
  <si>
    <t>753241</t>
  </si>
  <si>
    <t>RTA TO CREATE TEMPLATE FOR AMS SOFTWARE SERVERS AND PCS</t>
  </si>
  <si>
    <t>752611</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</si>
  <si>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 ATTACH A SERIAL CABLE TO THE TOP LEVEL PART. REPLACE COMPUTER WITH 101958496.</t>
  </si>
  <si>
    <t>753235</t>
  </si>
  <si>
    <t>RTA TO CREATE TEMPLATE FOR AMS PM CHEMICAL INJECTION INTEGRATIONS</t>
  </si>
  <si>
    <t>753237</t>
  </si>
  <si>
    <t>CREATE AMS TEMPLATE FOR EZ GAUGE</t>
  </si>
  <si>
    <t>MFGR SPEC - QN LABEL - Create a label for use in mfg to be adhered to the production folders and contain all info regarding applicable QNs associated with the production item. The lable is 1.5 inches x 3.x inches. Should be orange with black text. Refer to Task Auth T00000734980 already created.</t>
  </si>
  <si>
    <t>752585</t>
  </si>
  <si>
    <t>ECR - PFMEA RPN CHART - Create a chart for RPNs to be utilized during PFMEA reviews as a guide in documenting Severity, Occurrence and Detection criteria and related Risk Priority Number (RPN) values. Output/finished product should be a Doc Object with applicable D-number, color, two-sided card in .pdf format that can be easily printed as needed. Paul Lively 1/30/2012</t>
  </si>
  <si>
    <t>New WHO Redress Kit
This RTA is a request to generate a Redress Kit SAP number 
for the Antech Wellhead outlet that will be released by the RTA R00000750776. This Redress Kit (Part No/Rev AN-08486 A) is the ITEM 2 of the Antech document QT-6110B.
MATERIAL DESCRIPTION: Antech Wellhead Outlet Part No/Rev: AN-08874 Redress Kit. 
PROJECT NAME: STATOIL PEREGRINO - BR11193
Note: Client provided a letter of intention to Halliburton.</t>
  </si>
  <si>
    <t>ECR - STANDARD WORK, PRESERVATION - Create and release a document that is a standard work for the preservation process for top level assemblies in the Spring facility. Paul Lively 11/18/2011</t>
  </si>
  <si>
    <t>Test MSE seals for 4 1/2 inch HS
3.5- RTA 646073</t>
  </si>
  <si>
    <t>752811</t>
  </si>
  <si>
    <t>ECR - 9 5/8 HF1 packer consumable kit, 101903556, does not have test keys in the BOM. Please add 4 each test keys, MN 595085, to the BOM in CWI.</t>
  </si>
  <si>
    <t>752838</t>
  </si>
  <si>
    <t>Same As: 235SF0703550; SUB,SPLC,7035,S13CR,3 1/2-9.20 VAMTOP BO
Except: in 13Cr 80k Material
Tech Start Date is in the past
Project Name: Angsi
Special Quality Plan Required?: No
Material: (7) 13 CR 80 MY 22HRC (ES-MA-58-7)
Mating Infomation:</t>
  </si>
  <si>
    <t>752627</t>
  </si>
  <si>
    <t>SHELL</t>
  </si>
  <si>
    <t>PER RTA 701258 AND 701268, THE CLIENT WANTS ONLY FORONI MATERIAL. PLEASE UPDATE THE QUALITY VARIANT FOR THE FOLLOWING PARTS TO SHOW THE MATERIAL SPEC ES-MA-134-2 AND REMOVE ES-MA-134-22 SPEC FROM IT FOR MN 102083892, 102071813
TSG NOTES RCVD. FILE FOR PROCESSING. (KEN) END</t>
  </si>
  <si>
    <t>VALERIE.NGIM@HALLIBURTON.COM</t>
  </si>
  <si>
    <t>752654</t>
  </si>
  <si>
    <t>Open up all (10) control line feed through slots to on the lower guide ring 101990386 to remove .400 inches of materal on the left hand side of each lobe. Reference the attached drawing for the exact location of material removal.
Anthony Rivera 20120130</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</si>
  <si>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
IN ENGINEERING FOR CHECKING_A. BERRET_01/26/2012--------END
FOLDER RETURNED TO DRAFTING FOR MINOR UPDATES_A. BERRET_01/30/2012---------------------------------------END</t>
  </si>
  <si>
    <t>753233</t>
  </si>
  <si>
    <t>RTA TO CREATE TEMPLATE FOR AMS PM CHEMICAL INJECTION CHECK VALVES</t>
  </si>
  <si>
    <t>752993</t>
  </si>
  <si>
    <t>To Create a 3.5 HSB unshrouded valve (INC 718/4140) with a multipurpose fitting kit . Similar to 102047384.
RTAs already created by Jameel Rahman for shrouded and deflector versions.</t>
  </si>
  <si>
    <t>752900</t>
  </si>
  <si>
    <t>ECR-D00572973 Rev A.Sheet 2 Detail C the dimension to the centre of the R.193/R.220 Ball Nose Slots is missing (ref 3.518¿¿ dimension on Detail B). The right-hand End Elevation also has a (.53) ref dimension.
Aswered by Scott Hoadly by e-mail as Yes, the dimension from the center of the R.193 and R.220 Ball Nose Slots to the center of the part is 3.518¿¿. 
The actual dimension for the .53 ref. dimension on the right-hand elevation is 3.285¿¿ from the center of the part to top of the slot (or .53 from the nominal ID of the part to the top of the slot).</t>
  </si>
  <si>
    <t>REQ - CARBIDE CARRIER FIXTURE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</si>
  <si>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752628</t>
  </si>
  <si>
    <t>For drawing D00425903 open up the all (3) .44 inch dia. counter sink holes by .010 inch. The new diameter should be .045 inches to allow the head to drop through.
Anthony Rivera 1/30/2012</t>
  </si>
  <si>
    <t>752454</t>
  </si>
  <si>
    <t>Set up SAP MN in specific length per meter FOR FLATPACK CONTROL LINES 3-LINE.</t>
  </si>
  <si>
    <t>Nguyen Quang Hung</t>
  </si>
  <si>
    <t>Nguyenquang.hung@Halliburton.com</t>
  </si>
  <si>
    <t>ECR - D00433365 REV D
Position for the 2 off .25 dia holes on section B-B is missing, the dimension is on REV B. (2 X .364  /-.06)
IN ENG. DESIGN_A. BERRET_01/25/2012--------------------END
FOLDER RETURNED TO DRAFTING FOR MINOR UPDATES_A. BERRET_01/30/2012---------------------------------------END</t>
  </si>
  <si>
    <t>752610</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</si>
  <si>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t>
  </si>
  <si>
    <t>752714</t>
  </si>
  <si>
    <t>ECR - STANDARD WORK, MASTER ROUTERS - Create and release a document that is a standard work for the creation of master routers in the Spring facility. Paul Lively 11/18/2011</t>
  </si>
  <si>
    <t>752566</t>
  </si>
  <si>
    <t>MFGR SPEC - VICE EXTENSION - Create documentation for Eagle Downhole Solutions Extention with bushing for traveling block, MFGR PN 110804-00-A. This extention is used for the vise in MFG to hold smaller parts.</t>
  </si>
  <si>
    <t>753074</t>
  </si>
  <si>
    <t>9555-6212 - 19IN Rack Mount XPIO Data Acquisition Unit for Caisson ESP Level Measurement.
Need EDS, EFD -if applicable-, Cost Estimate
Attached you will find the original quote with specifications outlined. I plan to increase pricing by 15%, but I need the cost estimate to verify GP percentage.
2012-01-30, WM: RTA duplicte. Needs to be cancelled.</t>
  </si>
  <si>
    <t>752712</t>
  </si>
  <si>
    <t>MFGR SPEC - GREASE TUBES, SEAL GUARD ECF - Create a mfgr spec to define Jet Lubes Seal Guard ECF packaged in tubes as specified by Jet Lubes Code Number / Product Code Number 20950 packaged in 16 oz. tubes and also create a material number for the same. Document object should be annotated with the D-number of the doc object and also the material number. Paul Lively 1/30/12.</t>
  </si>
  <si>
    <t>752837</t>
  </si>
  <si>
    <t>Control System - 1Well 4ICV SHS, 110/220V, HW443, Fully Automated, NEMA4X, IP56, with separate XPIO.
2012-01-30, WM: Same as 102106951. RTA to be cancelled.</t>
  </si>
  <si>
    <t>REVISE 9290-2698, 9290-2729, 9290-2839 TO CHANGE STUB ACME THREAD TO GENERAL PURPOSE ACME THREAD (WHERE APPLICABLE) AND TO CORRECT THE MINOR DIAMETER TOLERANCES.
------
2012-01-31 ST - SENT TO R. BAKHTIARY FOR APPROVAL</t>
  </si>
  <si>
    <t>753285</t>
  </si>
  <si>
    <t>Same As: FP511411BK; 5 LINE HYD FLATPACK, SS316 CONTROL LINES
Except: Require a SAP number to be set up for the attached control line specs.
Tech Start Date is in the past
Project Name: QGC Deep Gas
Special Quality Plan Required?: No
Material: (13) Incoloy 925 110 MY 38 HRC (ES-MA-67-2)
Mating Infomation:</t>
  </si>
  <si>
    <t>Ellen McGuinness</t>
  </si>
  <si>
    <t>New ROC Mdrl: Dual ROC175
Need 4-1/2in, 15.1ppf, S-13Cr100, ROC-175 Gauge Mandrel with Vam DRS Pin x Pin connection, bypass slot at 1.25W x .82D. Dual ROC-175 Gauges side by side, both redundant ported to tubular. Needs to work with 3rd part TEC-598418.
Must release unthreaded variant.
Customer:  Shell
Project:   Habanero
Quality:   SE1
2012-01-03, WM: Assign to Sam, class B. Tech rev due date to be 1/20/2012. Requirements docs to be requested and to be followed up on by Sam.
---
01/10/2012 RB - Uploaded email sent to Kasey on 1/6/2012 requesting mandrel req. doc
------
2012-01-18 ST - TRANSFERED TO M. GUY FOR DESIGN
------
23012-01-24 MG - DESIGN COMPLETE, FORWARDED TO SAM FOR CHECKING.
------
2012-01-27 ST - SENT EMAIL TO SUBMITTER REQUESTING REASON FOR USING SINGLE METAL SEAL CABLE TERMINATION ON 20K GAUGE. WAITING FOR REPLY.
------
2015-01-27 ST - DUAL METAL SEAL WILL BE USED PER SUBMITTER
------
2012-01-27 ST - SENT BACK TO M. GUY FOR CORRECTIONS
------
2012-01-30 MG - CORRECTIONS COMPLETED, FORWARDED TO SAM FOR RE-CHECKING.
------
2012-01-31 ST - SENT TO R. BAKHTIARY FOR APPROVAL</t>
  </si>
  <si>
    <t>3.5IN 9.2PPF S13CR95Ksi Foroni Only Material Class B VAM Top Threads with ROC 175 20Ksi Fully Redundant Gauge / Mandrel Assembly including Termination. SE1 Quality Plan. Requirements for EDS, EFD and CERT Documentation.
------
2012-01-17 ST - SENT TO J. SEALE FOR CHECKING
------
2012-01-24 J. SEALE - CHECKING COMPLETE, CHANGES ARE REQUIRED SEND BACK TO S. TEHVEN
------
2012-01-31 ST - SENT TO R. BAKHTIARY FOR APPROVAL</t>
  </si>
  <si>
    <t>3.5IN 9.2ppf Inconel 718 VAM Top Gauge Mandrel ROC 175 20Ksi Fully Redundant Gauge / Mandrel Assembly with Termination included. Shell Thread Class B. Shell SE1 Quality Plan. Require EDS, EFD, and CERT Documentation.
------
2012-01-16 ST - SENT TO J. SEALE FOR CHECKING
------
2012-01-25 JS - SENT BACK TO S. TEHVEN FOR CORRECTIONS
------
2012-01-31 ST - SENT TO R. BAKHTIARY FOR APPROVAL</t>
  </si>
  <si>
    <t>753411</t>
  </si>
  <si>
    <t>753414</t>
  </si>
  <si>
    <t>753373</t>
  </si>
  <si>
    <t>ECR-031092-12-01 SHEET 2 GRID REF E9. 3/8-24 UNC HOLES SHOULD BE 3/8-14 UNF.</t>
  </si>
  <si>
    <t>HS On-Off interval Control Valve, this is to be the new low cost design. To suit SmartPlex Clamp.
09/01/2011 - DESIGN HOLD BY: SCOTT HOADLEY.
12/12/2011 - Moved back to WIP by Kirby Schrader. Stacey Joiner will be completing the work on the integration.
02/01/2012 - Attached email from Bruce Gavin to note change of material for pup joints. Was 13Cr. Is now 1Cr.</t>
  </si>
  <si>
    <t>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t>
  </si>
  <si>
    <t>SPLT=140 Emailed submitter for clarification.  Email attached.  1/4/12 DM</t>
  </si>
  <si>
    <t>SPLT=154</t>
  </si>
  <si>
    <t>New ROC-D Mdrl: Dual ROC-D
Need 4-1/2in, 15.1ppf, S-13Cr110, ROC-D Gauge Mandrel with Vam DRS Pin x Pin connection, bypass slot at 1.25W x .82D. Dual ROC Gauge side by side, both redundant ported to tubular. Need to work with 3rd party TEC-598418.
Must release unthreaded variant.
Customer:  Shell
Project:   Habanero
Quality:   SE1
------
2011-12-13 ST - SENT EMAIL TO CUSTOMER REQUESTING INFO OR REQ DOC.
2012-01-03, WM: Assign to Sam, class B. Tech rev due date to be 1/20/2012. Requirements docs requested and to be followed up on by Sam.
----
1/6/2012 RB - Requirements: Dual ROC-D, 1.25W x .82D Bypass
2012-01-09, WM: Assign to Sam, class B. Dana looking into whether or not gauge type has been changed and if gauges are available
---
01/10/2012 RB - Uploaded email sent to Kasey on 1/6/2012 requesting mandrel req. doc
------
2012-01-18 ST - SENT TO J. SEALE FOR CHECKING
------
2012-02-01 ST - SENT TO R. BAKHTIARY FOR APPROVAL</t>
  </si>
  <si>
    <t>Requestor Name</t>
  </si>
  <si>
    <t>Edwin Gonzalez</t>
  </si>
  <si>
    <t>DANA MOE</t>
  </si>
  <si>
    <t>EDWIN GONZALEZ</t>
  </si>
  <si>
    <t>Irwan Nizam</t>
  </si>
  <si>
    <t>Samantha Livingston</t>
  </si>
  <si>
    <t>Chris Vancamp</t>
  </si>
  <si>
    <t>Esmeralda Hernandez</t>
  </si>
  <si>
    <t>G. BHAT</t>
  </si>
  <si>
    <t>Vicky Jackson-Nielsen</t>
  </si>
  <si>
    <t xml:space="preserve">Holly Marback </t>
  </si>
  <si>
    <t>MIKALA WINDHAM</t>
  </si>
  <si>
    <t>Denise Dean</t>
  </si>
  <si>
    <t>steve ewens</t>
  </si>
  <si>
    <t>Kelley Pegoda</t>
  </si>
  <si>
    <t>Monty Hubbard</t>
  </si>
  <si>
    <t>Lisbeth Odegaard</t>
  </si>
  <si>
    <t>M.GUY</t>
  </si>
  <si>
    <t>GIREESH BHAT</t>
  </si>
  <si>
    <t>HOLLY MARBACK</t>
  </si>
  <si>
    <t>Hakon Kaltveit</t>
  </si>
  <si>
    <t>Jay Bissell/Jim Ruch</t>
  </si>
  <si>
    <t>Lynn Colwell</t>
  </si>
  <si>
    <t>SUSAN MYERS</t>
  </si>
  <si>
    <t>Bob McManus</t>
  </si>
  <si>
    <t>Holly Marback</t>
  </si>
  <si>
    <t>tina.collums@halliburton.com</t>
  </si>
  <si>
    <t>DEREK MATHIESON</t>
  </si>
  <si>
    <t>Audrey Rennie</t>
  </si>
  <si>
    <t>DAMON TRAHAN</t>
  </si>
  <si>
    <t>Pamela Forester</t>
  </si>
  <si>
    <t>JoeAngle Galindo</t>
  </si>
  <si>
    <t>David Gill</t>
  </si>
  <si>
    <t>PAM FUNK</t>
  </si>
  <si>
    <t>MIKE REAGAN</t>
  </si>
  <si>
    <t>Kevin Bedborough</t>
  </si>
  <si>
    <t>Katie Moe</t>
  </si>
  <si>
    <t>JANICE C CALLAWAY</t>
  </si>
  <si>
    <t>Marcelo A. P. Batocchio</t>
  </si>
  <si>
    <t>Steven Ewens</t>
  </si>
  <si>
    <t>MELISSA HORTON</t>
  </si>
  <si>
    <t>David Brightman</t>
  </si>
  <si>
    <t>Mark Bedry</t>
  </si>
  <si>
    <t>JANICE CALLAWAY</t>
  </si>
  <si>
    <t>Pam Funk</t>
  </si>
  <si>
    <t>Stig Marius Holgersen</t>
  </si>
  <si>
    <t>STEPHEN ALLAN</t>
  </si>
  <si>
    <t>RON CURINGTON</t>
  </si>
  <si>
    <t>Andre Pinheiro</t>
  </si>
  <si>
    <t>David Mclare</t>
  </si>
  <si>
    <t>MARIANE MORGAN</t>
  </si>
  <si>
    <t>seth cormier</t>
  </si>
  <si>
    <t>KELLEY PEGODA</t>
  </si>
  <si>
    <t>Cheryl Kaminski</t>
  </si>
  <si>
    <t>Ed Brewer</t>
  </si>
  <si>
    <t>MATTHEW SCOGIN</t>
  </si>
  <si>
    <t>ESMERALDA HERNANDEZ</t>
  </si>
  <si>
    <t>MAYRA HADLEY</t>
  </si>
  <si>
    <t>Jay Bissell/Peter Auckland</t>
  </si>
  <si>
    <t>TED SOULES</t>
  </si>
  <si>
    <t>GLORIA MACIAS</t>
  </si>
  <si>
    <t>Phil Allardyce</t>
  </si>
  <si>
    <t>DENISE DEAN</t>
  </si>
  <si>
    <t>Gireesh K. Bhat</t>
  </si>
  <si>
    <t>COLIN MCKAY</t>
  </si>
  <si>
    <t>Steve Mackey</t>
  </si>
  <si>
    <t>Ron Curington</t>
  </si>
  <si>
    <t>TIM ORTIZ</t>
  </si>
  <si>
    <t>Craig Yeates</t>
  </si>
  <si>
    <t>DAVID GILL</t>
  </si>
  <si>
    <t>mar</t>
  </si>
  <si>
    <t>DYANE HENSON</t>
  </si>
  <si>
    <t>scott garner</t>
  </si>
  <si>
    <t>ALISTAIR STUART</t>
  </si>
  <si>
    <t>DEBRA HICKMAN</t>
  </si>
  <si>
    <t>Anthony Aminone</t>
  </si>
  <si>
    <t>ERIC MORRELL</t>
  </si>
  <si>
    <t>ESMERALDA MCLEANE</t>
  </si>
  <si>
    <t>Bruce Gavin</t>
  </si>
  <si>
    <t>COLTON PUCKETT</t>
  </si>
  <si>
    <t>K. DUANE/P. JAMES</t>
  </si>
  <si>
    <t>QUALITY</t>
  </si>
  <si>
    <t>Valerie Ngim</t>
  </si>
  <si>
    <t>Janice Callaway</t>
  </si>
  <si>
    <t>LIZ ROUTLEDGE</t>
  </si>
  <si>
    <t>KATIE MOE</t>
  </si>
  <si>
    <t>RAMEEN BAKHTIARY</t>
  </si>
  <si>
    <t>BRETT BOULDIN</t>
  </si>
  <si>
    <t>OLGA AKIMOVA</t>
  </si>
  <si>
    <t>VALERIE NGIM</t>
  </si>
  <si>
    <t>Darren Cortes</t>
  </si>
  <si>
    <t>Jay Bissell/Khaled El-Amir</t>
  </si>
  <si>
    <t>Kelechi Ezennaya</t>
  </si>
  <si>
    <t>Ikenna Gaius</t>
  </si>
  <si>
    <t>Melissa Allen</t>
  </si>
  <si>
    <t>Mike Boucher</t>
  </si>
  <si>
    <t>Michael Guillory</t>
  </si>
  <si>
    <t>ALAN MCLAUCHLAN</t>
  </si>
  <si>
    <t>JIM MACDONALD</t>
  </si>
  <si>
    <t>Test User</t>
  </si>
  <si>
    <t>CHRIS VANCAMP</t>
  </si>
  <si>
    <t>Esmeralda McLeane</t>
  </si>
  <si>
    <t>Craig Yeats</t>
  </si>
  <si>
    <t>Jay Bissell/Robgly Urdaneta</t>
  </si>
  <si>
    <t>Jay Bissell/Mike Bergeron</t>
  </si>
  <si>
    <t>Jo Lea Froehlich</t>
  </si>
  <si>
    <t>Waqar Ahmed</t>
  </si>
  <si>
    <t>Juan Carlos Rodriguez</t>
  </si>
  <si>
    <t>Jay Bissell/Ellen McGuinness</t>
  </si>
  <si>
    <r>
      <rPr>
        <sz val="10"/>
        <color theme="1"/>
        <rFont val="Arial"/>
        <family val="2"/>
      </rPr>
      <t xml:space="preserve">Wildcards * and ? May be used
</t>
    </r>
    <r>
      <rPr>
        <sz val="11"/>
        <color theme="1"/>
        <rFont val="Arial"/>
        <family val="2"/>
      </rPr>
      <t xml:space="preserve">
Type to filter by name:</t>
    </r>
  </si>
  <si>
    <t>753708</t>
  </si>
  <si>
    <t>Design Circle: ROC 175 25K
I need a design circle for the following:
4IN 13.2PPF S13CR110Ksi VAM DRS Mandrel with a single ROC 175 25Ksi Gauge. Need bypass slots to accommodate a bare 3/8IN control line on each side of the mandrel. Must fit into a 7IN 38PPF casing with 5.92IN ID just above a CIM with 3/8IN bare control line.
------
2012-02-01 ST - SENT TO M. GUY FOR CHECKING
------
2012-02-01 ST - SENT TO R. BAKHTIARY FOR APPROVAL</t>
  </si>
  <si>
    <t>753829</t>
  </si>
  <si>
    <t>ECR-316167-02-01. CAN PRE-PLATING AND POST PLATING DIMENSIONS BE ADDED TO THE DRG AS DONE ON PREVIOUS DRAWINGS THAT REQUIRE PLATING.</t>
  </si>
  <si>
    <t>753706</t>
  </si>
  <si>
    <t>Qualify Antech as supplier - WHO
This RTA is a request to qualify Antech as a Halliburton Supplier and generate a SAP number for the Wellhead outlet material quoted in the Antech document QT-6110B.
MATERIAL DESCRIPTION: Antech Wellhead Outlet (Part No/Rev: AN-08874), Type X, 1in AEMP FMC connection, Single 0.25in Incoloy 825 Line, 90 Deg 15k psi WP, Max ambient temp (Ta) 90degC, T5 rating. 
PROJECT NAME: STATOIL PEREGRINO - BR11193
Note: Client provided a letter of intention to Halliburton.</t>
  </si>
  <si>
    <t>753688</t>
  </si>
  <si>
    <t>Mod ROC Mdrl: Thread Change
Same As: 9293-6770; MDRL ASSY,4 1/2-11.60,SNGL ROC,0.75 OD,J
Except: TOP THREAD 4 1/213.5 NSCT
BOTTOM THREAD 4 1/213.5 NSCT
Project Name: Balai Cluster
Special Quality Plan Required?: No
Material: (7) 13 CR 80 MY 22HRC (ES-MA-58-7)
Mating Infomation:
1-30-2012 - Mark Guy - Design started
1-1-2012 - Design complete, forward to Sam for checking
------
2012-02-01 ST - SENT BACK TO M. GUY FOR CORRECTIONS
------
2012-02-01 ST - SENT TO R. BAKHTIARY FOR APPROVAL</t>
  </si>
  <si>
    <t>753745</t>
  </si>
  <si>
    <t>Brunei Shell Petroleum</t>
  </si>
  <si>
    <t>Same As: 235SF0703507; 3.5 SPLICE SUB, 3-OFF BDY, 1-OFF YSPLICE
Except: RTA same except change slot configuration to 2x 0.25in control line for chemical injection, 1x Y splice with 1 inlet at the top and 2 outlets at the bottom for 0.25in control line, and 1 slot for ESP cable No. 4 Flat. Connections required are 3.5in VAMTOP Box x Pin and material 4140 L80 with phospate coating B004.
Project Name: Seria Shallow
Special Quality Plan Required?: No
Material: (1) Low Alloy Steel 80 MY 22HRC (ES-MA-18-9)
Mating Infomation:</t>
  </si>
  <si>
    <t>Siti Khadijah Othman</t>
  </si>
  <si>
    <t>753709</t>
  </si>
  <si>
    <t>753989</t>
  </si>
  <si>
    <t>753993</t>
  </si>
  <si>
    <t>753950</t>
  </si>
  <si>
    <t>FMC Technologies</t>
  </si>
  <si>
    <t>Esmeralda.McLeane@welldynamics.com</t>
  </si>
  <si>
    <t>753953</t>
  </si>
  <si>
    <t>753831</t>
  </si>
  <si>
    <t>ECR-314543-02-01. CAN PRE-PLATING AND POST PLATING DIMENSIONS BE ADDED TO THE DRG AS DONE ON PREVIOUS DRAWINGS THAT REQUIRE PLATING.</t>
  </si>
  <si>
    <t>753833</t>
  </si>
  <si>
    <t>FMC/Petrolog</t>
  </si>
  <si>
    <t>753823</t>
  </si>
  <si>
    <t>ECR-M.N.588463 PART HAS THE DESCRIPTION AS HEXAGONAL SOCKET SET SCREW ISO 3506 A2/A4 NACE 3/8 UNC X 3/8 LONG, SS.
THIS SHOULD BE 3/8 -24 UNF.  SEE PARTS THAT THIS IS USED ON AND THE LEGACY NUMBER.</t>
  </si>
  <si>
    <t>Same As: 9290-6834-SB2; GGE MDRL ASSY,5 1/2-26.00  - SB2
Except: Same as 102116945 with the following modifications:
1. Change threads to 5,5 inch 23 lb/ft VAM TOP HC pin and box.
2. Change material to 13cr.
3. Include SB2 Quality Plan.
Tech Start Date is in the past
Project Name: Stjerne M-13
Special Quality Plan Required?: Yes
Quality Plan Identifier: SB2
Material: (9) 13 CR 105 MY 35 HRC (ES-MA-585)
Mating Infomation:
1/17/2012: MG - Job complete forwarded to james for checking
-----
1/25/2012 J. SEALE - CHECKING COMPLETED, CHANGES TO DRAWING IS NEEDED SENDING BACK TO M. GUY FOR CORRECTION
1/26/2012 MG - BACKDRAFT COMPLETE, FORWARD TO JAMES FOR RE-CHECK
------
2012-02-02 JS - SENT TO R. BAKHTIARY FOR APPROVAL</t>
  </si>
  <si>
    <t>743030</t>
  </si>
  <si>
    <t>Statoil / Aibel</t>
  </si>
  <si>
    <t>Same As: 101832150; SCADAPACK 350 ASSY, W/ C07WCU300H03
Except: I need a quote for porting the exisiting code over to a Siemens PLC. Ref to emails and phnoe conferences with Harjeet Singh and Robert Smith.
Also see attached document from Aibel where this quote is mainly concerned around option 1 in the document.
Project Name: Oseberg South
Special Quality Plan Required?: No
Material: (16) Customer Supplied - Supply detail in description
Technical Support Deliverables:
Preliminary Design Specifications
2012-01-03 WM: Assign to Harjeet. Class C RTA is for quote and technical write up only.
2012-01-09, WM: Alejandro working on this document, he should email Harjeet by tomorrow and then he will review/make changes it before friday 1/13</t>
  </si>
  <si>
    <t>SPLT=N/A  Switch to Development- Feasibility Review.  1/16/12 DM</t>
  </si>
  <si>
    <t>754003</t>
  </si>
  <si>
    <t>754004</t>
  </si>
  <si>
    <t>754011</t>
  </si>
  <si>
    <t>754001</t>
  </si>
  <si>
    <t>754025</t>
  </si>
  <si>
    <t>ECR - MFG READINESS DOC - Create documentation that defines Manufacturing Readiness and the details regarding the minimum necessities associated with BOMs, Drawings, Assy Procedures, and Test Procedures used to communicate product definition to MFG Assembly.</t>
  </si>
  <si>
    <t>ECR - RCCA FORM - Create a form to be used for documenting Root Cause and Corrective Action (RCCA)notes during RCCA meetings. Paul Lively 2/2/2012</t>
  </si>
  <si>
    <t>MFGR SPEC - QN LABELS - Create a mfgr spec for QN labels used in MFG Assy &amp; Test to be adhered to the production folders and contain all info regarding applicable QNs associated with the production item. The lable is 1.5 inches x 3.x inches. Should be orange with black text. Refer to Task Auth T00000734980 already created.</t>
  </si>
  <si>
    <t>754126</t>
  </si>
  <si>
    <t>Please issue SAP number for the GCDT TEC with Safety Strip. Description below and Specs attached. 
GCDT Part Number 16944 Rev A 
Description: TEC Line with Safety ¿¿ Strip
1/4inch x 0.049inch A825 16AWG Double Extruded Core with FEP insulation &amp; PP secondary extrusion 
Printed on the Line: Husky White Rose Project and length remaining (meters) printed on the line.
Quote Price, 3.90 per ft USD, (12.79 per m USD) - see attached quote</t>
  </si>
  <si>
    <t>Chris Quinton</t>
  </si>
  <si>
    <t>Chris.Quinton@Halliburton.com</t>
  </si>
  <si>
    <t>8: SPLT=126 Robert S to follow up with submitter.  May cancel RTA if existing material number fulfills requirements.  // DM</t>
  </si>
  <si>
    <t>754080</t>
  </si>
  <si>
    <t>ECR-D00401548. CAN THE DATUM SYMBOL A ON THE 2.660 O-DIA BE MOVED TO THE BORE AND THE RUN OUT TOLERANCE ON THE BORE MOVE TO THE 2.660 O/DIA.THIS WILL MEAN THE 2.660 O-DIA AT 2 PLACES CAN BE ACHIEVED WITHIN .005 FIM TO THE BORE RATHER THAN THE ENTRE LENGTH OF THE BORE BEING WITHIN .005 FIM. WHICH IS BEING ASKED.  A DRIFT SIZE CAN ALSO BE ADDED TO THE DRG TO ENSURE PART IS NOT BENT.</t>
  </si>
  <si>
    <t>754377</t>
  </si>
  <si>
    <t>ECR - Request drawing 304097-00-00 to be issued a material number and set up as a part in CWI. Also, see attached marked up drawing 304097-00-00 for suggested changes, by adding QPQ coating to part to reduce corrosion and galling of the ID thread during test.</t>
  </si>
  <si>
    <t>754154</t>
  </si>
  <si>
    <t>M/N-102081455, Drawing 313771-10-01 Rev.A
Please move the triangle NOTE 1 at the diameter dimension 3.5995/3.6000 to the length dimension 2.85.</t>
  </si>
  <si>
    <t>ECR-On drg D00504158 the 2.920 bore dimension is to 3 decimal places so tolerance would be +/-.005.
Similar 2.7/8 Top Sub, drg D00394549 has the tolerance on the 2.920 bore as +/-.002.
Drg D00504158 2.920 bore is to be changed so tolerance would be +/-.002.
IN ENG. DESIGN-A. BERRET_10/31/2011---------------------END
IN ENG. DESIGN FOR CHECKING_A. BERRET_01/31/2011--------END
FOLDER RETURNED TO O. EWUMI FOR APPROVAL_A.BERRET_02/03/2012----------------------------END</t>
  </si>
  <si>
    <t>754160</t>
  </si>
  <si>
    <t>STATOIL</t>
  </si>
  <si>
    <t>RTA TO REVISE SAP MN 101869683 AND ALL VARIENTS TO REMOVE PROCEDURE ES-A-443 REV. B AS THIS IS COMPLETED AT ANOTHER LEVEL.
TSG NOTES 020312 COMPLETED REQUESTED CHANGE TO SAP MN 101869683, BASE HAS ALREADY BEEN UPDATED. (KEN) END</t>
  </si>
  <si>
    <t>Mod ROC Mdrl: Thread Change
Gauge Mandrel Assembly required for Murphy Serenai. Gauge mandrel required is similar to 101954607 except thread change required to JFE Fox BxP
------
2012-02-02 ST - SENT TO M. GUY FOR CHECKING
------
2012-02-03 ST - SENT TO R. BAKHTIARY FOR APPROVAL</t>
  </si>
  <si>
    <t>754378</t>
  </si>
  <si>
    <t>19: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  Ted to follow up on customer response with Jay Bissell.  12/9/11 DM  Ted to schedule meeting to clarify requirements.  1/16/12 DM  Jay sending 2nd request to region.  1/23/12 DM</t>
  </si>
  <si>
    <t>6: SPLT=N/A    Dan/Josh to be ready for vendor quote by 12/31.  11/28/11 DM  Documentation to be completed and forwarded to Ted for approval.  1/16/12 DM  Submitter asked for revision of technical report.  Mtg to review 1/24.  1/23/12 DM</t>
  </si>
  <si>
    <t>4: SPLT=196 @@ Dan working on design and will contact SIRA for ATEX certification once design is complete.  11/28/11 DM  Waiting for Lorimer quote with ATEX certification.  12/9/11 DM  Ted sending info to alternate ATEX approved supplier.  1/16/12 DM  Mtg w/FM 1/24.  1/23/12 DM</t>
  </si>
  <si>
    <t>18: SPLT=N/A Waiting for requirements document from field.  Dana to follow up.  11/28/11 DM  Jay requested requirements info from field. Field acknowledged receipt and info should come in by 12/12. Told field that quote will be ready 2 wks from recpt of info.  12/5/11 DM  Still no response from field.  Placing on design hold.  12/9/11 DM</t>
  </si>
  <si>
    <t>7: SPLT=N/A  Extension not verified, proceeding and releasing asap.   Robert T to provide ZZ  for Hakeem 1/17 AM.  Assign to Hakeem.  1/16/12 DM  Sent out for quote.  1/23/12 DM</t>
  </si>
  <si>
    <t>15: SPLT=N/A  No bid due date from the region.  1/4/12 DM  Design beginning.  1/16/12 DM  Emailed Tony for due date.  1/18/12 DM Field indicates that the customer wants the quote now. See attached email.  1/19/12 DM</t>
  </si>
  <si>
    <t>13:</t>
  </si>
  <si>
    <t>Create MN 102033800 with -FT1 quality plan
TSG NOTES 020712 RCVD. FILE FOR PROCESSING. (KEN) END</t>
  </si>
  <si>
    <t>755659</t>
  </si>
  <si>
    <t>This RTA is a request to create a SAP number for the Completion Products 7in 26lb.ft VAMTOP Clamp Protector (Part number AS-7000-3-1604-M1), Carbon Steel Material.
MATERIAL DESCRIPTION: 7in, 26lb.ft VAM TOP, SSSV-Cross Coupling Protector (p/n: AS-7000-3-1604-M1), 9.736in Running OD, two Slots for 11mm rounded encapsulated 0.250 lines, Carbon Steel material.
NOTE: THIS MATERIAL MUST BE SHIPPED STRAIGHT FROM VENDOR MANUFACTURE (UK)TO HCT-BRAZIL (MACAE/RJ) WITH THE HALLIBURTON CUSTOMER SERVICE PSL SUPPORT (DO NOT PASS THIS MATERIAL THROUGH THE WELLDYNAMICS SPRING/TX FACILITY IN ORDER TO ALLOW MATCH THE CLIENT DELIVERY TIME AND COST ESTIMATION).   
PROJECT NAME: STATOIL PEREGRINO - BR11193</t>
  </si>
  <si>
    <t>755670</t>
  </si>
  <si>
    <t>UPDATE PART NUMBER 591006 PER ENGINEERING DRAWING REQUESTED BY JIM MACDONALD (SEE EMAIL ATTACHED)</t>
  </si>
  <si>
    <t>755647</t>
  </si>
  <si>
    <t>ECR-9450-7004 9102103217)MISSING DIMENSIONS FOR THE ANGLE FACES AND CBORE TEXT DEPTH OF .35 SHOULD BE REMOVED AS THIS IS DIMENSIONED AS .15 AT END VIEW.</t>
  </si>
  <si>
    <t>755804</t>
  </si>
  <si>
    <t>Al Ahlia Oilfields Development Co</t>
  </si>
  <si>
    <t>Create Part Number against Vendor Quoted Part
A825, 0.25in OD, 0.049in Thickness, 11mm x 11mm Nylon Encapsulation Black, 500 Ft
020912 PRE-RELEASED PART 102132197 PER ATTACHED REQUEST DSH</t>
  </si>
  <si>
    <t>Abdallah.Abdulhalim@halliburton.com</t>
  </si>
  <si>
    <t>755180</t>
  </si>
  <si>
    <t>Shell Brazil</t>
  </si>
  <si>
    <t>Dual Gauge Mandrel for ROC150.  
4 1/2 inch 12.6lb VAM TOP BxP, 
with (2) bypass slots to secure 1 each 0.535 inch line
Material Inc 718
SE-1 Quality Plan
9290-6841 is same mandrel already in Inc 718 with SE-1 quality plan - can use this and add bypass slots</t>
  </si>
  <si>
    <t>755934</t>
  </si>
  <si>
    <t>Same As: 71SSS1; SFTY SYS STD RTA DESIGN REQ
Except: Please update purchasing information for
SAP P/N 101470816, Legacy P/N 93F1714, Lorimer P/N 50 996 00
Hose, 316 braided, 1/2 OD, w/3/8 tube end X 3/8 tube end  to reflect the new Lorimer P/N will be 50 996 00, Rev. b. design
Project Name: 
Special Quality Plan Required?: No
Material: 
Technical Support Deliverables:
Preliminary Design Specifications
Reference Assembly Drawing</t>
  </si>
  <si>
    <t>755996</t>
  </si>
  <si>
    <t>REQ - MAKE A CUSTOM FIXTURE TO HOLD CHECK VALVE FOR TORQUE - FIXTURE USED ON STATION 6
PLEASE DISREGARD THIS IS ONLY A TEST....TESTING</t>
  </si>
  <si>
    <t>755503</t>
  </si>
  <si>
    <t>MFGR SPEC - EMS JOB BOOK - Create a mfgr spec for EMS job book associated with the Fluid Transfer project (WBS CI-10-HCPT-WDSP-02) Paul Lively 2/8/2012</t>
  </si>
  <si>
    <t>755809</t>
  </si>
  <si>
    <t>Drawing 308091-08-01 is missing Dimension G which is called out in Doc. 309840-01-01 Rev. 16 page 12, step 6. This dimension is necessary to set the Setting Chamber in the right position. This issue applies to Material Number 101849346.</t>
  </si>
  <si>
    <t>755519</t>
  </si>
  <si>
    <t>Statoil Brazil</t>
  </si>
  <si>
    <t>This RTA is to generate an SAP number for the material GCDT Reference No. 4932-02 (p/n 16038), included in the quote Inquiry No. GCQ-4932-2 (Please look for attached file GCQ-4932-2.pdf). 
MATERIAL DESCRIPTION: Electric Cable Tube: 1/4in x 0.035in INC 825 Centralized Core: 16AWG solid bare copper with FEP insulation and PP secondary extrusion. Encapsulation: Santoprene, 11mm Round, Green; 5000mts/reel. Includes: Metal Reel 54in x 32in x 32in, 3 1/4 Arbor + Metal Shipping Skid.
PROJECT NAME: Statoil Peregrino
WELDYNAMICS QUOTE NUMBER: BR11193</t>
  </si>
  <si>
    <t>755387</t>
  </si>
  <si>
    <t>UPDATE OBJECTS TITLE BLOCK TO MATCH FIRST PAGE.</t>
  </si>
  <si>
    <t>SPLT=84 On hold waiting for quality requirements to be agreed by submitter.  1/8/12 DM</t>
  </si>
  <si>
    <t>21: SPLT=84 @@ Assigned to Mark G, Change class to C, changed request design complete date to 2/21/2012- 1/3/2012 RB</t>
  </si>
  <si>
    <t>756133</t>
  </si>
  <si>
    <t>When communicating with a ROC gauge, we have noticed a software lockup (freeze) after a few minutes of running Pdx software using a laptop connected to a PAU. To our knowledge, this happens only when using a laptop or a PC running Windows 7. This RTA is to investigate the issue and layout options for eliminating the problem.</t>
  </si>
  <si>
    <t>756169</t>
  </si>
  <si>
    <t>Same As: 722MC1702600; PKR,MC1,7026,TBG SET,SHIFT REL,4140 LAS,
Except: Need to change material of shift profile from 4140 to Inconel 718.  Item 30 on drawing.
Project Name: LDOR - Shaybah
Special Quality Plan Required?: No
Material: 
Technical Support Deliverables:
Preliminary Design Specifications
Reference Assembly Drawing
Reference BDMI
Reserve SAP Material Number
ZZ Drawing
Operating Envelope</t>
  </si>
  <si>
    <t>Manesh Mathew</t>
  </si>
  <si>
    <t>755890</t>
  </si>
  <si>
    <t>Same As: 235AC2965501-SB2; CLP,TPR LOCK,9655,13CR,5 1/2-23.00 -SB2
Except: 1. Require 4,5 inch size TLC Assy.
2. Requesting two wedges to accommodate 2 flat packs, both with 4 0.25inch hydraulic lines + bumper.
3. Material 13CR
4. SB2 Quality plan.
Tech Start Date is in the past
Project Name: Fast Track Stjerne M14
Special Quality Plan Required?: Yes
Quality Plan Identifier: SB2
Material: (9) 13 CR 105 MY 35 HRC (ES-MA-585)
Mating Infomation:</t>
  </si>
  <si>
    <t>755703</t>
  </si>
  <si>
    <t>MAKE CHANGES TO THE BUILD FOR MN 597467 BASED ON THE DEVIATION APPROVALS IN ATTACHED MEMO REQUESTED BY KELLEY PEGODA</t>
  </si>
  <si>
    <t>Need new MN created for SB2 version of MN 102109949.  New MN to be a Buy item for plant P2032 and a make item for plant P2071.
TSG NOTES 02-06-2012 TO TSG FOR PROCESSING. DWG TO QUALITY FOR MARKUP; DWG BACK FROM QUALITY 02-07-2012 J. CALLAWAY</t>
  </si>
  <si>
    <t>Mukul Agnihotri</t>
  </si>
  <si>
    <t>755478</t>
  </si>
  <si>
    <t>This RTA is to generate an SAP number for the material GCDT Reference No. 4932-02 (p/n 16038), included in the quote Inquiry No. GCQ-4932-2 (Please look for attached file GCQ-4932-2.pdf). 
MATERIAL DESCRIPTION: Electric Cable Tube: 1/4in x 0.035in INC 825 Centralized Core: 16AWG solid bare copper with FEP insulation and PP secondary extrusion. Encapsulation: Santoprene, 11mm Round, Green; 4500mts/reel. Includes: Metal Reel 54in x 32in x 32in, 3 1/4 Arbor + Metal Shipping Skid.
PROJECT NAME: Statoil Peregrino
WELDYNAMICS QUOTE NUMBER: BR11193</t>
  </si>
  <si>
    <t>756164</t>
  </si>
  <si>
    <t>Procedure 023578-09-00 Rev. O does not reflect a complete build. Parts (65),(32) and (57) from material 102089587 Build Of Materials is not mentioned. Suggestion:
Modify step 41 from:
41. 	Fit O-Ring (62) to Release Adapter (26) and butt out against the Upper Body (22)
Modify too:
41. Install O-ring (55) to the Upper Body (22) then	fit O-Ring (62) to Release Adapter (26) and butt out against the Upper Body (22).
Next insert a step after 42.
New step 43: Install O-ring (65) to Lower body (15) then install Release Collet Support (32). Once Release Collet Support (32) is bottomed out against the Lower body (15), install quantity 4 set screws (57) through the Release Collet Support (32) until they bottom out to the Lower Body(15).
This fix will allow the technician a complete build and minimize on missing parts to the assembly and possible less rework. Christopher Vancamp 2-10-2012</t>
  </si>
  <si>
    <t>Need new MN created for SB2 version of MN 102116924. New MN to be a Make item for plant P2032.
TSG NOTES 020812 RCVD. FILE FOR PROCESSING. (KEN) END</t>
  </si>
  <si>
    <t>754727</t>
  </si>
  <si>
    <t>CREATE AND RELEASE DOCUMENTATION FOR NEW FLATPACK PROJECT</t>
  </si>
  <si>
    <t>755888</t>
  </si>
  <si>
    <t>ECR-316436-00-01.On sheet 2 can the .63 scallop dimension be changed to .79 (20mm) with us moving the scallop ONLY pitch out by .08 to compensate.  
This will allow us to use a larger cutter to give us more reach down the body.
Okayed by Paul James with comment I do not have a problem with that.  probably helps tooling issues a lot.  
We will still have plenty of clearance for the bolt.  Effectively all that is happening is that the scallop is getting a bit wider. 18-03-2009</t>
  </si>
  <si>
    <t>Need new MN created for SB2 version of MN 102102484. New MN to be a Make item for plant P2032.
TSG NOTES 02-06-2012 TO TSG FOR PROCESSING. LAB OFFICE CORRECTED FROM WD4 TO WD3. DWG TO QUALITY FOR MARKUP 02-06-2012 JCC END</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</si>
  <si>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
2011-12-19 WM: Core functionality has been established with FPGA.  Communication has been established with modified IWIS card for SCRAMS. 2011-12-19 AB
2012-01-10 WM: The hardware development is scheduled to re-commence this week.  The FPGA code development is ongoing.  The revised project plan has been attached to the RTA.  2012-01-10 AB
2012-01-24 WM: Hardware information will be handed over to Thomas Cassidy. 2012-01-24 AB
2012-01-31 WM: The analog switch functionality is being checked.  The way forward project plan will be generated with Schematic and CL to follow. 2012-01-31 AB
2012-02-07 WM: CMAC have been provided CL and CD.  The receive and clock isolation circuit will be finalized.  2012-02-07 AB</t>
  </si>
  <si>
    <t>756102</t>
  </si>
  <si>
    <t>BHPBilliton</t>
  </si>
  <si>
    <t>NOTE: This is just a design circle request.
The reference Gauge Mandrel is the SAP: 101881739, RTA changes as follows:
(a)	Change threads to 7in 29lb JFE Bear
(b)	Replace the GAUGE SUB-ASSEMBLY, ROC-150, 0.75IN OD, 0-10K PSIA, 25-150C  (SAP: 101863921) to the GAUGE SUB ASSEMBLY,ROC-150,DUAL REDUNDANT ELECTRONICS, 1.125IN OD,0-10K PSIA,25-150C (SAP: 101953598).
(c)	Final assembly need be under the 8.379in casing drift.  
This mandrel will be run inside the 9 5/8in 53.5lb casing.</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</si>
  <si>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ZEWO: 103150435
2012-01-03 WM: The fabrication information has been submited to XFAB.  The hybrids with Proto 01 ASIC will be populated for temperature testing.  The transducers for testing will be ordered.
2012-01-10 WM: The transmit baud rate bug is being fixed by Quartzdyne.  The fabrication information will be resubmitted to XFAB in two weeks.  The first batch of hybrids using Proto 01 ASIC is on schedule for January delivery.  2012-01-10 AB
2012-01-24 WM: The design review for metallization layer for second round of ASIC was completed.  The ROC-X automated testing is in conceptual stage. 2012-01-24 AB
2012-01-31 WM: XFAB is manufacturing second batch of ASIC.  The bug fixes were analyzed and accepted.  The ASIC is expected to be delivered on Feb 14.  A QD Simulator will be procured for testing from Avanti. 2012-01-31 AB
2012-02-07 WM: Prototype hybrids are being built and expected to be delivered in February.  Test kit will be assembled for prototype testing. 2012-02-07 AB</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</si>
  <si>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10/17/11 WM  Design review completed.  Ale &amp; Bruce Scott to complete action items originating from design review.
10/24/11 WM Conceptual design of tool including hydrophone for mechanical design has been started.  Crystal material and assembly is being reviewed.  10/24 AB
10/31/11 WM Conceptual design is in progress and will be available for review by end of the week.  Detailed design will start after the review.  Intelligent Trigger project will be detailed in a separate project plan.  This project will be run in parallel with Echo.  10/31 AB
11/07/11 WM - The models and separate project plans are in progress.  New vendor is being setup so as to buy hydrophones off-the-shelf.  Test circuit has been completed for single wire communication with PCB assembly.  11/07/11 AB
11/14/11 WM - Conceptual models were reviewed for downhole tool.  Further design work is scheduled for this week.  Two versions of the tool will be run in parallel.  Hydrophones will be ordered this week, the vendor has been added to accepted vendor list.  11/14/11 AB
2011-11-28, WM:  Specification completed.  Alternate vendor hydrophones in process with anticipated delivery by end of year.  Updated HAL hydrophone design completed, detailed drawings in progress.
2011-12-05 WM: Procurement terms and conditions are being negotiated with the vendor.  Detail drawings of mechanical assembly is in progress.
2011-12-12 WM: PO has been issued for third party hydrophone.  The circuit diagram will be updated with the tristate buffer for sharing a single pin with firing circuit and communication.
2011-12-19 WM: The schematic is in the final review stage.  The layout will be completed and boards will be placed on order. 2011-12-19 AB
2012-01-03 WM: The crystals for PCB assembly are on order.  Third party hydrophones are on order testing will commence later this week.  Engineering detailed drawings are being processed through Beacon.
2012-01-10 WM: The HTI (third party) hydrophones have been received and tested.  The results are being analyzed.  The response has been observed to be considerably better than Proto 01 hydrophones from Quartzdyne.  A memo will be circulated to the stakeholders this week.  The PCB assemblies will be ordered with one-two week turnaround.  2012-01-10 AB
2012-01-24 WM: 30KPSI Kemlon connectors are on order.  The firmware will be tested on Rev B board by this week.  A PO will be issued to Hydrophone vendor with delivery date at end of March.  A mechanical engineering design review will be completed. 2012-01-24 AB
2012-01-31 WM: A design review was completed with PLM and mechanical engineering detailed design has been started.  The hydrophone design is being modified for vibration considerations.  The PO will be placed after the design is accepted by the vendor.  UART and EEPROM functionality have been tested. 2012-01-31 AB
2012-02-07 WM: Detail design has been completed with part numbers to be loaded to CWI.  The firmware testing is underway.  The procurement of materials will be started.  2012-02-07 AB</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</si>
  <si>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2012-01-10 AB.
2012-01-24 WM:A version of QT Rack Mount unit is available.  This unit can be used as base for completing the design.  The depth of the enclosure should be increased 1 inch.  The unit will be designed as AC unit.  The AIS date will be updated.  2012-01-24 AB
2012-01-31 WM: This RTA will be kicked off this week after a scope and review of existing information. 2012-01-31 AB
2012-02-07 WM: The Cable Simulator ECR will be completed, following which this RTA will be simultaneously worked on along with Dual Power XPIO.  2012-02-07 AB</t>
  </si>
  <si>
    <t>SPLT=98 Changed to code 2 see attached email from submitter.  12/8/11 DM</t>
  </si>
  <si>
    <t>754990</t>
  </si>
  <si>
    <t>ConocoPhilips require a Single ROC Gauge Mandrel of the following specification:
4 1/2 in x 13.5 LB/FT 13Cr80 Tenaris Blue Pin x Pin
Gauge will be ROC- 175 16k single gauge 0.75 OD SAP No 101863926</t>
  </si>
  <si>
    <t>1.1: SPLT=126 Email to submitter re: requirements document and quality requirements. 2/8/12 DM</t>
  </si>
  <si>
    <t>755090</t>
  </si>
  <si>
    <t>CREATE RTA TO PUSH 316055-00-01 TO SAP. DH 020712
TSG NOTES 020712 RCVD. FILE FOR PROCESSING. (KEN) END</t>
  </si>
  <si>
    <t>DYANE.HENSON@HALLIBURTON.COM</t>
  </si>
  <si>
    <t>755193</t>
  </si>
  <si>
    <t>Broussard office raised a CPI for this issue.  This is regarding SAP No 597816 for a current order from Broussard.  The actual vendor number is DHCE-B30-BB-01P-000-00.  SAP has it listed as DHCE-B30-BQ-1S-000-
00.  Please correct SAP description.  Also attached is the installation procedure for this item.  If possible, please have this document loaded into CWI under the SAP No and correct part number description so that the field can access it.</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</si>
  <si>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
2012-01-10 WM: The driver for micro SD was tested.  A consultant will be engaged to develop and test the driver.  2012-01-10 AB
2012-02-07 WM: A consultant will be engaged on this project in February.  2012-02-07 AB</t>
  </si>
  <si>
    <t>Please create MN 102033804 with -FT1 quality plan
TSG NOTES RCVD. 020712 FILE FOR PROCESSING. 020812 WRONG PART NUMBER WAS ADDED ABOVE HAD TO CLARIFY THE PART NUMBER, PART NUMBER HAS NOW BEEN CORRECTED. (KEN) END</t>
  </si>
  <si>
    <t>754929</t>
  </si>
  <si>
    <t>Proposed well head outlet design for all future platform/land completions required for gauge TEC line. Product line engineering to review and qualify the design Supplier - Antech
Tim Mitchell
AnTech Ltd
Tel: +44 (0) 1392 440332
Fax: +44 (0) 1392 440301
Email: timm@antech.co.uk
Web:  www.antech.co.uk</t>
  </si>
  <si>
    <t>OBSOLETE ES-SP-23 STANDARD OBJECT AND CREATE ES-SP-23 SPECIFICATION OBJECT.
------
11/2/2011 ST - SENT TO R. BAKHTIARY FOR APPROVAL.
TSG NOTES 02-09-2012 TO TSG FOR PROCESSING J. CALLAWAY PER SAM TEHVEN NEEDS MORE REVIEW 02-10-2012 JCC END</t>
  </si>
  <si>
    <t>756109</t>
  </si>
  <si>
    <t>The reference Gauge Mandrel is the SAP: 101881739, RTA changes as follows:
(a)	Change threads to 7in 29lb JFE Bear
(b)	Replace the GAUGE SUB-ASSEMBLY, ROC-150, 0.75IN OD, 0-10K PSIA, 25-150C  (SAP: 101863921) to the GAUGE SUB ASSEMBLY,ROC-150,DUAL REDUNDANT ELECTRONICS, 1.125IN OD,0-10K PSIA,25-150C (SAP: 101953598).
(c)	Final assembly need be under the 8.379in casing drift.  
This mandrel will be run inside the 9 5/8in 53.5lb casing.</t>
  </si>
  <si>
    <t>NEED BOM FOR MATERIAL NUMBER 591914 UPDATED TO CALL OUT MN 591916. NEED TO CHANGE MN 591914 FROM A BUY TO A MAKE PART.
020112 UPDATED RTA TYPE FROM CUSTOMIZATION TO ECR PER M ALLEN DSH.
TSG NOTES 020212 RCVD. FILE FOR CREATION. CREATED FILE, PROMOTED RTA TO WIP, ADDED TASK, AND PART. 020312 RCVD. FILE FOR PROCESSING. (KEN) END
020612 PENDING PART UPDATE 591914 CHANGE FROM BUY TO MAKE IN SAP. DSH</t>
  </si>
  <si>
    <t>754866</t>
  </si>
  <si>
    <t>Part drawing states mark part with part number and info, suggest bag and tag as part is small and round. Part numbers affected are 598243,598239,598223,598221.</t>
  </si>
  <si>
    <t>Nicholas Webster</t>
  </si>
  <si>
    <t>Nick.Webster@Halliburton.com</t>
  </si>
  <si>
    <t>ELEC - eSSSV Development
2012-02-07 WM: Review of the design is under progress.  Surface unit design is being evaluated and necessary test equipment are being procured. 2012-02-07 AB</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</si>
  <si>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
2011-12-12 WM: The interface cards will be placed on order and turnkeyed for delivery in January 2012.
ZEWO: 103284527
2011-12-19 WM:  The PCB assemblies are on order and expected in Jan 2012.  Testing will be scheduled as soon as delivery date is finalized.  2011-12-19 AB
2012-01-03 WM: The PCB assemblies have been received.  The testing will start on 2012-01-09.  The design for higher power version is ready for implementation.  LiveWire agreement has been completed.  A meeting is scheduled for the TDR implementation.
2012-01-10 WM: The cards are scheduled for debugging in this week with John Tolman.  LiveWire is working on delivering prototype assembly for testing with the IWIS card.  2012-01-10 AB
2012-01-24 WM: The functionality has been tested.  The digital functionality is being finalized.  The final layout will be completed and will be used for qualification.  2012-01-24 AB
2012-01-31 WM: The optimization of the power supply is being further investigated by Sensor Design.  The schematic has been updated and the IWIS card is in a state similarto previous generation.  The firmware updates will be addressed after finalizing the specifications with PLM. 2012-01-31 AB
2012-02-07 WM: The optimization of power supply will be worked on this week.  The optimized design will be held in design folder.  2012-02-07 AB</t>
  </si>
  <si>
    <t xml:space="preserve">SPLT=112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 Per Dave Christie email proceed with design using the old check valve.  1/10/12 DM Waiting for AIS date from customer for 30 upcoming wells. Follow up with Ahmed.  2/6/12 DM </t>
  </si>
  <si>
    <t>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  Follow up w/Bill re: AIS date.  2/6/12 DM</t>
  </si>
  <si>
    <t>Control System - 6 Well
Same As: C05SHS06060200; SHS,6 WELL,PNEU,MNL CONT,WTR GLYCL,10K
Except: With reference to preliminary drawing 316328_04_01.
1 ea 6_slot SHS
6 ea 3_line WCM w/LCD display
1 ea 8_slot HEC
SWM software to be installed on company supplied server.
UACU+ to be connected to SWM, already delivered
3rd party connection to SWM, read/write access, need modbus map.
To be used with Transaqua HT2.
ATEX Zone 1 and NORSOK compliant
To be built be Proserv Norge AS
Require design drawings and support from Houston
Require an inhouse test in Houston with: actual server with installed configuration software and SWM software, Actual PLCs, WCM displays, UACU+ with gauge simulators and a MODBUS link to 3rd party.
Both the SHS and HEC shall be ready for 5 line WCMs even if the delivery is 3line WCMs.
Design pressure 10000PSI.
Suggested LCD display: BEKA BA488C
Fiber cable between SHS and SWM server
230 VAC 50hz for light fixture and PLCs
690 VAC 50 hz for motors.
Request FAT procedure and assistance for FAT in Norway.
Design basis drawings 3D and component list from Houston will be delivered to Proserv Norway for tweaking and building.
WD inc to deliver:
Rotator valves 6 ea
Programmed PLCs, 8 ea including 1 spare
Software for configuration and use SWA and SWM.
Tech Start Date is in the past
Project Name: 6-Slot SHS with 6 ea 3-line WCMs, 8-slot HEC,
Special Quality Plan Required?: Yes
Quality Plan Identifier: SB2
Material: (16) Customer Supplied - Supply detail in description
Mating Infomation:Work With item with Part Number 315883-00
2011-07-18, Weekly Meeting:  Kickoff meeting scheduled for 7/19.
10/17/2011 WM  Call with ProServ tomorrow, region in town for mtg.  ProServ design still incomplete.  DM
2011-11-07, WM:  Drawing updates have been agreed upon.  Josh is awaiting the final markups from the manufacturer.  Once received prints will be uploaded and released.  The order is in process, only documentation outstanding. MWS
2011/12/08, WM:Still waiting for additional drwg from ProServ.System already on order. 12/9/11 DM
2011-12-15 WM: Josh to take lead - Still awaiting drawings from ProServe. Manufacturing is apparently on schedule per Christoffer and ProServe. Meeting Tuesday mornings will be  attended by Josh, Alistair and others if required. Meeting on 27th may be cancelled if nothing happening.
2012-01-03 WM Still awiting response from proserve
2012-01-09, WM: Meeting with Proserve 1-10-2012, put on design hold if drawings are not supplied
2012-01-24, TS:  FAT of production unit is scheduled on 3/9.  Delivery to customer scheduled for 3/26.  Drawing updates still in progress, not holding up production.
2012-01-30, TS: Still reviewing drawings from Proserve. FAT scheduled for March 5. Roxar test scheduled for March 19 Delivery to customer March 26.
2012-02-02, TS:Push through what we have create a new RTA when we get as built drawings.
2012-02-03, TS: to be released by 2-10. Review with Christoffer next week.
2012-02006, WM: Will meet iwth Christoffer and Proserve in the morning to dicuss how to proceed.
2012-02-08 TS: will release what we have and create a new RTA when as built drawings are sent from Proserve. Will release to TSG tomorrow.</t>
  </si>
  <si>
    <t>DH 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
2012-01-09, WM: Meeting with Region tomorrow morning 1-10-2012 to decide how to proceed. Parts may already exist and RTA may need to be cancelled.
2012-01-30, WM: Robert T. responded to questions today. Still awaiting answers from previous questions. Remain on DH.
2012-02-03, TS: Requested original design. to be reviewed today. Same as 753074
2012-02-08, TS: To be sent out for quote on 02-17</t>
  </si>
  <si>
    <t>Stacey Joiner</t>
  </si>
  <si>
    <t>To create a 3.5 HSB with DEFLECTOR with carbide insert (INC 718/4140) with a multipurpose fitting kit .
Releasing valve without flow trim.  Will ECN to insert flow trim once customer has decided on design.  2/8/12 DM</t>
  </si>
  <si>
    <t>SPLT=168 Changed AIS date to reflect SLT from production release per PMT mtg.  1/13/12 DM Revised AIS date according to Letter of Acceptance per J Rahman.  1/24/12 DM Placing on hold until customer identifies flow trim design.  1/31/12 DM  Releasing valve without flow trim and will ECN to insert flow trim when customer makes decision.  2/8/12 DM</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</si>
  <si>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
2011-12-05 WM: PCB level documentation has been completed.  The gauge level documentation is being built.  A design review was completed and ROC-P mechanical design finalized.  The gauge part number will be released by 2011-12-12.  The RTA will remain open until PCB evaluation is completed.
2011-12-12 WM: PCB assembly has been released.  Gauge sub assembly is planned to be released this 2011-12-14.  Hunting Innova is processing quote for tested PCB assemblies.
2011-12-19 WM: ROC-P Gauge Sub Assembly has been built out in CWI.  Quotation on ROC-P is expected from Hunting Innova.  2011-12-19 AB
2012-01-03 WM: Hunting Innova is quoting on the PCB assembly.  Rev B of PCB assembly has been uploaded for review.  The development will be picked up after the PCB assemblies are released.
2012-01-10 WM: Hunting Innova will provide two PCB assemblies untested for engineering use.  PLM has been informed that Qty 5 PCB will be available for gauge sub assembly.  Hunting Innova will inform Procurement about delivery dates on the gauges.  2012-01-10 AB
2012-01-24 WM: The PCB Assemblies for testing is expected to come in during first week of March.  2012-01-24 AB
2012-01-31 WM: The delivery date will be confirmed this week for Qty 2 PCB assemblies Untested and conformal coated. 2012-01-31 AB
2012-02-07 WM: Hunting Innova have not confirmed a delivery date.  This is expected to be by first week of March.  Characterization and long term testing will be started once the boards are delivered.  2012-02-07 AB</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</si>
  <si>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
2011-12-15, WM: -  Dan to take lead - 20 well control system quote that is 70-80 per cent complete. Still awaiting official RFQ from customer. E-mail from Alan McLauchlan dated 12/14 indicated any day now. This may slip into first week of 2012 depending on when RFQ received and customer due date.
2012-01-03, WM: Had meeting with Alan M. Required bid date is 01-13-2012. Send out for bid on 01-06-2012 (complete design). New specs recieved today. Considering different DCV options to reduce cost.
2012-01-09, WM: Sent out for quote today. Need to release drawings into CWI.
2012-02-01, TS: Awaiting to affirm final technical overview document was or will be sent to customer in project data file then RTA relased. Should have by Friday 02-03.
2012-02-03, TS: Meeting scheduled with Graham for Monday 02-06.
2012-02-08, TS: task promoted. To Ted to approve.</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</si>
  <si>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
2011-12-15, WM; Quote a two well SHS with ATEX certification at the system level. Warren at Lorimer was checking into whether the manufacturer needed to be an ATEX certified plant. If so, this may require sending out for quote elsewhere.
2012-01-03, WM: Lorimer to review becoming an ATEX certified shop by Monday 01/09/2012. Discuss situation with Bharath.
2012-01-09, WM: We are to supply drawings to FM (certifying body) for review. Design review of designs before sending to FM. Lorimer to look into requirements for becoming a Certified ATEX manufacturer. Send to Djeudins in Netherlands.
2012-01-30, WM: Have tried on numersous occasions to reach FM to discuss requirements for ATEX certifications. They hve not answered or called back. Will continue to try.
2012-02-03, TS: Talked to FM this morning. Dan to send drawings for their review. Meeting scheduled with them next Friday 02-10 at 9 AM
2012-02-08, TS: Drawings to be sent to FM today. Meeting Friday.</t>
  </si>
  <si>
    <t>DH Review attached Control Panel designs.  create new halliburton designed panels with same or equal inputs and outputs.  Bid Due date has not been advised at this time.
2012-01-03 Still awaiting response from field. Rta needs to be put on DH
2012-02-08, TS: take off design hold. RObert T. and Hakeem to review drawings and complete design. ready to be sent out for quote by March 2.</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</si>
  <si>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
2011-12-19 WM: A kick off meeting was held.  A conceptual design memo was circulated.  Gate 1 and Gate 2 have been signed by TAM.  Awaiting signature from PLM for RTA to be placed in WIP.  2011-12-19 AB
Network:  HTWM602023 M001
ZEWO:     103837706
2012-01-10 WM: The wiring diagram is in progress.  Drafting resource will become available next Monday.  The part BOM will be built.  2012-01-10 AB
2012-01-12 Aswin Balasubramanian: A revised project plan with updated timelines and material cost has been added.
2012-01-24 WM: SolidWorks documentation was reviewed, expected completion end of this week.  CWI BOM will be reviewed this week. 2012-01-24 AB
2012-01-31 WM: The review was completed on the Assembly Drawing and on AC-DC Detector Circuit.  The part structure was checked.  The project will near prototyping after completion of PDGIC upgrade RTA.2012-01-31 AB
2012-02-07 WM: PDGIC customization RTA and ECR on cable simulator has placed this project on hold.  This will be restarted by end of this week.  2012-02-07 AB</t>
  </si>
  <si>
    <t>Safety System - Order - 71ZZ2900
Set up 71CO P/N and SAP P/N for the following panel design no. 71ZZ2900
120611 PRE-RELEASE PART 102112093  DSH
2011-12-15 WM:  Hakeem to take lead ???????????????????????? Safety System quote. Awaiting response for pneumatic pump requirement. Jay sent question. May need to put on design hold. Jay sent reminder e-mail today.
2012-01-03 WM: Recieved response from Region, ok to proceed.
2012-01-09, WM: Jay to respond to e-mail with questions from region. Project on hold until region responds to questions.
2012-01-10, Robert, Josh, Hakeem, Jay and Ted had design review. Jay sent e-mail to region with clarifications/options. Robert to make some minor corrections, Hakeem to check. If no response by Friday morning from region, drawings to be released in CWI.
2012-01-30, WM: Need to assure that it has been sent out for quote - Hakeem.
2012-02-01, TS: Sent out for quote. Quotes to be recieved by 02-06-2012.
2012-02-03, TS: Requoting, quotes due in by Monday 02-06.
2012-02-08, TS: Files to be loaded and released to TSG today.</t>
  </si>
  <si>
    <t>New ROC Mdrl: Sgl D.Redundant ROC175
Please create 4 1/2 in, 17ppf, 13CR110 mandrel  for dual redundant ROC 175 25k gauge. Mandrel will be the same as 102037383 except it will have the ROC 175 redundant gauges mounted on them.  Please use CT2 quality plan.
2012-01-03, WM:  Assign to James, class B
----
1/6/2012 RB - Mandrel will use same specs as ref mandrel 9290-2737, but will be a single ROC-175 (Gauge assy 9381-6162)
-------
01-13-2012, J. SEALE - COMPLETED DESIGN, DRAFTING AND CWI (CREATED T00000747324 TO REVISE SW PARTS MATL CONFIG. AND T00000747927 TO UPLOAD CURRENT SW MODEL TO CWI DRAWING) SENDING TO S. TEHVEN FOR CHECKING
------
01-17-2012, ST - SENT BACK TO J. SEALE FOR CORRECTION
------
01-17-2012, J. SEALE FINISHED CORRECTION SENDING TO R. BAKHTIARY FOR APPROVAL
2012-01-17 ST - SENT BACK TO J. SEALE FOR CORRECTIONS.
TSG NOTES 02-06-2012 TO TSG FOR PROCESSING; DWGS TO QUALITY FOR MARKUP; DWGS BACK FROM QUALITY 02-07-2012 JCC END</t>
  </si>
  <si>
    <t>Safety System - Quote Only
Same As: 71SSS1; SFTY SYS STD RTA DESIGN REQ
Except: Please design control panel as per attached documents submitted by customer.  Please note SIL2 certification required. Please obtain cost and delivery from our vendors.
No due date noted on inquiry
Project Name: 
Special Quality Plan Required?: No
Material: 
Technical Support Deliverables:
Preliminary Design Specifications
Reference Assembly Drawing
2012-01-03 WM: Jay to ask for an extension until 01/27/2012. Assign to Robert Thornburg
2012-01-09 WM: Robert T. and Hakeem proceeding with design. Extension not yet recieved. Try to complete before 27th.
2012-01-31 WM: Sent out for requote per customer request.
2012-02-01 TS: Drawings are being created, to be sent out for quote today. Requote 02-06-2012.
2012-02-08, TS:Quotes recieved. Release to TSG tomorrow.</t>
  </si>
  <si>
    <t>Same As: 9290-6829-SB2; GGE MDRL ASSY,3 1/2-9.20 VAMTOP-SB2
Except: 
Mandrel to be made of Inconel 718, 120 KSI
------
2012-01-12 ST - SENT TO J. SEALE FOR CHECKING
------
2012-01-16 ST - SENT TO R. BAKHTIARY FOR APPROVAL.
TSG NOTES 02-08-2012 TO TSG FOR PROCESSING; DWGS TO QUALITY FOR MARKUP J. CALLAWAY END</t>
  </si>
  <si>
    <t>Same As: 9290-6830-SB2; GGE MDRL ASSY,3 1/2-9.20 VAMTOP-SB2
Except: 
Mandrel to be made of Inconel 718, 120 KSI
------
2012-01-12 ST - SENT TO J. SEALE FOR CHECKING
------
2012-01-16 ST - SENT TO R. BAKHTIARY FOR APPROVAL
020612 TSG RECD FOR PROCESSING DSH
020612 DRG TO QUALITY FOR REVIEW AND MARKUP DSH; DWG BACK FROM QUALITY; TO QUALITY FOR REVIEW/APPROVAL 02-07-2012 JCC END</t>
  </si>
  <si>
    <t>Safety System - Quote Only
Same As: 71SSS1; SFTY SYS STD RTA DESIGN REQ
Except: Design control panel similar to P/N 101871595 d.602992551A, but one enclosure to include 2 each P/N 101871595 d.602992551A, and be mounted on a stand.
Project Name: 
Special Quality Plan Required?: No
Material: 
Technical Support Deliverables:
Preliminary Design Specifications
Reference Assembly Drawing
2012-01-30, WM: Schematic complete - set up design review for Wednesday 2/1
2012-02-03, TS: Sent to Kelley for quote. Should have by next Friday 2-10.
2012-02-08, TS: Still awaiting quotes.</t>
  </si>
  <si>
    <t>17: SPLT=168 Emailed submitter regarding 9/1/12 delivery date per PMT. Waiting for confirmation from field to change AIS date.  1/19/12 DM @@@</t>
  </si>
  <si>
    <t>Control System - 6 Well SHS
Same As: C05SHS36310100; SHS 6 WELL,460/3/60,AUTO,ATEX,6K,BSP
Except: Request for creating MN for a 6well SHS for CPWJ40. Please refer to attached document for specifications. Note that this item needs to be same as MN 101893613 but with qty 6x 5Line WCMs101875079
Tech Start Date is in the past
Project Name: CPWJ40
Special Quality Plan Required?: No
Material: 
Mating Infomation:
2012-01-26, DC: BOM/ Part Structure should be complete in CWI.  Just need to update the SHS-level drawings.
2012-01-30, WM: Complete drawing for six well cabinet with six WCMs -Josh
2012-02-01, TS: Design Review on Wed Feb 8.
2012-02-08, TS: Design Review today.</t>
  </si>
  <si>
    <t>0.20833333333333334</t>
  </si>
  <si>
    <t>Require modifications to Splice Assy to be placed above and below MFT Packer 12MFT95408-VBGO. This configuration must fit into 9 5/8?? 53,5 casing. All lines required to be on one side of clamp. see reference 102115119
Current assembly of Packer 12MFT95408-VBGO and Splice Assy 235SF0965563-SB2 creates total assembly OD larger than max packer OD. Splice Assy needs to be modified to make total assembly OD less than max packer OD. see reference 1021115119</t>
  </si>
  <si>
    <t>New ROC Mdrl: JFE, DR, ROC 150
Drawings for a 3 1/2  ROC 150 Dual Redundant 13Cr Mandrel
Gauge (p/n: 9381-6142) (SAP No. 101953598)
Threads to be 3 1/2 x 9.2 JFE Bear
Casing 7 - 32 751524
----
1/26/2012 RB - Design circle completed and attached to RTA. Mandrel design fits within specified drift. Design does not fit concentrically; requestor should verify that this is acceptable.
2/6/2012 MG - DESIGN &amp; DRGS COMPLETE, FORWARDED TO SAM FOR CHECKING.
------
2012-02-06 ST - SENT BACK TO M. GUY FOR CORRECTIONS
2012-02-07 MG - CORRECTIONS MADE, RETURNED TO SAM FOR FINAL CHECKING.
------
2012-02-07 ST - SENT TO R. BAKHTIARY FOR APPROVAL</t>
  </si>
  <si>
    <t>7: SPLT= 126 Emailed field re: AIS date and quality requirements.  1/26/12 DM  Email attached regarding AIS date from submitter.  1/26/12 DM</t>
  </si>
  <si>
    <t>Same As: 71SSS1; SFTY SYS STD RTA DESIGN REQ
Except: Redesign Six Achimgaz systems as per Olga s instructions and obtain quotes.
No due date advised.
Project Name: 
Special Quality Plan Required?: No
Material: 
Technical Support Deliverables:
Preliminary Design Specifications
Reference Assembly Drawing
2012-02-03; TS, Assigned to Josh. Initial design reveiw with changes next Friday 02-10
2012-02-08: TS, Awaiting on vendors for information Preliminary design review scheduled for Firday 02-10.</t>
  </si>
  <si>
    <t>0.125</t>
  </si>
  <si>
    <t>1: SPLT=126</t>
  </si>
  <si>
    <t>Elec  Update component list on BOM for mn 597484- Downhole Cable Simulator
See attached email for details. Three sales orders in place, one already late.
2012-02-07 WM: All obsolete components have been replaced and BOM built.  The enclosure needs to be replaced along with drill file and the top label.  Due to redesign work the RTA due date has been set to 2012-02-12.  2012-02-07 AB</t>
  </si>
  <si>
    <t>2: SPLT=126 Email to field re: quality requirements and RTA code.  2/8/12 DM</t>
  </si>
  <si>
    <t>Same As: 71SSS1; SFTY SYS STD RTA DESIGN REQ
Except: Revise Item 001, QTY 2 each of:
WELL HEAD CONTROL PANEL
CONSISTING OF THE FOLLOWING
Hydraulic Power Unit
Accumulator Rack
Ref 71ZZ3058
Control Module
Halliburton pilots High/low
Ref 71PP8KRATU
Six Well Module Frame
Pilots mounting Side Plates
Ref 71ZZ3059
Solar Power Unit
320 Watt Solar Panel
Ref 71SH7ABDDATU
Installation Kit
for 71SH7BDDATU
Ref 71SHC1ATU
Remote Shut in
Ref 71CA93ATU
Installation Kit
Ref 71PPK8XATU
All assembled in 316 SS cabinet
Note: IR349000 501 Wellhead Control, Monitoring and Shutdow 03/30/2008
As per Yolanda email and attached files received today.  No due date noted in this request from Aramco.
Project Name: 
Special Quality Plan Required?: No
Material: 
Technical Support Deliverables:
Preliminary Design Specifications
Reference Assembly Drawing
2012-02-01, TS Preliminary design review on Friday Feb 3.
2012-02-08, TS: Sent out for quote. Awaiting charge code to create data books.</t>
  </si>
  <si>
    <t>0.6666666666666666</t>
  </si>
  <si>
    <t>Same As: 71SSS1; SFTY SYS STD RTA DESIGN REQ
Except: Please redesign 71ZZ3107, 71ZZ3108, 71ZZ3109, 71ZZ3110 as per Chandrans
attached email dtd feb. 1 see attached
Bid due date Feb 16.
Project Name: 
Special Quality Plan Required?: No
Material: 
Technical Support Deliverables:
Preliminary Design Specifications
Reference Assembly Drawing
2012-02-03: TS, assign to Hakeem. Due date 2-16
2012-02-08: TS, Send out for quote on Friday 02-10. Request one week extension.</t>
  </si>
  <si>
    <t>0.7083333333333334</t>
  </si>
  <si>
    <t>Same As: 71SSS1; SFTY SYS STD RTA DESIGN REQ
Except: Set up Spring kit for swagelok relief valve, kit p/n 177R3AK1G
Project Name: 
Special Quality Plan Required?: No
Material: 
Mating Infomation:
2012-02--08, TS: Send to be checked tomorrow. To be sent to TSG by Friday 02-10</t>
  </si>
  <si>
    <t>0.375</t>
  </si>
  <si>
    <t>Same As: 71SSS1; SFTY SYS STD RTA DESIGN REQ
Except: Set up legacy P/N 93F592, Bulk head union, 1/2 X 1/2 inch
Project Name: 
Special Quality Plan Required?: No
Material: 
Mating Infomation:
2012-02--08, TS: Send to be checked tomorrow. To be sent to TSG by Friday 02-10.</t>
  </si>
  <si>
    <t>0.5833333333333334</t>
  </si>
  <si>
    <t>Same As: 71SSS1; SFTY SYS STD RTA DESIGN REQ
Except: Set up needle valve, 1500 PSI or less for pneumtic 3/8 inch FNPT X 3/8 inch FNPT, Swagelok
Project Name: 
Special Quality Plan Required?: No
Material: 
Mating Infomation:
2012-02--08, TS: Send to be checked tomorrow. To be sent to TSG by Friday 02-10.</t>
  </si>
  <si>
    <t>0.5</t>
  </si>
  <si>
    <t>Same As: 71SSS1; SFTY SYS STD RTA DESIGN REQ
Except: Set up SAP P/N for Check Valve 1/2 inch FNPT X 1/2 inch FNPT, 6,000 PSI 
Project Name: 
Special Quality Plan Required?: No
Material: 
Mating Infomation:
2012-02--08, TS: Send to be checked tomorrow. To be sent to TSG by Friday 02-10.</t>
  </si>
  <si>
    <t>0.5416666666666666</t>
  </si>
  <si>
    <t>Same As: 71SSS1; SFTY SYS STD RTA DESIGN REQ
Except: Set up SAP P/N for Check valve 3/8 inch FNPT X 3/8 inch FNPT 6,000 PSI
Project Name: 
Special Quality Plan Required?: No
Material: 
Mating Infomation:
2012-02--08, TS: Send to be checked tomorrow. To be sent to TSG by Friday 02-10</t>
  </si>
  <si>
    <t>0.4166666666666667</t>
  </si>
  <si>
    <t>Same As: 71SSS1; SFTY SYS STD RTA DESIGN REQ
Except: Set up SAP P/N for Check valve 1/2 inch FNPT X 1/2 inch FNPT, 10,000 psi
Project Name: 
Special Quality Plan Required?: No
Material: 
Mating Infomation:
2012-02--08, TS: Send to be checked tomorrow. To be sent to TSG by Friday 02-10.</t>
  </si>
  <si>
    <t>0.4583333333333333</t>
  </si>
  <si>
    <t>Design Circle: Check Valve
I need a cross-sectional showing the dimensions of the following: Same As 9290-2790, but remove the bypass slots and change the check valve to 3/8IN. We want to fit this mandrel into 7IN 38PPF casing with 5.92IN ID. Smaller the better.
------
2012-02-06 ST - SENT TO M. GUY FOR CHECKING
------
2012-02-06 ST - SENT TO R. BAKHTIARY FOR APPROVAL</t>
  </si>
  <si>
    <t>754992</t>
  </si>
  <si>
    <t>Same As: 71SSS1; SFTY SYS STD RTA DESIGN REQ
Except: Set up Haskel pump model no. 4B55, Otis legacy P/N 93ST1532 with SAP P/N.
Project Name: 
Special Quality Plan Required?: No
Material: 
Mating Infomation:
2012-02--08, TS: Send to be checked tomorrow. To be sent to TSG by Friday 02-10</t>
  </si>
  <si>
    <t>754648</t>
  </si>
  <si>
    <t>Same As: 71SSS1; SFTY SYS STD RTA DESIGN REQ
Except: Tubing, 316L, 3/8 inch, X 0.049 inch wall thickness, seamless, Swagelok Sandvik, in 20 foot lengths
Project Name: 
Special Quality Plan Required?: No
Material: 
Mating Infomation:
2012-02--08, TS: Send to be checked tomorrow. To be sent to TSG by Friday 02-10</t>
  </si>
  <si>
    <t>754870</t>
  </si>
  <si>
    <t>Kuwait Oil Company</t>
  </si>
  <si>
    <t>QUOTATION ONLY
Same As: 71SSS1; SFTY SYS STD RTA DESIGN REQ
Except: Update drawing package for 71PP3
Project Name: 
Special Quality Plan Required?: No
Material: 
Technical Support Deliverables:
Preliminary Design Specifications
Reference Assembly Drawing
02-08-2012, TS: Redesign should be ready to be sent out for quote on Friday 02-10.</t>
  </si>
  <si>
    <t>1: SPLT=N/A</t>
  </si>
  <si>
    <t>755309</t>
  </si>
  <si>
    <t>ECR - Revise drawings for 6 line multi-valve control system to as-built status. Top level MN 102106951</t>
  </si>
  <si>
    <t>20: SPLT=168</t>
  </si>
  <si>
    <t>WD specific PR3 and PR4 tools
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</si>
  <si>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755188</t>
  </si>
  <si>
    <t>Need design circle for the mandrels submitted in RTA 755180 and 755179.  Need worst case scenario - ie, bellies are at 180 degrees to each other.  They will be run inside 9 7/8 inch 62.8 lb casing
2/8/2012 MG - x-section complete, forward to James for checking.</t>
  </si>
  <si>
    <t>755179</t>
  </si>
  <si>
    <t>Chemical Injection Mandrel with 3/8 inch Check Valve.  
4 1/2 inch 12.6lb VAM TOP BxP, 
with (2) bypass slots to secure 1 each 11 mm TEC line
Material Inc 718
SE-1 Quality Plan
2-09-2012 MG - Assigned to Mark for design.</t>
  </si>
  <si>
    <t>s</t>
  </si>
</sst>
</file>

<file path=xl/styles.xml><?xml version="1.0" encoding="utf-8"?>
<styleSheet xmlns="http://schemas.openxmlformats.org/spreadsheetml/2006/main" xmlns:mc="http://schemas.openxmlformats.org/markup-compatibility/2006" xmlns:x14ac="http://schemas.microsoft.com/office/spreadsheetml/2009/9/ac" mc:Ignorable="x14ac">
  <fonts count="41">
    <font>
      <sz val="11"/>
      <color theme="1"/>
      <name val="Arial"/>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1.5"/>
      <color theme="1"/>
      <name val="Arial"/>
      <family val="2"/>
    </font>
    <font>
      <sz val="16"/>
      <color theme="1"/>
      <name val="Vineta BT"/>
      <family val="5"/>
    </font>
    <font>
      <b/>
      <sz val="14"/>
      <color theme="1"/>
      <name val="Arial"/>
      <family val="2"/>
    </font>
    <font>
      <sz val="11"/>
      <color theme="0" tint="-0.249977111117893"/>
      <name val="Arial"/>
      <family val="2"/>
    </font>
    <font>
      <sz val="11"/>
      <color theme="1"/>
      <name val="Arial"/>
      <family val="2"/>
    </font>
    <font>
      <b/>
      <sz val="18"/>
      <color rgb="FFFF0000"/>
      <name val="Arial"/>
      <family val="2"/>
    </font>
    <font>
      <b/>
      <sz val="11.5"/>
      <color theme="1"/>
      <name val="Arial"/>
      <family val="2"/>
    </font>
    <font>
      <sz val="11"/>
      <name val="Arial"/>
      <family val="2"/>
    </font>
    <font>
      <sz val="12"/>
      <color theme="1"/>
      <name val="Century Gothic"/>
      <family val="2"/>
    </font>
    <font>
      <sz val="14"/>
      <color theme="1"/>
      <name val="Century Gothic"/>
      <family val="2"/>
    </font>
    <font>
      <sz val="11"/>
      <color theme="0"/>
      <name val="Century Gothic"/>
      <family val="2"/>
    </font>
    <font>
      <sz val="10"/>
      <color theme="0"/>
      <name val="Century Gothic"/>
      <family val="2"/>
    </font>
    <font>
      <sz val="11"/>
      <color theme="1"/>
      <name val="Century Gothic"/>
      <family val="2"/>
    </font>
    <font>
      <b/>
      <sz val="26"/>
      <color theme="1" tint="0.34998626667073579"/>
      <name val="Arial"/>
      <family val="2"/>
    </font>
    <font>
      <sz val="11"/>
      <color theme="1" tint="0.34998626667073579"/>
      <name val="Arial"/>
      <family val="2"/>
    </font>
    <font>
      <sz val="11"/>
      <color theme="1"/>
      <name val="Century Gothic"/>
      <family val="2"/>
    </font>
    <font>
      <sz val="12"/>
      <color theme="0"/>
      <name val="Century Gothic"/>
      <family val="2"/>
    </font>
    <font>
      <sz val="10.5"/>
      <color theme="1" tint="0.34998626667073579"/>
      <name val="Arial"/>
      <family val="2"/>
    </font>
    <font>
      <sz val="10.5"/>
      <color theme="0" tint="-0.249977111117893"/>
      <name val="Arial"/>
      <family val="2"/>
    </font>
    <font>
      <b/>
      <sz val="10.5"/>
      <color theme="1" tint="0.34998626667073579"/>
      <name val="Arial"/>
      <family val="2"/>
    </font>
    <font>
      <b/>
      <sz val="10.5"/>
      <color theme="0" tint="-0.249977111117893"/>
      <name val="Arial"/>
      <family val="2"/>
    </font>
    <font>
      <sz val="10.5"/>
      <color theme="0" tint="-0.499984740745262"/>
      <name val="Arial"/>
      <family val="2"/>
    </font>
    <font>
      <sz val="11"/>
      <color theme="1"/>
      <name val="Century Gothic"/>
      <family val="2"/>
    </font>
    <font>
      <sz val="11"/>
      <color theme="1"/>
      <name val="Centry"/>
    </font>
    <font>
      <sz val="10"/>
      <color theme="1"/>
      <name val="Arial"/>
      <family val="2"/>
    </font>
    <font>
      <sz val="11"/>
      <color theme="1"/>
      <name val="Century Gothic"/>
      <family val="2"/>
    </font>
    <font>
      <sz val="11.5"/>
      <color theme="0"/>
      <name val="Century Gothic"/>
      <family val="2"/>
    </font>
    <font>
      <sz val="11.5"/>
      <color theme="1"/>
      <name val="Century Gothic"/>
      <family val="2"/>
    </font>
    <font>
      <sz val="11.5"/>
      <color theme="1"/>
      <name val="Century Gothic"/>
      <family val="2"/>
    </font>
    <font>
      <sz val="11.5"/>
      <color theme="1"/>
      <name val="Century Gothic"/>
    </font>
    <font>
      <sz val="11"/>
      <color theme="1"/>
      <name val="Century Gothic"/>
    </font>
  </fonts>
  <fills count="11">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FFFFA3"/>
        <bgColor indexed="64"/>
      </patternFill>
    </fill>
    <fill>
      <patternFill patternType="solid">
        <fgColor theme="0"/>
        <bgColor indexed="64"/>
      </patternFill>
    </fill>
    <fill>
      <patternFill patternType="solid">
        <fgColor rgb="FF5B9CD7"/>
        <bgColor indexed="64"/>
      </patternFill>
    </fill>
    <fill>
      <patternFill patternType="solid">
        <fgColor theme="0" tint="-0.14999847407452621"/>
        <bgColor indexed="64"/>
      </patternFill>
    </fill>
    <fill>
      <patternFill patternType="solid">
        <fgColor rgb="FFE8E8E8"/>
        <bgColor indexed="64"/>
      </patternFill>
    </fill>
  </fills>
  <borders count="49">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right/>
      <top style="thin">
        <color auto="1"/>
      </top>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ck">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style="thin">
        <color indexed="64"/>
      </right>
      <top style="thin">
        <color auto="1"/>
      </top>
      <bottom/>
      <diagonal/>
    </border>
    <border>
      <left style="thin">
        <color theme="0"/>
      </left>
      <right style="thin">
        <color theme="0"/>
      </right>
      <top/>
      <bottom/>
      <diagonal/>
    </border>
    <border>
      <left style="thin">
        <color theme="0"/>
      </left>
      <right style="thick">
        <color theme="0"/>
      </right>
      <top/>
      <bottom/>
      <diagonal/>
    </border>
    <border>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theme="0"/>
      </left>
      <right style="thin">
        <color indexed="64"/>
      </right>
      <top/>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style="thin">
        <color theme="0" tint="-0.499984740745262"/>
      </right>
      <top/>
      <bottom style="thin">
        <color theme="0"/>
      </bottom>
      <diagonal/>
    </border>
    <border>
      <left/>
      <right style="thin">
        <color theme="0" tint="-0.499984740745262"/>
      </right>
      <top style="thin">
        <color theme="0"/>
      </top>
      <bottom style="thin">
        <color theme="0"/>
      </bottom>
      <diagonal/>
    </border>
    <border>
      <left/>
      <right style="thin">
        <color theme="0" tint="-0.499984740745262"/>
      </right>
      <top style="thin">
        <color theme="0"/>
      </top>
      <bottom/>
      <diagonal/>
    </border>
    <border>
      <left/>
      <right style="thin">
        <color theme="0" tint="-0.499984740745262"/>
      </right>
      <top/>
      <bottom/>
      <diagonal/>
    </border>
  </borders>
  <cellStyleXfs count="1">
    <xf numFmtId="0" fontId="0" fillId="0" borderId="0"/>
  </cellStyleXfs>
  <cellXfs count="215">
    <xf numFmtId="0" fontId="0" fillId="0" borderId="0" xfId="0"/>
    <xf numFmtId="0" fontId="0" fillId="4" borderId="0" xfId="0" applyFill="1"/>
    <xf numFmtId="0" fontId="0" fillId="0" borderId="0" xfId="0" applyBorder="1" applyAlignment="1">
      <alignment horizontal="center" vertical="center" wrapText="1"/>
    </xf>
    <xf numFmtId="0" fontId="3"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1" fillId="4" borderId="0" xfId="0" applyFont="1" applyFill="1" applyAlignment="1">
      <alignment horizontal="center" vertical="center" wrapText="1"/>
    </xf>
    <xf numFmtId="0" fontId="3"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7" fillId="0" borderId="22" xfId="0" applyFont="1" applyBorder="1" applyAlignment="1">
      <alignment horizontal="center" vertical="center" wrapText="1"/>
    </xf>
    <xf numFmtId="0" fontId="7" fillId="0" borderId="22" xfId="0" applyFont="1" applyFill="1" applyBorder="1" applyAlignment="1">
      <alignment horizontal="center" vertical="center" wrapText="1"/>
    </xf>
    <xf numFmtId="0" fontId="7" fillId="0" borderId="22" xfId="0" applyFont="1" applyBorder="1" applyAlignment="1">
      <alignment horizontal="center" vertical="center"/>
    </xf>
    <xf numFmtId="0" fontId="9" fillId="5" borderId="11" xfId="0" applyFont="1" applyFill="1" applyBorder="1" applyAlignment="1">
      <alignment horizontal="center" vertical="center"/>
    </xf>
    <xf numFmtId="0" fontId="9" fillId="5" borderId="4"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12" xfId="0" applyFont="1" applyFill="1" applyBorder="1" applyAlignment="1">
      <alignment horizontal="center" vertical="center"/>
    </xf>
    <xf numFmtId="0" fontId="9" fillId="5" borderId="6" xfId="0" applyFont="1" applyFill="1" applyBorder="1" applyAlignment="1">
      <alignment horizontal="center" vertical="center"/>
    </xf>
    <xf numFmtId="0" fontId="9" fillId="5" borderId="7" xfId="0" applyFont="1" applyFill="1" applyBorder="1" applyAlignment="1">
      <alignment horizontal="center" vertical="center"/>
    </xf>
    <xf numFmtId="0" fontId="8" fillId="3" borderId="14" xfId="0" applyFont="1" applyFill="1" applyBorder="1" applyAlignment="1">
      <alignment horizontal="right" vertical="center"/>
    </xf>
    <xf numFmtId="0" fontId="8" fillId="3" borderId="15" xfId="0" applyFont="1" applyFill="1" applyBorder="1" applyAlignment="1">
      <alignment horizontal="right" vertical="center"/>
    </xf>
    <xf numFmtId="0" fontId="8" fillId="3" borderId="16" xfId="0" applyFont="1" applyFill="1" applyBorder="1" applyAlignment="1">
      <alignment horizontal="right" vertical="center"/>
    </xf>
    <xf numFmtId="0" fontId="0" fillId="0" borderId="0" xfId="0" applyFill="1" applyBorder="1" applyAlignment="1">
      <alignment horizontal="center" vertical="center" wrapText="1"/>
    </xf>
    <xf numFmtId="1" fontId="9" fillId="5" borderId="12" xfId="0" applyNumberFormat="1" applyFont="1" applyFill="1" applyBorder="1" applyAlignment="1">
      <alignment horizontal="center" vertical="center"/>
    </xf>
    <xf numFmtId="1" fontId="9" fillId="5" borderId="13" xfId="0" applyNumberFormat="1" applyFont="1" applyFill="1" applyBorder="1" applyAlignment="1">
      <alignment horizontal="center" vertical="center"/>
    </xf>
    <xf numFmtId="0" fontId="9" fillId="5" borderId="26" xfId="0" applyFont="1" applyFill="1" applyBorder="1" applyAlignment="1">
      <alignment horizontal="center" vertical="center"/>
    </xf>
    <xf numFmtId="0" fontId="9" fillId="5" borderId="27" xfId="0" applyFont="1" applyFill="1" applyBorder="1" applyAlignment="1">
      <alignment horizontal="center" vertical="center"/>
    </xf>
    <xf numFmtId="0" fontId="9" fillId="5" borderId="28"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6" borderId="0" xfId="0" applyFill="1" applyAlignment="1">
      <alignment wrapText="1"/>
    </xf>
    <xf numFmtId="0" fontId="14"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0" borderId="0" xfId="0" applyBorder="1" applyAlignment="1">
      <alignment horizontal="center" vertical="top" wrapText="1"/>
    </xf>
    <xf numFmtId="14" fontId="0" fillId="0" borderId="0" xfId="0" applyNumberFormat="1" applyBorder="1" applyAlignment="1">
      <alignment horizontal="center" vertical="top" wrapText="1"/>
    </xf>
    <xf numFmtId="0" fontId="17" fillId="7" borderId="0" xfId="0" applyFont="1" applyFill="1" applyProtection="1"/>
    <xf numFmtId="14" fontId="17" fillId="7" borderId="0" xfId="0" applyNumberFormat="1" applyFont="1" applyFill="1" applyProtection="1"/>
    <xf numFmtId="0" fontId="0" fillId="7" borderId="0" xfId="0" applyFill="1" applyProtection="1"/>
    <xf numFmtId="14" fontId="0" fillId="7" borderId="0" xfId="0" applyNumberFormat="1" applyFill="1" applyProtection="1"/>
    <xf numFmtId="14" fontId="0" fillId="7" borderId="0" xfId="0" applyNumberFormat="1" applyFill="1" applyBorder="1" applyProtection="1"/>
    <xf numFmtId="0" fontId="17" fillId="7" borderId="34" xfId="0" applyFont="1" applyFill="1" applyBorder="1" applyProtection="1"/>
    <xf numFmtId="0" fontId="0" fillId="7" borderId="34" xfId="0" applyFill="1" applyBorder="1" applyProtection="1"/>
    <xf numFmtId="0" fontId="0" fillId="7" borderId="33" xfId="0" applyFill="1" applyBorder="1" applyProtection="1"/>
    <xf numFmtId="0" fontId="10" fillId="7" borderId="0" xfId="0" applyFont="1" applyFill="1" applyBorder="1" applyAlignment="1" applyProtection="1">
      <alignment horizontal="center" vertical="center"/>
      <protection locked="0"/>
    </xf>
    <xf numFmtId="0" fontId="0" fillId="7" borderId="0" xfId="0" applyFont="1" applyFill="1" applyProtection="1">
      <protection locked="0"/>
    </xf>
    <xf numFmtId="0" fontId="0" fillId="7" borderId="0" xfId="0" applyFont="1" applyFill="1" applyAlignment="1" applyProtection="1">
      <alignment vertical="center"/>
      <protection locked="0"/>
    </xf>
    <xf numFmtId="0" fontId="0" fillId="7" borderId="0" xfId="0" applyFont="1" applyFill="1" applyAlignment="1" applyProtection="1">
      <alignment horizontal="center" vertical="center"/>
      <protection locked="0"/>
    </xf>
    <xf numFmtId="14" fontId="0" fillId="7" borderId="0" xfId="0" applyNumberFormat="1" applyFont="1" applyFill="1" applyProtection="1">
      <protection locked="0"/>
    </xf>
    <xf numFmtId="0" fontId="0" fillId="7" borderId="0" xfId="0" applyFont="1" applyFill="1"/>
    <xf numFmtId="0" fontId="1" fillId="7" borderId="0" xfId="0" applyFont="1" applyFill="1" applyProtection="1">
      <protection locked="0"/>
    </xf>
    <xf numFmtId="0" fontId="19" fillId="9" borderId="32" xfId="0" applyFont="1" applyFill="1" applyBorder="1" applyAlignment="1" applyProtection="1">
      <alignment horizontal="center" vertical="center"/>
    </xf>
    <xf numFmtId="0" fontId="13" fillId="7" borderId="0" xfId="0" applyFont="1" applyFill="1"/>
    <xf numFmtId="0" fontId="0" fillId="0" borderId="0" xfId="0" applyBorder="1" applyAlignment="1">
      <alignment horizontal="left" vertical="top" wrapText="1"/>
    </xf>
    <xf numFmtId="0" fontId="24" fillId="7" borderId="0" xfId="0" applyFont="1" applyFill="1"/>
    <xf numFmtId="0" fontId="20" fillId="8" borderId="39" xfId="0" applyFont="1" applyFill="1" applyBorder="1" applyAlignment="1">
      <alignment horizontal="center" vertical="center" wrapText="1"/>
    </xf>
    <xf numFmtId="0" fontId="21" fillId="8" borderId="39" xfId="0" applyFont="1" applyFill="1" applyBorder="1" applyAlignment="1">
      <alignment horizontal="center" vertical="center" wrapText="1"/>
    </xf>
    <xf numFmtId="0" fontId="20" fillId="8" borderId="36" xfId="0" applyFont="1" applyFill="1" applyBorder="1" applyAlignment="1">
      <alignment horizontal="center" vertical="top" wrapText="1"/>
    </xf>
    <xf numFmtId="0" fontId="20" fillId="8" borderId="39" xfId="0" applyFont="1" applyFill="1" applyBorder="1" applyAlignment="1" applyProtection="1">
      <alignment horizontal="center" vertical="center" wrapText="1"/>
    </xf>
    <xf numFmtId="0" fontId="20" fillId="8" borderId="40" xfId="0" applyFont="1" applyFill="1" applyBorder="1" applyAlignment="1">
      <alignment horizontal="center" vertical="center" wrapText="1"/>
    </xf>
    <xf numFmtId="0" fontId="26" fillId="8" borderId="41" xfId="0" applyFont="1" applyFill="1" applyBorder="1" applyAlignment="1">
      <alignment horizontal="center" vertical="center" wrapText="1"/>
    </xf>
    <xf numFmtId="0" fontId="20" fillId="8" borderId="38" xfId="0" applyFont="1" applyFill="1" applyBorder="1" applyAlignment="1">
      <alignment horizontal="center" vertical="top" wrapText="1"/>
    </xf>
    <xf numFmtId="0" fontId="20" fillId="8" borderId="37" xfId="0" applyFont="1" applyFill="1" applyBorder="1" applyAlignment="1">
      <alignment horizontal="center" vertical="top" wrapText="1"/>
    </xf>
    <xf numFmtId="0" fontId="22" fillId="0" borderId="43" xfId="0" applyFont="1" applyFill="1" applyBorder="1" applyAlignment="1" applyProtection="1">
      <alignment horizontal="center" vertical="top" wrapText="1"/>
      <protection locked="0"/>
    </xf>
    <xf numFmtId="0" fontId="22" fillId="0" borderId="43" xfId="0" applyFont="1" applyFill="1" applyBorder="1" applyAlignment="1" applyProtection="1">
      <alignment horizontal="left" vertical="top" wrapText="1"/>
      <protection locked="0"/>
    </xf>
    <xf numFmtId="14" fontId="22" fillId="0" borderId="43" xfId="0" applyNumberFormat="1" applyFont="1" applyFill="1" applyBorder="1" applyAlignment="1" applyProtection="1">
      <alignment horizontal="center" vertical="top" wrapText="1"/>
      <protection locked="0"/>
    </xf>
    <xf numFmtId="0" fontId="22" fillId="0" borderId="43" xfId="0" applyNumberFormat="1" applyFont="1" applyFill="1" applyBorder="1" applyAlignment="1" applyProtection="1">
      <alignment horizontal="center" vertical="top" wrapText="1"/>
    </xf>
    <xf numFmtId="1" fontId="22" fillId="0" borderId="43" xfId="0" applyNumberFormat="1" applyFont="1" applyFill="1" applyBorder="1" applyAlignment="1" applyProtection="1">
      <alignment horizontal="center" vertical="top" wrapText="1"/>
    </xf>
    <xf numFmtId="14" fontId="22" fillId="0" borderId="43" xfId="0" applyNumberFormat="1" applyFont="1" applyFill="1" applyBorder="1" applyAlignment="1" applyProtection="1">
      <alignment horizontal="center" vertical="top" wrapText="1"/>
    </xf>
    <xf numFmtId="0" fontId="22" fillId="0" borderId="42" xfId="0" applyFont="1" applyFill="1" applyBorder="1" applyAlignment="1" applyProtection="1">
      <alignment horizontal="center" vertical="top" wrapText="1"/>
      <protection locked="0"/>
    </xf>
    <xf numFmtId="49" fontId="22" fillId="0" borderId="42" xfId="0" applyNumberFormat="1" applyFont="1" applyFill="1" applyBorder="1" applyAlignment="1" applyProtection="1">
      <alignment horizontal="center" vertical="top" wrapText="1"/>
      <protection locked="0"/>
    </xf>
    <xf numFmtId="49" fontId="22" fillId="0" borderId="43" xfId="0" applyNumberFormat="1" applyFont="1" applyFill="1" applyBorder="1" applyAlignment="1" applyProtection="1">
      <alignment horizontal="center" vertical="top" wrapText="1"/>
      <protection locked="0"/>
    </xf>
    <xf numFmtId="1" fontId="22" fillId="0" borderId="43" xfId="0" applyNumberFormat="1" applyFont="1" applyFill="1" applyBorder="1" applyAlignment="1" applyProtection="1">
      <alignment horizontal="center" vertical="top" wrapText="1"/>
      <protection locked="0"/>
    </xf>
    <xf numFmtId="49" fontId="22" fillId="0" borderId="43" xfId="0" quotePrefix="1" applyNumberFormat="1" applyFont="1" applyFill="1" applyBorder="1" applyAlignment="1" applyProtection="1">
      <alignment horizontal="center" vertical="top" wrapText="1"/>
      <protection locked="0"/>
    </xf>
    <xf numFmtId="0" fontId="22" fillId="0" borderId="43" xfId="0" applyFont="1" applyBorder="1" applyAlignment="1">
      <alignment horizontal="center" vertical="top" wrapText="1"/>
    </xf>
    <xf numFmtId="0" fontId="22" fillId="0" borderId="43" xfId="0" applyFont="1" applyBorder="1" applyAlignment="1">
      <alignment horizontal="left" vertical="top" wrapText="1"/>
    </xf>
    <xf numFmtId="14" fontId="22" fillId="0" borderId="43" xfId="0" applyNumberFormat="1" applyFont="1" applyBorder="1" applyAlignment="1">
      <alignment horizontal="center" vertical="top" wrapText="1"/>
    </xf>
    <xf numFmtId="1" fontId="22" fillId="0" borderId="43" xfId="0" applyNumberFormat="1" applyFont="1" applyBorder="1" applyAlignment="1">
      <alignment horizontal="center" vertical="top" wrapText="1"/>
    </xf>
    <xf numFmtId="14" fontId="22" fillId="0" borderId="43" xfId="0" applyNumberFormat="1" applyFont="1" applyBorder="1" applyAlignment="1" applyProtection="1">
      <alignment horizontal="center" vertical="top" wrapText="1"/>
    </xf>
    <xf numFmtId="49" fontId="22" fillId="0" borderId="43" xfId="0" applyNumberFormat="1" applyFont="1" applyBorder="1" applyAlignment="1">
      <alignment horizontal="center" vertical="top" wrapText="1"/>
    </xf>
    <xf numFmtId="0" fontId="22" fillId="10" borderId="45" xfId="0" applyFont="1" applyFill="1" applyBorder="1" applyAlignment="1" applyProtection="1">
      <alignment horizontal="center" vertical="top" wrapText="1"/>
      <protection locked="0"/>
    </xf>
    <xf numFmtId="0" fontId="22" fillId="10" borderId="46" xfId="0" applyFont="1" applyFill="1" applyBorder="1" applyAlignment="1" applyProtection="1">
      <alignment horizontal="center" vertical="top" wrapText="1"/>
      <protection locked="0"/>
    </xf>
    <xf numFmtId="0" fontId="22" fillId="10" borderId="47" xfId="0" applyFont="1" applyFill="1" applyBorder="1" applyAlignment="1" applyProtection="1">
      <alignment horizontal="center" vertical="top" wrapText="1"/>
      <protection locked="0"/>
    </xf>
    <xf numFmtId="0" fontId="25" fillId="10" borderId="46" xfId="0" applyFont="1" applyFill="1" applyBorder="1" applyAlignment="1" applyProtection="1">
      <alignment horizontal="center" vertical="top" wrapText="1"/>
      <protection locked="0"/>
    </xf>
    <xf numFmtId="0" fontId="25" fillId="0" borderId="43" xfId="0" applyFont="1" applyBorder="1" applyAlignment="1">
      <alignment horizontal="center" vertical="top" wrapText="1"/>
    </xf>
    <xf numFmtId="14" fontId="25" fillId="0" borderId="43" xfId="0" applyNumberFormat="1" applyFont="1" applyBorder="1" applyAlignment="1">
      <alignment horizontal="center" vertical="top" wrapText="1"/>
    </xf>
    <xf numFmtId="1" fontId="25" fillId="0" borderId="43" xfId="0" applyNumberFormat="1" applyFont="1" applyBorder="1" applyAlignment="1">
      <alignment horizontal="center" vertical="top" wrapText="1"/>
    </xf>
    <xf numFmtId="14" fontId="25" fillId="0" borderId="43" xfId="0" applyNumberFormat="1" applyFont="1" applyBorder="1" applyAlignment="1" applyProtection="1">
      <alignment horizontal="center" vertical="top" wrapText="1"/>
    </xf>
    <xf numFmtId="49" fontId="25" fillId="0" borderId="43" xfId="0" applyNumberFormat="1" applyFont="1" applyBorder="1" applyAlignment="1">
      <alignment horizontal="center" vertical="top" wrapText="1"/>
    </xf>
    <xf numFmtId="0" fontId="23" fillId="7" borderId="0" xfId="0" applyFont="1" applyFill="1" applyAlignment="1">
      <alignment vertical="center"/>
    </xf>
    <xf numFmtId="0" fontId="23" fillId="7" borderId="0" xfId="0" applyFont="1" applyFill="1" applyAlignment="1">
      <alignment horizontal="center" vertical="center"/>
    </xf>
    <xf numFmtId="0" fontId="27" fillId="7" borderId="0" xfId="0" applyFont="1" applyFill="1"/>
    <xf numFmtId="0" fontId="28" fillId="7" borderId="0" xfId="0" applyFont="1" applyFill="1"/>
    <xf numFmtId="0" fontId="29" fillId="7" borderId="0" xfId="0" applyFont="1" applyFill="1"/>
    <xf numFmtId="0" fontId="30" fillId="7" borderId="0" xfId="0" applyFont="1" applyFill="1"/>
    <xf numFmtId="0" fontId="27" fillId="7" borderId="0" xfId="0" applyFont="1" applyFill="1" applyAlignment="1">
      <alignment horizontal="left" vertical="center"/>
    </xf>
    <xf numFmtId="0" fontId="28" fillId="7" borderId="0" xfId="0" applyFont="1" applyFill="1" applyAlignment="1">
      <alignment horizontal="left" vertical="center"/>
    </xf>
    <xf numFmtId="0" fontId="31" fillId="7" borderId="0" xfId="0" applyFont="1" applyFill="1"/>
    <xf numFmtId="0" fontId="0" fillId="7" borderId="0" xfId="0" applyFill="1"/>
    <xf numFmtId="0" fontId="22" fillId="0" borderId="44" xfId="0" applyFont="1" applyFill="1" applyBorder="1" applyAlignment="1" applyProtection="1">
      <alignment horizontal="center" vertical="top" wrapText="1"/>
      <protection locked="0"/>
    </xf>
    <xf numFmtId="0" fontId="22" fillId="0" borderId="44" xfId="0" applyFont="1" applyFill="1" applyBorder="1" applyAlignment="1" applyProtection="1">
      <alignment horizontal="left" vertical="top" wrapText="1"/>
      <protection locked="0"/>
    </xf>
    <xf numFmtId="14" fontId="22" fillId="0" borderId="44" xfId="0" applyNumberFormat="1" applyFont="1" applyFill="1" applyBorder="1" applyAlignment="1" applyProtection="1">
      <alignment horizontal="center" vertical="top" wrapText="1"/>
      <protection locked="0"/>
    </xf>
    <xf numFmtId="0" fontId="22" fillId="0" borderId="44" xfId="0" applyNumberFormat="1" applyFont="1" applyFill="1" applyBorder="1" applyAlignment="1" applyProtection="1">
      <alignment horizontal="center" vertical="top" wrapText="1"/>
    </xf>
    <xf numFmtId="1" fontId="22" fillId="0" borderId="44" xfId="0" applyNumberFormat="1" applyFont="1" applyFill="1" applyBorder="1" applyAlignment="1" applyProtection="1">
      <alignment horizontal="center" vertical="top" wrapText="1"/>
    </xf>
    <xf numFmtId="14" fontId="22" fillId="0" borderId="44" xfId="0" applyNumberFormat="1" applyFont="1" applyFill="1" applyBorder="1" applyAlignment="1" applyProtection="1">
      <alignment horizontal="center" vertical="top" wrapText="1"/>
    </xf>
    <xf numFmtId="49" fontId="22" fillId="0" borderId="44" xfId="0" applyNumberFormat="1" applyFont="1" applyFill="1" applyBorder="1" applyAlignment="1" applyProtection="1">
      <alignment horizontal="center" vertical="top" wrapText="1"/>
      <protection locked="0"/>
    </xf>
    <xf numFmtId="0" fontId="33" fillId="7" borderId="0" xfId="0" applyFont="1" applyFill="1"/>
    <xf numFmtId="0" fontId="22" fillId="7" borderId="0" xfId="0" applyFont="1" applyFill="1"/>
    <xf numFmtId="0" fontId="32" fillId="0" borderId="43" xfId="0" applyFont="1" applyFill="1" applyBorder="1" applyAlignment="1" applyProtection="1">
      <alignment horizontal="center" vertical="top" wrapText="1"/>
      <protection locked="0"/>
    </xf>
    <xf numFmtId="0" fontId="32" fillId="0" borderId="43" xfId="0" applyFont="1" applyFill="1" applyBorder="1" applyAlignment="1" applyProtection="1">
      <alignment horizontal="left" vertical="top" wrapText="1"/>
      <protection locked="0"/>
    </xf>
    <xf numFmtId="14" fontId="32" fillId="0" borderId="43" xfId="0" applyNumberFormat="1" applyFont="1" applyFill="1" applyBorder="1" applyAlignment="1" applyProtection="1">
      <alignment horizontal="center" vertical="top" wrapText="1"/>
      <protection locked="0"/>
    </xf>
    <xf numFmtId="0" fontId="32" fillId="0" borderId="43" xfId="0" applyNumberFormat="1" applyFont="1" applyFill="1" applyBorder="1" applyAlignment="1" applyProtection="1">
      <alignment horizontal="center" vertical="top" wrapText="1"/>
    </xf>
    <xf numFmtId="1" fontId="32" fillId="0" borderId="43" xfId="0" applyNumberFormat="1" applyFont="1" applyFill="1" applyBorder="1" applyAlignment="1" applyProtection="1">
      <alignment horizontal="center" vertical="top" wrapText="1"/>
    </xf>
    <xf numFmtId="14" fontId="32" fillId="0" borderId="43" xfId="0" applyNumberFormat="1" applyFont="1" applyFill="1" applyBorder="1" applyAlignment="1" applyProtection="1">
      <alignment horizontal="center" vertical="top" wrapText="1"/>
    </xf>
    <xf numFmtId="49" fontId="32" fillId="0" borderId="43" xfId="0" applyNumberFormat="1" applyFont="1" applyFill="1" applyBorder="1" applyAlignment="1" applyProtection="1">
      <alignment horizontal="center" vertical="top" wrapText="1"/>
      <protection locked="0"/>
    </xf>
    <xf numFmtId="0" fontId="32" fillId="10" borderId="46" xfId="0" applyFont="1" applyFill="1" applyBorder="1" applyAlignment="1" applyProtection="1">
      <alignment horizontal="center" vertical="top" wrapText="1"/>
      <protection locked="0"/>
    </xf>
    <xf numFmtId="0" fontId="17" fillId="9" borderId="33" xfId="0" applyFont="1" applyFill="1" applyBorder="1" applyProtection="1"/>
    <xf numFmtId="0" fontId="0" fillId="7" borderId="0" xfId="0" applyFill="1" applyAlignment="1" applyProtection="1">
      <alignment vertical="center"/>
    </xf>
    <xf numFmtId="0" fontId="0" fillId="7" borderId="0" xfId="0" applyFill="1" applyAlignment="1" applyProtection="1">
      <alignment horizontal="center" vertical="center" wrapText="1"/>
    </xf>
    <xf numFmtId="0" fontId="22" fillId="10" borderId="48" xfId="0" applyFont="1" applyFill="1" applyBorder="1" applyAlignment="1" applyProtection="1">
      <alignment horizontal="center" vertical="top" wrapText="1"/>
      <protection locked="0"/>
    </xf>
    <xf numFmtId="0" fontId="22" fillId="0" borderId="0" xfId="0" applyFont="1" applyFill="1" applyBorder="1" applyAlignment="1" applyProtection="1">
      <alignment horizontal="center" vertical="top" wrapText="1"/>
      <protection locked="0"/>
    </xf>
    <xf numFmtId="0" fontId="35" fillId="0" borderId="43" xfId="0" applyFont="1" applyFill="1" applyBorder="1" applyAlignment="1" applyProtection="1">
      <alignment horizontal="center" vertical="top" wrapText="1"/>
      <protection locked="0"/>
    </xf>
    <xf numFmtId="0" fontId="35" fillId="0" borderId="43" xfId="0" applyFont="1" applyFill="1" applyBorder="1" applyAlignment="1" applyProtection="1">
      <alignment horizontal="left" vertical="top" wrapText="1"/>
      <protection locked="0"/>
    </xf>
    <xf numFmtId="14" fontId="35" fillId="0" borderId="43" xfId="0" applyNumberFormat="1" applyFont="1" applyFill="1" applyBorder="1" applyAlignment="1" applyProtection="1">
      <alignment horizontal="center" vertical="top" wrapText="1"/>
      <protection locked="0"/>
    </xf>
    <xf numFmtId="0" fontId="35" fillId="0" borderId="43" xfId="0" applyNumberFormat="1" applyFont="1" applyFill="1" applyBorder="1" applyAlignment="1" applyProtection="1">
      <alignment horizontal="center" vertical="top" wrapText="1"/>
    </xf>
    <xf numFmtId="1" fontId="35" fillId="0" borderId="43" xfId="0" applyNumberFormat="1" applyFont="1" applyFill="1" applyBorder="1" applyAlignment="1" applyProtection="1">
      <alignment horizontal="center" vertical="top" wrapText="1"/>
    </xf>
    <xf numFmtId="14" fontId="35" fillId="0" borderId="43" xfId="0" applyNumberFormat="1" applyFont="1" applyFill="1" applyBorder="1" applyAlignment="1" applyProtection="1">
      <alignment horizontal="center" vertical="top" wrapText="1"/>
    </xf>
    <xf numFmtId="49" fontId="35" fillId="0" borderId="43" xfId="0" applyNumberFormat="1" applyFont="1" applyFill="1" applyBorder="1" applyAlignment="1" applyProtection="1">
      <alignment horizontal="center" vertical="top" wrapText="1"/>
      <protection locked="0"/>
    </xf>
    <xf numFmtId="0" fontId="35" fillId="10" borderId="46" xfId="0" applyFont="1" applyFill="1" applyBorder="1" applyAlignment="1" applyProtection="1">
      <alignment horizontal="center" vertical="top" wrapText="1"/>
      <protection locked="0"/>
    </xf>
    <xf numFmtId="0" fontId="36" fillId="8" borderId="36" xfId="0" applyFont="1" applyFill="1" applyBorder="1" applyAlignment="1">
      <alignment horizontal="center" vertical="center" wrapText="1"/>
    </xf>
    <xf numFmtId="0" fontId="37" fillId="10" borderId="42" xfId="0" applyNumberFormat="1" applyFont="1" applyFill="1" applyBorder="1" applyAlignment="1" applyProtection="1">
      <alignment horizontal="center" vertical="top" wrapText="1"/>
    </xf>
    <xf numFmtId="0" fontId="37" fillId="10" borderId="43" xfId="0" applyNumberFormat="1" applyFont="1" applyFill="1" applyBorder="1" applyAlignment="1" applyProtection="1">
      <alignment horizontal="center" vertical="top" wrapText="1"/>
    </xf>
    <xf numFmtId="0" fontId="37" fillId="10" borderId="43" xfId="0" applyFont="1" applyFill="1" applyBorder="1" applyAlignment="1">
      <alignment horizontal="center" vertical="top" wrapText="1"/>
    </xf>
    <xf numFmtId="0" fontId="37" fillId="10" borderId="44" xfId="0" applyNumberFormat="1" applyFont="1" applyFill="1" applyBorder="1" applyAlignment="1" applyProtection="1">
      <alignment horizontal="center" vertical="top" wrapText="1"/>
    </xf>
    <xf numFmtId="0" fontId="37" fillId="10" borderId="0" xfId="0" applyNumberFormat="1" applyFont="1" applyFill="1" applyBorder="1" applyAlignment="1" applyProtection="1">
      <alignment horizontal="center" vertical="top" wrapText="1"/>
    </xf>
    <xf numFmtId="0" fontId="38" fillId="10" borderId="43" xfId="0" applyNumberFormat="1" applyFont="1" applyFill="1" applyBorder="1" applyAlignment="1" applyProtection="1">
      <alignment horizontal="center" vertical="top" wrapText="1"/>
    </xf>
    <xf numFmtId="1" fontId="22" fillId="0" borderId="44" xfId="0" applyNumberFormat="1" applyFont="1" applyFill="1" applyBorder="1" applyAlignment="1" applyProtection="1">
      <alignment horizontal="center" vertical="top" wrapText="1"/>
      <protection locked="0"/>
    </xf>
    <xf numFmtId="0" fontId="40" fillId="10" borderId="48" xfId="0" applyFont="1" applyFill="1" applyBorder="1" applyAlignment="1" applyProtection="1">
      <alignment horizontal="center" vertical="top" wrapText="1"/>
      <protection locked="0"/>
    </xf>
    <xf numFmtId="0" fontId="40" fillId="0" borderId="0" xfId="0" applyFont="1" applyFill="1" applyBorder="1" applyAlignment="1" applyProtection="1">
      <alignment horizontal="center" vertical="top" wrapText="1"/>
      <protection locked="0"/>
    </xf>
    <xf numFmtId="0" fontId="40" fillId="0" borderId="0" xfId="0" applyFont="1" applyFill="1" applyBorder="1" applyAlignment="1" applyProtection="1">
      <alignment horizontal="left" vertical="top" wrapText="1"/>
      <protection locked="0"/>
    </xf>
    <xf numFmtId="14" fontId="40" fillId="0" borderId="0" xfId="0" applyNumberFormat="1" applyFont="1" applyFill="1" applyBorder="1" applyAlignment="1" applyProtection="1">
      <alignment horizontal="center" vertical="top" wrapText="1"/>
      <protection locked="0"/>
    </xf>
    <xf numFmtId="0" fontId="40" fillId="0" borderId="0" xfId="0" applyNumberFormat="1" applyFont="1" applyFill="1" applyBorder="1" applyAlignment="1" applyProtection="1">
      <alignment horizontal="center" vertical="top" wrapText="1"/>
    </xf>
    <xf numFmtId="1" fontId="40" fillId="0" borderId="0" xfId="0" applyNumberFormat="1" applyFont="1" applyFill="1" applyBorder="1" applyAlignment="1" applyProtection="1">
      <alignment horizontal="center" vertical="top" wrapText="1"/>
    </xf>
    <xf numFmtId="14" fontId="40" fillId="0" borderId="0" xfId="0" applyNumberFormat="1" applyFont="1" applyFill="1" applyBorder="1" applyAlignment="1" applyProtection="1">
      <alignment horizontal="center" vertical="top" wrapText="1"/>
    </xf>
    <xf numFmtId="49" fontId="40" fillId="0" borderId="0" xfId="0" applyNumberFormat="1" applyFont="1" applyFill="1" applyBorder="1" applyAlignment="1" applyProtection="1">
      <alignment horizontal="center" vertical="top" wrapText="1"/>
      <protection locked="0"/>
    </xf>
    <xf numFmtId="0" fontId="40" fillId="0" borderId="0" xfId="0" applyFont="1" applyFill="1" applyAlignment="1" applyProtection="1">
      <alignment horizontal="center" vertical="top" wrapText="1"/>
      <protection locked="0"/>
    </xf>
    <xf numFmtId="14" fontId="22" fillId="0" borderId="43" xfId="0" applyNumberFormat="1" applyFont="1" applyFill="1" applyBorder="1" applyAlignment="1" applyProtection="1">
      <alignment horizontal="center" vertical="center" wrapText="1"/>
      <protection locked="0"/>
    </xf>
    <xf numFmtId="14" fontId="40" fillId="0" borderId="0" xfId="0" applyNumberFormat="1" applyFont="1" applyFill="1" applyBorder="1" applyAlignment="1" applyProtection="1">
      <alignment horizontal="center" vertical="center" wrapText="1"/>
      <protection locked="0"/>
    </xf>
    <xf numFmtId="0" fontId="39" fillId="10" borderId="43" xfId="0" applyNumberFormat="1" applyFont="1" applyFill="1" applyBorder="1" applyAlignment="1" applyProtection="1">
      <alignment horizontal="center" vertical="top" wrapText="1"/>
    </xf>
    <xf numFmtId="0" fontId="40" fillId="10" borderId="46" xfId="0" applyFont="1" applyFill="1" applyBorder="1" applyAlignment="1" applyProtection="1">
      <alignment horizontal="center" vertical="top" wrapText="1"/>
      <protection locked="0"/>
    </xf>
    <xf numFmtId="0" fontId="40" fillId="0" borderId="43" xfId="0" applyFont="1" applyFill="1" applyBorder="1" applyAlignment="1" applyProtection="1">
      <alignment horizontal="center" vertical="top" wrapText="1"/>
      <protection locked="0"/>
    </xf>
    <xf numFmtId="0" fontId="40" fillId="0" borderId="43" xfId="0" applyFont="1" applyFill="1" applyBorder="1" applyAlignment="1" applyProtection="1">
      <alignment horizontal="left" vertical="top" wrapText="1"/>
      <protection locked="0"/>
    </xf>
    <xf numFmtId="0" fontId="22" fillId="0" borderId="0" xfId="0" applyFont="1" applyFill="1" applyBorder="1" applyAlignment="1" applyProtection="1">
      <alignment horizontal="left" vertical="top" wrapText="1"/>
      <protection locked="0"/>
    </xf>
    <xf numFmtId="14" fontId="40" fillId="0" borderId="43" xfId="0" applyNumberFormat="1" applyFont="1" applyFill="1" applyBorder="1" applyAlignment="1" applyProtection="1">
      <alignment horizontal="center" vertical="top" wrapText="1"/>
      <protection locked="0"/>
    </xf>
    <xf numFmtId="14" fontId="22" fillId="0" borderId="0" xfId="0" applyNumberFormat="1" applyFont="1" applyFill="1" applyBorder="1" applyAlignment="1" applyProtection="1">
      <alignment horizontal="center" vertical="top" wrapText="1"/>
      <protection locked="0"/>
    </xf>
    <xf numFmtId="0" fontId="40" fillId="0" borderId="43" xfId="0" applyNumberFormat="1" applyFont="1" applyFill="1" applyBorder="1" applyAlignment="1" applyProtection="1">
      <alignment horizontal="center" vertical="top" wrapText="1"/>
    </xf>
    <xf numFmtId="0" fontId="22" fillId="0" borderId="0" xfId="0" applyNumberFormat="1" applyFont="1" applyFill="1" applyBorder="1" applyAlignment="1" applyProtection="1">
      <alignment horizontal="center" vertical="top" wrapText="1"/>
    </xf>
    <xf numFmtId="1" fontId="40" fillId="0" borderId="43" xfId="0" applyNumberFormat="1" applyFont="1" applyFill="1" applyBorder="1" applyAlignment="1" applyProtection="1">
      <alignment horizontal="center" vertical="top" wrapText="1"/>
    </xf>
    <xf numFmtId="1" fontId="22" fillId="0" borderId="0" xfId="0" applyNumberFormat="1" applyFont="1" applyFill="1" applyBorder="1" applyAlignment="1" applyProtection="1">
      <alignment horizontal="center" vertical="top" wrapText="1"/>
    </xf>
    <xf numFmtId="1" fontId="22" fillId="0" borderId="0" xfId="0" applyNumberFormat="1" applyFont="1" applyFill="1" applyBorder="1" applyAlignment="1" applyProtection="1">
      <alignment horizontal="center" vertical="top" wrapText="1"/>
      <protection locked="0"/>
    </xf>
    <xf numFmtId="14" fontId="40" fillId="0" borderId="43" xfId="0" applyNumberFormat="1" applyFont="1" applyFill="1" applyBorder="1" applyAlignment="1" applyProtection="1">
      <alignment horizontal="center" vertical="top" wrapText="1"/>
    </xf>
    <xf numFmtId="14" fontId="22" fillId="0" borderId="0" xfId="0" applyNumberFormat="1" applyFont="1" applyFill="1" applyBorder="1" applyAlignment="1" applyProtection="1">
      <alignment horizontal="center" vertical="top" wrapText="1"/>
    </xf>
    <xf numFmtId="14" fontId="40" fillId="0" borderId="43" xfId="0" applyNumberFormat="1" applyFont="1" applyFill="1" applyBorder="1" applyAlignment="1" applyProtection="1">
      <alignment horizontal="center" vertical="center" wrapText="1"/>
      <protection locked="0"/>
    </xf>
    <xf numFmtId="14" fontId="22" fillId="0" borderId="0" xfId="0" applyNumberFormat="1" applyFont="1" applyFill="1" applyBorder="1" applyAlignment="1" applyProtection="1">
      <alignment horizontal="center" vertical="center" wrapText="1"/>
      <protection locked="0"/>
    </xf>
    <xf numFmtId="49" fontId="40" fillId="0" borderId="43" xfId="0" applyNumberFormat="1" applyFont="1" applyFill="1" applyBorder="1" applyAlignment="1" applyProtection="1">
      <alignment horizontal="center" vertical="top" wrapText="1"/>
      <protection locked="0"/>
    </xf>
    <xf numFmtId="49" fontId="22" fillId="0" borderId="0" xfId="0" applyNumberFormat="1" applyFont="1" applyFill="1" applyBorder="1" applyAlignment="1" applyProtection="1">
      <alignment horizontal="center" vertical="top" wrapText="1"/>
      <protection locked="0"/>
    </xf>
    <xf numFmtId="0" fontId="39" fillId="10" borderId="0" xfId="0" applyNumberFormat="1" applyFont="1" applyFill="1" applyBorder="1" applyAlignment="1" applyProtection="1">
      <alignment horizontal="center" vertical="top" wrapText="1"/>
    </xf>
    <xf numFmtId="0" fontId="39" fillId="10" borderId="0" xfId="0" applyNumberFormat="1" applyFont="1" applyFill="1" applyAlignment="1" applyProtection="1">
      <alignment horizontal="center" vertical="top" wrapText="1"/>
    </xf>
    <xf numFmtId="0" fontId="40" fillId="0" borderId="0" xfId="0" applyFont="1" applyFill="1" applyAlignment="1" applyProtection="1">
      <alignment horizontal="left" vertical="top" wrapText="1"/>
      <protection locked="0"/>
    </xf>
    <xf numFmtId="14" fontId="40" fillId="0" borderId="0" xfId="0" applyNumberFormat="1" applyFont="1" applyFill="1" applyAlignment="1" applyProtection="1">
      <alignment horizontal="center" vertical="top" wrapText="1"/>
      <protection locked="0"/>
    </xf>
    <xf numFmtId="0" fontId="40" fillId="0" borderId="0" xfId="0" applyNumberFormat="1" applyFont="1" applyFill="1" applyAlignment="1" applyProtection="1">
      <alignment horizontal="center" vertical="top" wrapText="1"/>
    </xf>
    <xf numFmtId="1" fontId="40" fillId="0" borderId="0" xfId="0" applyNumberFormat="1" applyFont="1" applyFill="1" applyAlignment="1" applyProtection="1">
      <alignment horizontal="center" vertical="top" wrapText="1"/>
    </xf>
    <xf numFmtId="14" fontId="40" fillId="0" borderId="0" xfId="0" applyNumberFormat="1" applyFont="1" applyFill="1" applyAlignment="1" applyProtection="1">
      <alignment horizontal="center" vertical="top" wrapText="1"/>
    </xf>
    <xf numFmtId="49" fontId="40" fillId="0" borderId="0" xfId="0" applyNumberFormat="1" applyFont="1" applyFill="1" applyAlignment="1" applyProtection="1">
      <alignment horizontal="center" vertical="top" wrapText="1"/>
      <protection locked="0"/>
    </xf>
    <xf numFmtId="49" fontId="27" fillId="7" borderId="0" xfId="0" applyNumberFormat="1" applyFont="1" applyFill="1" applyAlignment="1">
      <alignment horizontal="left" vertical="center"/>
    </xf>
    <xf numFmtId="0" fontId="15" fillId="7" borderId="0" xfId="0" applyFont="1" applyFill="1" applyAlignment="1">
      <alignment horizontal="center" vertical="center"/>
    </xf>
    <xf numFmtId="0" fontId="23" fillId="7" borderId="0" xfId="0" applyFont="1" applyFill="1" applyAlignment="1">
      <alignment horizontal="center" vertical="center"/>
    </xf>
    <xf numFmtId="0" fontId="16" fillId="7" borderId="0" xfId="0" applyFont="1" applyFill="1" applyBorder="1" applyAlignment="1" applyProtection="1">
      <alignment horizontal="left" vertical="center"/>
      <protection locked="0"/>
    </xf>
    <xf numFmtId="0" fontId="16" fillId="7" borderId="0" xfId="0" applyFont="1" applyFill="1" applyBorder="1" applyAlignment="1" applyProtection="1">
      <alignment horizontal="center" vertical="center"/>
      <protection locked="0"/>
    </xf>
    <xf numFmtId="0" fontId="18" fillId="9" borderId="7" xfId="0" applyFont="1" applyFill="1" applyBorder="1" applyAlignment="1" applyProtection="1">
      <alignment horizontal="center" vertical="center"/>
    </xf>
    <xf numFmtId="0" fontId="18" fillId="9" borderId="31" xfId="0" applyFont="1" applyFill="1" applyBorder="1" applyAlignment="1" applyProtection="1">
      <alignment horizontal="center" vertical="center"/>
    </xf>
    <xf numFmtId="0" fontId="0" fillId="7" borderId="33" xfId="0" applyFont="1" applyFill="1" applyBorder="1" applyAlignment="1" applyProtection="1">
      <alignment horizontal="center"/>
    </xf>
    <xf numFmtId="0" fontId="0" fillId="7" borderId="34" xfId="0" applyFont="1" applyFill="1" applyBorder="1" applyAlignment="1" applyProtection="1">
      <alignment horizontal="center"/>
    </xf>
    <xf numFmtId="0" fontId="0" fillId="7" borderId="21" xfId="0" applyFont="1" applyFill="1" applyBorder="1" applyAlignment="1" applyProtection="1">
      <alignment horizontal="center"/>
    </xf>
    <xf numFmtId="0" fontId="0" fillId="7" borderId="35" xfId="0" applyFont="1" applyFill="1" applyBorder="1" applyAlignment="1" applyProtection="1">
      <alignment horizontal="center"/>
    </xf>
    <xf numFmtId="0" fontId="0" fillId="7" borderId="0" xfId="0" applyFont="1" applyFill="1" applyBorder="1" applyAlignment="1" applyProtection="1">
      <alignment horizontal="center"/>
    </xf>
    <xf numFmtId="0" fontId="0" fillId="7" borderId="30" xfId="0" applyFont="1" applyFill="1" applyBorder="1" applyAlignment="1" applyProtection="1">
      <alignment horizontal="center"/>
    </xf>
    <xf numFmtId="0" fontId="11" fillId="2" borderId="8"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1" fillId="5" borderId="18"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1" fillId="2" borderId="29" xfId="0" applyFont="1" applyFill="1" applyBorder="1" applyAlignment="1">
      <alignment horizontal="center" vertical="center" wrapText="1"/>
    </xf>
    <xf numFmtId="0" fontId="1" fillId="5" borderId="17" xfId="0" applyFont="1" applyFill="1" applyBorder="1" applyAlignment="1">
      <alignment horizontal="center" vertical="center" wrapText="1"/>
    </xf>
    <xf numFmtId="0" fontId="2" fillId="2" borderId="19" xfId="0" applyFont="1" applyFill="1" applyBorder="1" applyAlignment="1">
      <alignment horizontal="center" vertical="center" wrapText="1"/>
    </xf>
    <xf numFmtId="0" fontId="2" fillId="2" borderId="18" xfId="0" applyFont="1" applyFill="1" applyBorder="1" applyAlignment="1">
      <alignment horizontal="center" vertical="center" wrapText="1"/>
    </xf>
    <xf numFmtId="0" fontId="2" fillId="2" borderId="20" xfId="0" applyFont="1" applyFill="1" applyBorder="1" applyAlignment="1">
      <alignment horizontal="center" vertical="center" wrapText="1"/>
    </xf>
    <xf numFmtId="0" fontId="2" fillId="2" borderId="25" xfId="0" applyFont="1" applyFill="1" applyBorder="1" applyAlignment="1">
      <alignment horizontal="center" vertical="center" wrapText="1"/>
    </xf>
    <xf numFmtId="0" fontId="2" fillId="2" borderId="24" xfId="0" applyFont="1" applyFill="1" applyBorder="1" applyAlignment="1">
      <alignment horizontal="center" vertical="center" wrapText="1"/>
    </xf>
    <xf numFmtId="0" fontId="2" fillId="2" borderId="23" xfId="0" applyFont="1" applyFill="1" applyBorder="1" applyAlignment="1">
      <alignment horizontal="center" vertical="center" wrapText="1"/>
    </xf>
    <xf numFmtId="0" fontId="4" fillId="2" borderId="8"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4" fillId="2" borderId="10" xfId="0" applyFont="1" applyFill="1" applyBorder="1" applyAlignment="1">
      <alignment horizontal="center" vertical="center"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12" fillId="0" borderId="0" xfId="0" applyFont="1" applyAlignment="1">
      <alignment horizontal="center" vertical="center" wrapText="1"/>
    </xf>
  </cellXfs>
  <cellStyles count="1">
    <cellStyle name="Normal" xfId="0" builtinId="0"/>
  </cellStyles>
  <dxfs count="108">
    <dxf>
      <numFmt numFmtId="19" formatCode="m/d/yyyy"/>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19" formatCode="m/d/yyyy"/>
      <alignment horizontal="center" vertical="top" textRotation="0" wrapText="1" indent="0" justifyLastLine="0" shrinkToFit="0" readingOrder="0"/>
    </dxf>
    <dxf>
      <alignment horizontal="lef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center" textRotation="0" wrapText="1" indent="0" justifyLastLine="0" shrinkToFit="0" readingOrder="0"/>
    </dxf>
    <dxf>
      <border diagonalUp="0" diagonalDown="0">
        <left style="thick">
          <color auto="1"/>
        </left>
        <right style="thick">
          <color auto="1"/>
        </right>
        <top style="thick">
          <color auto="1"/>
        </top>
        <bottom style="thick">
          <color auto="1"/>
        </bottom>
      </border>
    </dxf>
    <dxf>
      <fill>
        <patternFill patternType="solid">
          <fgColor indexed="64"/>
          <bgColor theme="1" tint="0.499984740745262"/>
        </patternFill>
      </fill>
      <alignment horizontal="center" vertical="center" textRotation="0" wrapText="1" indent="0" justifyLastLine="0" shrinkToFit="0" readingOrder="0"/>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30" formatCode="@"/>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 formatCode="0"/>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0" formatCode="General"/>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sz val="11"/>
        <color theme="1"/>
        <name val="Century Gothic"/>
        <scheme val="none"/>
      </font>
      <fill>
        <patternFill patternType="none">
          <fgColor indexed="64"/>
          <bgColor indexed="65"/>
        </patternFill>
      </fill>
      <alignment horizontal="left"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b val="0"/>
        <strike val="0"/>
        <outline val="0"/>
        <shadow val="0"/>
        <u val="none"/>
        <vertAlign val="baseline"/>
        <sz val="11"/>
        <color theme="1"/>
        <name val="Century Gothic"/>
        <scheme val="none"/>
      </font>
      <fill>
        <patternFill patternType="solid">
          <fgColor indexed="64"/>
          <bgColor rgb="FFE8E8E8"/>
        </patternFill>
      </fill>
      <alignment horizontal="center" vertical="top" textRotation="0" wrapText="1" indent="0" justifyLastLine="0" shrinkToFit="0" readingOrder="0"/>
      <border diagonalUp="0" diagonalDown="0">
        <left/>
        <right style="thin">
          <color theme="0" tint="-0.499984740745262"/>
        </right>
        <top/>
        <bottom/>
        <vertical/>
        <horizontal/>
      </border>
      <protection locked="0" hidden="0"/>
    </dxf>
    <dxf>
      <font>
        <b val="0"/>
        <strike val="0"/>
        <outline val="0"/>
        <shadow val="0"/>
        <u val="none"/>
        <vertAlign val="baseline"/>
        <sz val="11.5"/>
        <color theme="1"/>
        <name val="Century Gothic"/>
        <scheme val="none"/>
      </font>
      <numFmt numFmtId="0" formatCode="General"/>
      <fill>
        <patternFill patternType="solid">
          <fgColor indexed="64"/>
          <bgColor rgb="FFE8E8E8"/>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alignment horizontal="center" vertical="top" textRotation="0" wrapText="1" indent="0" justifyLastLine="0" shrinkToFit="0" readingOrder="0"/>
    </dxf>
    <dxf>
      <border>
        <bottom style="thin">
          <color theme="0"/>
        </bottom>
      </border>
    </dxf>
    <dxf>
      <font>
        <strike val="0"/>
        <outline val="0"/>
        <shadow val="0"/>
        <u val="none"/>
        <vertAlign val="baseline"/>
        <sz val="11"/>
        <color theme="0"/>
        <name val="Century Gothic"/>
        <scheme val="none"/>
      </font>
      <alignment horizontal="center" vertical="top" textRotation="0" wrapText="1" indent="0" justifyLastLine="0" shrinkToFit="0" readingOrder="0"/>
      <border diagonalUp="0" diagonalDown="0" outline="0">
        <left style="thin">
          <color theme="0"/>
        </left>
        <right style="thin">
          <color theme="0"/>
        </right>
        <top/>
        <bottom/>
      </border>
    </dxf>
    <dxf>
      <font>
        <color theme="0"/>
      </font>
      <fill>
        <patternFill>
          <bgColor rgb="FFD26865"/>
        </patternFill>
      </fill>
    </dxf>
    <dxf>
      <font>
        <color theme="0"/>
      </font>
      <fill>
        <patternFill>
          <bgColor rgb="FFD26865"/>
        </patternFill>
      </fill>
    </dxf>
    <dxf>
      <font>
        <color theme="0"/>
      </font>
      <fill>
        <patternFill>
          <bgColor rgb="FFD26865"/>
        </patternFill>
      </fill>
    </dxf>
    <dxf>
      <font>
        <color theme="0"/>
      </font>
      <fill>
        <patternFill>
          <bgColor rgb="FFD26865"/>
        </patternFill>
      </fill>
    </dxf>
    <dxf>
      <font>
        <color theme="0"/>
      </font>
      <fill>
        <patternFill>
          <bgColor rgb="FFD26865"/>
        </patternFill>
      </fill>
    </dxf>
    <dxf>
      <fill>
        <patternFill>
          <bgColor rgb="FFFFFFAF"/>
        </patternFill>
      </fill>
    </dxf>
    <dxf>
      <fill>
        <patternFill>
          <bgColor rgb="FFCAE8AA"/>
        </patternFill>
      </fill>
    </dxf>
    <dxf>
      <font>
        <b val="0"/>
        <i val="0"/>
        <color rgb="FFD04340"/>
      </font>
    </dxf>
    <dxf>
      <font>
        <b val="0"/>
        <i/>
        <color theme="0" tint="-0.499984740745262"/>
      </font>
    </dxf>
    <dxf>
      <font>
        <color theme="0"/>
      </font>
      <fill>
        <patternFill>
          <bgColor rgb="FFD26865"/>
        </patternFill>
      </fill>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ill>
        <patternFill>
          <bgColor rgb="FFE4E4E4"/>
        </patternFill>
      </fill>
    </dxf>
    <dxf>
      <font>
        <b/>
        <color theme="1"/>
      </font>
      <border>
        <top style="thin">
          <color theme="1"/>
        </top>
      </border>
    </dxf>
    <dxf>
      <border diagonalUp="0" diagonalDown="0">
        <left/>
        <right/>
        <top/>
        <bottom/>
        <vertical/>
        <horizontal/>
      </border>
    </dxf>
    <dxf>
      <fill>
        <patternFill>
          <bgColor theme="0"/>
        </patternFill>
      </fill>
      <border diagonalUp="0" diagonalDown="0">
        <left/>
        <right/>
        <top/>
        <bottom/>
        <vertical/>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s>
  <tableStyles count="5" defaultTableStyle="TableStyleMedium9" defaultPivotStyle="PivotStyleLight16">
    <tableStyle name="TableStyleDark9 2" pivot="0" count="7">
      <tableStyleElement type="wholeTable" dxfId="107"/>
      <tableStyleElement type="headerRow" dxfId="106"/>
      <tableStyleElement type="totalRow" dxfId="105"/>
      <tableStyleElement type="firstColumn" dxfId="104"/>
      <tableStyleElement type="lastColumn" dxfId="103"/>
      <tableStyleElement type="firstRowStripe" dxfId="102"/>
      <tableStyleElement type="firstColumnStripe" dxfId="101"/>
    </tableStyle>
    <tableStyle name="TableStyleLight1 2" pivot="0" count="4">
      <tableStyleElement type="wholeTable" dxfId="100"/>
      <tableStyleElement type="headerRow" dxfId="99"/>
      <tableStyleElement type="totalRow" dxfId="98"/>
      <tableStyleElement type="firstRowStripe" dxfId="97"/>
    </tableStyle>
    <tableStyle name="TableStyleMedium16 2" pivot="0" count="7">
      <tableStyleElement type="wholeTable" dxfId="96"/>
      <tableStyleElement type="headerRow" dxfId="95"/>
      <tableStyleElement type="totalRow" dxfId="94"/>
      <tableStyleElement type="firstColumn" dxfId="93"/>
      <tableStyleElement type="lastColumn" dxfId="92"/>
      <tableStyleElement type="firstRowStripe" dxfId="91"/>
      <tableStyleElement type="firstColumnStripe" dxfId="90"/>
    </tableStyle>
    <tableStyle name="TableStyleMedium22 2" pivot="0" count="7">
      <tableStyleElement type="wholeTable" dxfId="89"/>
      <tableStyleElement type="headerRow" dxfId="88"/>
      <tableStyleElement type="totalRow" dxfId="87"/>
      <tableStyleElement type="firstColumn" dxfId="86"/>
      <tableStyleElement type="lastColumn" dxfId="85"/>
      <tableStyleElement type="firstRowStripe" dxfId="84"/>
      <tableStyleElement type="firstColumnStripe" dxfId="83"/>
    </tableStyle>
    <tableStyle name="TableStyleMedium23 2" pivot="0" count="8">
      <tableStyleElement type="wholeTable" dxfId="82"/>
      <tableStyleElement type="headerRow" dxfId="81"/>
      <tableStyleElement type="totalRow" dxfId="80"/>
      <tableStyleElement type="firstColumn" dxfId="79"/>
      <tableStyleElement type="lastColumn" dxfId="78"/>
      <tableStyleElement type="firstRowStripe" dxfId="77"/>
      <tableStyleElement type="firstColumnStripe" dxfId="76"/>
      <tableStyleElement type="secondColumnStripe" dxfId="75"/>
    </tableStyle>
  </tableStyles>
  <colors>
    <mruColors>
      <color rgb="FFCAE8AA"/>
      <color rgb="FFB8E08C"/>
      <color rgb="FFCCFFCC"/>
      <color rgb="FFAFFF8F"/>
      <color rgb="FFB0FEB9"/>
      <color rgb="FFD26865"/>
      <color rgb="FFFFFFAF"/>
      <color rgb="FFFFFF9B"/>
      <color rgb="FFFD67F2"/>
      <color rgb="FFE4736A"/>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4C599241-6926-101B-9992-00000B65C6F9}" ax:persistence="persistStreamInit" r:id="rId1"/>
</file>

<file path=xl/activeX/activeX4.xml><?xml version="1.0" encoding="utf-8"?>
<ax:ocx xmlns:ax="http://schemas.microsoft.com/office/2006/activeX" xmlns:r="http://schemas.openxmlformats.org/officeDocument/2006/relationships" ax:classid="{4C599241-6926-101B-9992-00000B65C6F9}"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activeX/activeX6.xml><?xml version="1.0" encoding="utf-8"?>
<ax:ocx xmlns:ax="http://schemas.microsoft.com/office/2006/activeX" xmlns:r="http://schemas.openxmlformats.org/officeDocument/2006/relationships" ax:classid="{4C599241-6926-101B-9992-00000B65C6F9}"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4C599241-6926-101B-9992-00000B65C6F9}"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7.emf"/><Relationship Id="rId3" Type="http://schemas.openxmlformats.org/officeDocument/2006/relationships/image" Target="../media/image16.emf"/><Relationship Id="rId7" Type="http://schemas.openxmlformats.org/officeDocument/2006/relationships/image" Target="../media/image13.emf"/><Relationship Id="rId12" Type="http://schemas.openxmlformats.org/officeDocument/2006/relationships/image" Target="../media/image8.emf"/><Relationship Id="rId2" Type="http://schemas.openxmlformats.org/officeDocument/2006/relationships/image" Target="../media/image15.emf"/><Relationship Id="rId16" Type="http://schemas.openxmlformats.org/officeDocument/2006/relationships/image" Target="../media/image4.emf"/><Relationship Id="rId1" Type="http://schemas.openxmlformats.org/officeDocument/2006/relationships/image" Target="../media/image19.emf"/><Relationship Id="rId6" Type="http://schemas.openxmlformats.org/officeDocument/2006/relationships/image" Target="../media/image14.emf"/><Relationship Id="rId11" Type="http://schemas.openxmlformats.org/officeDocument/2006/relationships/image" Target="../media/image9.emf"/><Relationship Id="rId5" Type="http://schemas.openxmlformats.org/officeDocument/2006/relationships/image" Target="../media/image18.emf"/><Relationship Id="rId1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17.emf"/><Relationship Id="rId9" Type="http://schemas.openxmlformats.org/officeDocument/2006/relationships/image" Target="../media/image11.emf"/><Relationship Id="rId1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oneCellAnchor>
    <xdr:from>
      <xdr:col>0</xdr:col>
      <xdr:colOff>452804</xdr:colOff>
      <xdr:row>0</xdr:row>
      <xdr:rowOff>0</xdr:rowOff>
    </xdr:from>
    <xdr:ext cx="5920080" cy="1150403"/>
    <xdr:grpSp>
      <xdr:nvGrpSpPr>
        <xdr:cNvPr id="2" name="Group 1"/>
        <xdr:cNvGrpSpPr>
          <a:grpSpLocks noChangeAspect="1"/>
        </xdr:cNvGrpSpPr>
      </xdr:nvGrpSpPr>
      <xdr:grpSpPr>
        <a:xfrm>
          <a:off x="452804" y="0"/>
          <a:ext cx="5920080" cy="1150403"/>
          <a:chOff x="671879" y="0"/>
          <a:chExt cx="6130001" cy="1170000"/>
        </a:xfrm>
      </xdr:grpSpPr>
      <xdr:pic>
        <xdr:nvPicPr>
          <xdr:cNvPr id="3" name="Picture 2" descr="Copy of WD RTA sheet header.jpg"/>
          <xdr:cNvPicPr>
            <a:picLocks noChangeAspect="1"/>
          </xdr:cNvPicPr>
        </xdr:nvPicPr>
        <xdr:blipFill>
          <a:blip xmlns:r="http://schemas.openxmlformats.org/officeDocument/2006/relationships" r:embed="rId1" cstate="print"/>
          <a:stretch>
            <a:fillRect/>
          </a:stretch>
        </xdr:blipFill>
        <xdr:spPr>
          <a:xfrm>
            <a:off x="671879" y="0"/>
            <a:ext cx="6130001" cy="1170000"/>
          </a:xfrm>
          <a:prstGeom prst="rect">
            <a:avLst/>
          </a:prstGeom>
          <a:ln>
            <a:noFill/>
          </a:ln>
          <a:effectLst>
            <a:outerShdw blurRad="292100" dist="139700" dir="2700000" algn="tl" rotWithShape="0">
              <a:srgbClr val="333333">
                <a:alpha val="65000"/>
              </a:srgbClr>
            </a:outerShdw>
          </a:effectLst>
        </xdr:spPr>
      </xdr:pic>
      <mc:AlternateContent xmlns:mc="http://schemas.openxmlformats.org/markup-compatibility/2006">
        <mc:Choice xmlns:a14="http://schemas.microsoft.com/office/drawing/2010/main" Requires="a14">
          <xdr:sp macro="" textlink="">
            <xdr:nvSpPr>
              <xdr:cNvPr id="10241" name="sheetRev" hidden="1">
                <a:extLst>
                  <a:ext uri="{63B3BB69-23CF-44E3-9099-C40C66FF867C}">
                    <a14:compatExt spid="_x0000_s10241"/>
                  </a:ext>
                </a:extLst>
              </xdr:cNvPr>
              <xdr:cNvSpPr/>
            </xdr:nvSpPr>
            <xdr:spPr>
              <a:xfrm>
                <a:off x="6406025" y="879154"/>
                <a:ext cx="228600" cy="219075"/>
              </a:xfrm>
              <a:prstGeom prst="rect">
                <a:avLst/>
              </a:prstGeom>
            </xdr:spPr>
          </xdr:sp>
        </mc:Choice>
        <mc:Fallback/>
      </mc:AlternateContent>
    </xdr:grpSp>
    <xdr:clientData/>
  </xdr:oneCellAnchor>
  <mc:AlternateContent xmlns:mc="http://schemas.openxmlformats.org/markup-compatibility/2006">
    <mc:Choice xmlns:a14="http://schemas.microsoft.com/office/drawing/2010/main" Requires="a14">
      <xdr:twoCellAnchor editAs="oneCell">
        <xdr:from>
          <xdr:col>4</xdr:col>
          <xdr:colOff>0</xdr:colOff>
          <xdr:row>9</xdr:row>
          <xdr:rowOff>57150</xdr:rowOff>
        </xdr:from>
        <xdr:to>
          <xdr:col>6</xdr:col>
          <xdr:colOff>9525</xdr:colOff>
          <xdr:row>11</xdr:row>
          <xdr:rowOff>180975</xdr:rowOff>
        </xdr:to>
        <xdr:sp macro="" textlink="">
          <xdr:nvSpPr>
            <xdr:cNvPr id="10242" name="CommandButton1"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0</xdr:row>
          <xdr:rowOff>66675</xdr:rowOff>
        </xdr:from>
        <xdr:to>
          <xdr:col>3</xdr:col>
          <xdr:colOff>2819400</xdr:colOff>
          <xdr:row>1</xdr:row>
          <xdr:rowOff>190500</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200025</xdr:rowOff>
        </xdr:from>
        <xdr:to>
          <xdr:col>3</xdr:col>
          <xdr:colOff>2400300</xdr:colOff>
          <xdr:row>1</xdr:row>
          <xdr:rowOff>523875</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581025</xdr:rowOff>
        </xdr:from>
        <xdr:to>
          <xdr:col>3</xdr:col>
          <xdr:colOff>2400300</xdr:colOff>
          <xdr:row>2</xdr:row>
          <xdr:rowOff>85725</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142875</xdr:rowOff>
        </xdr:from>
        <xdr:to>
          <xdr:col>3</xdr:col>
          <xdr:colOff>2400300</xdr:colOff>
          <xdr:row>2</xdr:row>
          <xdr:rowOff>466725</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533400</xdr:rowOff>
        </xdr:from>
        <xdr:to>
          <xdr:col>3</xdr:col>
          <xdr:colOff>2400300</xdr:colOff>
          <xdr:row>2</xdr:row>
          <xdr:rowOff>857250</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xdr:row>
          <xdr:rowOff>819150</xdr:rowOff>
        </xdr:from>
        <xdr:to>
          <xdr:col>2</xdr:col>
          <xdr:colOff>1114425</xdr:colOff>
          <xdr:row>3</xdr:row>
          <xdr:rowOff>209550</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1143000</xdr:colOff>
          <xdr:row>2</xdr:row>
          <xdr:rowOff>819150</xdr:rowOff>
        </xdr:from>
        <xdr:to>
          <xdr:col>2</xdr:col>
          <xdr:colOff>1524000</xdr:colOff>
          <xdr:row>3</xdr:row>
          <xdr:rowOff>219075</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342900</xdr:rowOff>
        </xdr:from>
        <xdr:to>
          <xdr:col>2</xdr:col>
          <xdr:colOff>1714500</xdr:colOff>
          <xdr:row>1</xdr:row>
          <xdr:rowOff>742950</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771525</xdr:rowOff>
        </xdr:from>
        <xdr:to>
          <xdr:col>2</xdr:col>
          <xdr:colOff>1714500</xdr:colOff>
          <xdr:row>2</xdr:row>
          <xdr:rowOff>352425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xdr:row>
          <xdr:rowOff>381000</xdr:rowOff>
        </xdr:from>
        <xdr:to>
          <xdr:col>2</xdr:col>
          <xdr:colOff>1714500</xdr:colOff>
          <xdr:row>2</xdr:row>
          <xdr:rowOff>781050</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xdr:row>
          <xdr:rowOff>514350</xdr:rowOff>
        </xdr:from>
        <xdr:to>
          <xdr:col>1</xdr:col>
          <xdr:colOff>581025</xdr:colOff>
          <xdr:row>2</xdr:row>
          <xdr:rowOff>200025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xdr:row>
          <xdr:rowOff>95250</xdr:rowOff>
        </xdr:from>
        <xdr:to>
          <xdr:col>1</xdr:col>
          <xdr:colOff>495300</xdr:colOff>
          <xdr:row>1</xdr:row>
          <xdr:rowOff>438150</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266700</xdr:rowOff>
        </xdr:from>
        <xdr:to>
          <xdr:col>1</xdr:col>
          <xdr:colOff>590550</xdr:colOff>
          <xdr:row>2</xdr:row>
          <xdr:rowOff>619125</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xdr:row>
          <xdr:rowOff>657225</xdr:rowOff>
        </xdr:from>
        <xdr:to>
          <xdr:col>1</xdr:col>
          <xdr:colOff>647700</xdr:colOff>
          <xdr:row>3</xdr:row>
          <xdr:rowOff>161925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xdr:row>
          <xdr:rowOff>28575</xdr:rowOff>
        </xdr:from>
        <xdr:to>
          <xdr:col>2</xdr:col>
          <xdr:colOff>1590675</xdr:colOff>
          <xdr:row>1</xdr:row>
          <xdr:rowOff>285750</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200025</xdr:rowOff>
        </xdr:from>
        <xdr:to>
          <xdr:col>3</xdr:col>
          <xdr:colOff>2790825</xdr:colOff>
          <xdr:row>1</xdr:row>
          <xdr:rowOff>523875</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581025</xdr:rowOff>
        </xdr:from>
        <xdr:to>
          <xdr:col>3</xdr:col>
          <xdr:colOff>2790825</xdr:colOff>
          <xdr:row>2</xdr:row>
          <xdr:rowOff>85725</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142875</xdr:rowOff>
        </xdr:from>
        <xdr:to>
          <xdr:col>3</xdr:col>
          <xdr:colOff>2790825</xdr:colOff>
          <xdr:row>2</xdr:row>
          <xdr:rowOff>466725</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533400</xdr:rowOff>
        </xdr:from>
        <xdr:to>
          <xdr:col>3</xdr:col>
          <xdr:colOff>2790825</xdr:colOff>
          <xdr:row>2</xdr:row>
          <xdr:rowOff>857250</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fPrintsWithSheet="0"/>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34" unboundColumnsLeft="1">
    <queryTableFields count="27">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 id="29" name="Submitted By" tableColumnId="24"/>
      <queryTableField id="30" name="Requestor Email" tableColumnId="25"/>
      <queryTableField id="32" name="Manager/Lead" tableColumnId="27"/>
      <queryTableField id="33" name="Requestor Name" tableColumnId="26"/>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AA1437" tableType="queryTable" totalsRowShown="0" headerRowDxfId="64" dataDxfId="62" headerRowBorderDxfId="63">
  <sortState ref="A6:AA1437">
    <sortCondition ref="A5:A1408"/>
  </sortState>
  <tableColumns count="27">
    <tableColumn id="17" uniqueName="17" name=" " queryTableFieldId="17" dataDxfId="61">
      <calculatedColumnFormula>IF(priority(Main[[#This Row],[Comments]])&lt;&gt;0, priority(Main[[#This Row],[Comments]]),"")</calculatedColumnFormula>
    </tableColumn>
    <tableColumn id="1" uniqueName="1" name="RTA" queryTableFieldId="1" dataDxfId="60"/>
    <tableColumn id="2" uniqueName="2" name="Customer" queryTableFieldId="2" dataDxfId="59"/>
    <tableColumn id="3" uniqueName="3" name="Description" queryTableFieldId="3" dataDxfId="58"/>
    <tableColumn id="4" uniqueName="4" name="Submitted" queryTableFieldId="4" dataDxfId="57"/>
    <tableColumn id="5" uniqueName="5" name="In Stock Date" queryTableFieldId="5" dataDxfId="56"/>
    <tableColumn id="19" uniqueName="19" name="Standard Production Lead Time" queryTableFieldId="19" dataDxfId="55">
      <calculatedColumnFormula>IF(stdProdLT(Main[[#This Row],[Comments]])=0.1,"N/A",IF(stdProdLT(Main[[#This Row],[Comments]])=0,"",stdProdLT(Main[[#This Row],[Comments]])))</calculatedColumnFormula>
    </tableColumn>
    <tableColumn id="18" uniqueName="18" name="Remaining Production Lead Time" queryTableFieldId="18" dataDxfId="54">
      <calculatedColumnFormula>IF(AND(Main[[#This Row],[In Stock Date]]&lt;&gt;"",Main[[#This Row],[Revised Due Date]]&lt;&gt;""),Main[[#This Row],[In Stock Date]]-Main[[#This Row],[Revised Due Date]],"")</calculatedColumnFormula>
    </tableColumn>
    <tableColumn id="6" uniqueName="6" name="Assigned To" queryTableFieldId="6" dataDxfId="53"/>
    <tableColumn id="7" uniqueName="7" name="Current Status" queryTableFieldId="7" dataDxfId="52"/>
    <tableColumn id="12" uniqueName="12" name="Class" queryTableFieldId="12" dataDxfId="51"/>
    <tableColumn id="9" uniqueName="9" name="Tech Start Date" queryTableFieldId="9" dataDxfId="50"/>
    <tableColumn id="22" uniqueName="22" name="Design" queryTableFieldId="23" dataDxfId="49">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48">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47">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46">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45"/>
    <tableColumn id="11" uniqueName="11" name="Revised Due Date" queryTableFieldId="11" dataDxfId="44"/>
    <tableColumn id="13" uniqueName="13" name="Type" queryTableFieldId="13" dataDxfId="43"/>
    <tableColumn id="14" uniqueName="14" name="Comments" queryTableFieldId="14" dataDxfId="42"/>
    <tableColumn id="15" uniqueName="15" name="State" queryTableFieldId="15" dataDxfId="41"/>
    <tableColumn id="8" uniqueName="8" name="Lab Office" queryTableFieldId="8" dataDxfId="40"/>
    <tableColumn id="16" uniqueName="16" name="Code" queryTableFieldId="16" dataDxfId="39"/>
    <tableColumn id="24" uniqueName="24" name="Submitted By" queryTableFieldId="29" dataDxfId="38"/>
    <tableColumn id="25" uniqueName="25" name="Requestor Email" queryTableFieldId="30" dataDxfId="37"/>
    <tableColumn id="27" uniqueName="27" name="Manager/Lead" queryTableFieldId="32" dataDxfId="36"/>
    <tableColumn id="26" uniqueName="26" name="Requestor Name" queryTableFieldId="33" dataDxfId="35"/>
  </tableColumns>
  <tableStyleInfo name="TableStyleLight1 2" showFirstColumn="0"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34" dataDxfId="33">
  <tableColumns count="1">
    <tableColumn id="1" uniqueName="1" name="Assigned To" queryTableFieldId="1" headerRowDxfId="32" dataDxfId="31"/>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4" tableType="queryTable" headerRowCount="0" totalsRowShown="0" headerRowDxfId="30" dataDxfId="29">
  <tableColumns count="1">
    <tableColumn id="1" uniqueName="1" name="Assigned To" queryTableFieldId="1" headerRowDxfId="28" dataDxfId="27"/>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26" dataDxfId="25">
  <tableColumns count="1">
    <tableColumn id="1" uniqueName="1" name="Assigned To" queryTableFieldId="1" headerRowDxfId="24" dataDxfId="23"/>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8" tableType="queryTable" headerRowCount="0" totalsRowShown="0">
  <tableColumns count="1">
    <tableColumn id="1" uniqueName="1" name="Assigned To" queryTableFieldId="1" headerRowDxfId="22" dataDxfId="21"/>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40" tableType="queryTable" totalsRowShown="0" headerRowDxfId="20">
  <autoFilter ref="G28:G40"/>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19" dataDxfId="18">
  <autoFilter ref="I28:I36"/>
  <sortState ref="I29:I36">
    <sortCondition ref="I2:I10"/>
  </sortState>
  <tableColumns count="1">
    <tableColumn id="1" uniqueName="1" name="State" queryTableFieldId="1" dataDxfId="17"/>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16">
  <autoFilter ref="J28:J35"/>
  <sortState ref="J29:J35">
    <sortCondition ref="J24:J31"/>
  </sortState>
  <tableColumns count="1">
    <tableColumn id="1" uniqueName="1" name="Code" queryTableFieldId="2" dataDxfId="15"/>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14" dataDxfId="13" tableBorderDxfId="12">
  <autoFilter ref="H28:H36"/>
  <tableColumns count="1">
    <tableColumn id="1" uniqueName="1" name="Type" queryTableFieldId="1" dataDxfId="11"/>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10">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Table16" displayName="Table16" ref="A2:H3" insertRow="1" totalsRowShown="0" headerRowDxfId="9" dataDxfId="8">
  <tableColumns count="8">
    <tableColumn id="1" name="#" dataDxfId="7"/>
    <tableColumn id="2" name="RTA" dataDxfId="6"/>
    <tableColumn id="3" name="Customer" dataDxfId="5"/>
    <tableColumn id="4" name="Description" dataDxfId="4"/>
    <tableColumn id="5" name="Available In Stock" dataDxfId="3"/>
    <tableColumn id="11" name="Assigned To" dataDxfId="2"/>
    <tableColumn id="8" name="Status" dataDxfId="1"/>
    <tableColumn id="9" name="Tech Rev'd Due Dat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6.emf"/><Relationship Id="rId18" Type="http://schemas.openxmlformats.org/officeDocument/2006/relationships/control" Target="../activeX/activeX11.xml"/><Relationship Id="rId26" Type="http://schemas.openxmlformats.org/officeDocument/2006/relationships/control" Target="../activeX/activeX15.xml"/><Relationship Id="rId39" Type="http://schemas.openxmlformats.org/officeDocument/2006/relationships/image" Target="../media/image19.emf"/><Relationship Id="rId3" Type="http://schemas.openxmlformats.org/officeDocument/2006/relationships/vmlDrawing" Target="../drawings/vmlDrawing2.vml"/><Relationship Id="rId21" Type="http://schemas.openxmlformats.org/officeDocument/2006/relationships/image" Target="../media/image10.emf"/><Relationship Id="rId34" Type="http://schemas.openxmlformats.org/officeDocument/2006/relationships/control" Target="../activeX/activeX19.xml"/><Relationship Id="rId7" Type="http://schemas.openxmlformats.org/officeDocument/2006/relationships/control" Target="../activeX/activeX4.xml"/><Relationship Id="rId12" Type="http://schemas.openxmlformats.org/officeDocument/2006/relationships/control" Target="../activeX/activeX8.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21.xml"/><Relationship Id="rId2" Type="http://schemas.openxmlformats.org/officeDocument/2006/relationships/drawing" Target="../drawings/drawing2.xml"/><Relationship Id="rId16" Type="http://schemas.openxmlformats.org/officeDocument/2006/relationships/control" Target="../activeX/activeX10.xml"/><Relationship Id="rId20" Type="http://schemas.openxmlformats.org/officeDocument/2006/relationships/control" Target="../activeX/activeX12.xml"/><Relationship Id="rId29" Type="http://schemas.openxmlformats.org/officeDocument/2006/relationships/image" Target="../media/image14.emf"/><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image" Target="../media/image5.emf"/><Relationship Id="rId24" Type="http://schemas.openxmlformats.org/officeDocument/2006/relationships/control" Target="../activeX/activeX14.xml"/><Relationship Id="rId32" Type="http://schemas.openxmlformats.org/officeDocument/2006/relationships/control" Target="../activeX/activeX18.xml"/><Relationship Id="rId37" Type="http://schemas.openxmlformats.org/officeDocument/2006/relationships/image" Target="../media/image18.emf"/><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6.xml"/><Relationship Id="rId36" Type="http://schemas.openxmlformats.org/officeDocument/2006/relationships/control" Target="../activeX/activeX20.xml"/><Relationship Id="rId10" Type="http://schemas.openxmlformats.org/officeDocument/2006/relationships/control" Target="../activeX/activeX7.xml"/><Relationship Id="rId19" Type="http://schemas.openxmlformats.org/officeDocument/2006/relationships/image" Target="../media/image9.emf"/><Relationship Id="rId31" Type="http://schemas.openxmlformats.org/officeDocument/2006/relationships/image" Target="../media/image15.emf"/><Relationship Id="rId4" Type="http://schemas.openxmlformats.org/officeDocument/2006/relationships/vmlDrawing" Target="../drawings/vmlDrawing3.vml"/><Relationship Id="rId9" Type="http://schemas.openxmlformats.org/officeDocument/2006/relationships/control" Target="../activeX/activeX6.xml"/><Relationship Id="rId14" Type="http://schemas.openxmlformats.org/officeDocument/2006/relationships/control" Target="../activeX/activeX9.xml"/><Relationship Id="rId22" Type="http://schemas.openxmlformats.org/officeDocument/2006/relationships/control" Target="../activeX/activeX13.xml"/><Relationship Id="rId27" Type="http://schemas.openxmlformats.org/officeDocument/2006/relationships/image" Target="../media/image13.emf"/><Relationship Id="rId30" Type="http://schemas.openxmlformats.org/officeDocument/2006/relationships/control" Target="../activeX/activeX17.xml"/><Relationship Id="rId35" Type="http://schemas.openxmlformats.org/officeDocument/2006/relationships/image" Target="../media/image17.emf"/></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outlinePr showOutlineSymbols="0"/>
  </sheetPr>
  <dimension ref="A1:AA32"/>
  <sheetViews>
    <sheetView showGridLines="0" showRowColHeaders="0" showZeros="0" tabSelected="1" showOutlineSymbols="0" zoomScaleNormal="100" workbookViewId="0"/>
  </sheetViews>
  <sheetFormatPr defaultRowHeight="15.95" customHeight="1"/>
  <cols>
    <col min="1" max="1" width="8.375" style="115" customWidth="1"/>
    <col min="2" max="2" width="8.375" style="116" customWidth="1"/>
    <col min="3" max="9" width="8.375" style="107" customWidth="1"/>
    <col min="10" max="10" width="9.75" style="107" customWidth="1"/>
    <col min="11" max="11" width="8.375" style="61" customWidth="1"/>
    <col min="12" max="16384" width="9" style="61"/>
  </cols>
  <sheetData>
    <row r="1" spans="1:11" ht="14.25">
      <c r="A1" s="61"/>
      <c r="B1" s="61"/>
      <c r="C1" s="61"/>
      <c r="D1" s="61"/>
      <c r="E1" s="61"/>
      <c r="F1" s="61"/>
      <c r="G1" s="61"/>
      <c r="H1" s="61"/>
      <c r="I1" s="61"/>
      <c r="J1" s="61"/>
    </row>
    <row r="2" spans="1:11" ht="14.25">
      <c r="A2" s="61"/>
      <c r="B2" s="184" t="s">
        <v>2086</v>
      </c>
      <c r="C2" s="184"/>
      <c r="D2" s="184"/>
      <c r="E2" s="184"/>
      <c r="F2" s="184"/>
      <c r="G2" s="184"/>
      <c r="H2" s="184"/>
      <c r="I2" s="184"/>
      <c r="J2" s="184"/>
    </row>
    <row r="3" spans="1:11" ht="14.25">
      <c r="A3" s="61"/>
      <c r="B3" s="184"/>
      <c r="C3" s="184"/>
      <c r="D3" s="184"/>
      <c r="E3" s="184"/>
      <c r="F3" s="184"/>
      <c r="G3" s="184"/>
      <c r="H3" s="184"/>
      <c r="I3" s="184"/>
      <c r="J3" s="184"/>
    </row>
    <row r="4" spans="1:11" ht="15" customHeight="1">
      <c r="A4" s="61"/>
      <c r="B4" s="184"/>
      <c r="C4" s="184"/>
      <c r="D4" s="184"/>
      <c r="E4" s="184"/>
      <c r="F4" s="184"/>
      <c r="G4" s="184"/>
      <c r="H4" s="184"/>
      <c r="I4" s="184"/>
      <c r="J4" s="184"/>
    </row>
    <row r="5" spans="1:11" ht="14.25" customHeight="1">
      <c r="A5" s="61"/>
      <c r="B5" s="184"/>
      <c r="C5" s="184"/>
      <c r="D5" s="184"/>
      <c r="E5" s="184"/>
      <c r="F5" s="184"/>
      <c r="G5" s="184"/>
      <c r="H5" s="184"/>
      <c r="I5" s="184"/>
      <c r="J5" s="184"/>
    </row>
    <row r="6" spans="1:11" ht="14.25" customHeight="1">
      <c r="A6" s="61"/>
      <c r="B6" s="184"/>
      <c r="C6" s="184"/>
      <c r="D6" s="184"/>
      <c r="E6" s="184"/>
      <c r="F6" s="184"/>
      <c r="G6" s="184"/>
      <c r="H6" s="184"/>
      <c r="I6" s="184"/>
      <c r="J6" s="184"/>
    </row>
    <row r="7" spans="1:11" ht="80.25" customHeight="1">
      <c r="A7" s="61"/>
      <c r="B7" s="185" t="s">
        <v>2060</v>
      </c>
      <c r="C7" s="185"/>
      <c r="D7" s="185"/>
      <c r="E7" s="185"/>
      <c r="F7" s="185"/>
      <c r="G7" s="185"/>
      <c r="H7" s="185"/>
      <c r="I7" s="185"/>
      <c r="J7" s="98"/>
      <c r="K7" s="98"/>
    </row>
    <row r="8" spans="1:11" ht="20.25" customHeight="1">
      <c r="A8" s="61"/>
      <c r="B8" s="99"/>
      <c r="C8" s="99"/>
      <c r="D8" s="99"/>
      <c r="E8" s="99"/>
      <c r="F8" s="99"/>
      <c r="G8" s="99"/>
      <c r="H8" s="99"/>
      <c r="I8" s="99"/>
      <c r="J8" s="98"/>
      <c r="K8" s="98"/>
    </row>
    <row r="9" spans="1:11" ht="15.95" customHeight="1">
      <c r="K9" s="63"/>
    </row>
    <row r="10" spans="1:11" s="101" customFormat="1" ht="15.95" customHeight="1">
      <c r="A10" s="115"/>
      <c r="B10" s="116"/>
      <c r="C10" s="107"/>
      <c r="D10" s="107"/>
      <c r="E10" s="107"/>
      <c r="F10" s="107"/>
      <c r="G10" s="107"/>
      <c r="H10" s="107"/>
      <c r="I10" s="107"/>
      <c r="J10" s="107"/>
      <c r="K10" s="100"/>
    </row>
    <row r="11" spans="1:11" s="103" customFormat="1" ht="15.95" customHeight="1">
      <c r="A11" s="115"/>
      <c r="B11" s="116"/>
      <c r="C11" s="107"/>
      <c r="D11" s="107"/>
      <c r="E11" s="107"/>
      <c r="F11" s="107"/>
      <c r="G11" s="107"/>
      <c r="H11" s="107"/>
      <c r="I11" s="107"/>
      <c r="J11" s="107"/>
      <c r="K11" s="102"/>
    </row>
    <row r="12" spans="1:11" s="101" customFormat="1" ht="15.95" customHeight="1">
      <c r="A12" s="115"/>
      <c r="B12" s="116"/>
      <c r="C12" s="107"/>
      <c r="D12" s="107"/>
      <c r="E12" s="107"/>
      <c r="F12" s="107"/>
      <c r="G12" s="107"/>
      <c r="H12" s="107"/>
      <c r="I12" s="107"/>
      <c r="J12" s="107"/>
      <c r="K12" s="100"/>
    </row>
    <row r="13" spans="1:11" s="101" customFormat="1" ht="15.95" customHeight="1">
      <c r="A13" s="115"/>
      <c r="B13" s="116"/>
      <c r="C13" s="107"/>
      <c r="D13" s="107"/>
      <c r="E13" s="107"/>
      <c r="F13" s="107"/>
      <c r="G13" s="107"/>
      <c r="H13" s="107"/>
      <c r="I13" s="107"/>
      <c r="J13" s="107"/>
      <c r="K13" s="100"/>
    </row>
    <row r="14" spans="1:11" s="105" customFormat="1" ht="15.95" customHeight="1">
      <c r="A14" s="115"/>
      <c r="B14" s="116"/>
      <c r="C14" s="107"/>
      <c r="D14" s="107"/>
      <c r="E14" s="107"/>
      <c r="F14" s="107"/>
      <c r="G14" s="107"/>
      <c r="H14" s="107"/>
      <c r="I14" s="107"/>
      <c r="J14" s="107"/>
      <c r="K14" s="104"/>
    </row>
    <row r="15" spans="1:11" s="105" customFormat="1" ht="15.95" customHeight="1">
      <c r="A15" s="115"/>
      <c r="B15" s="116"/>
      <c r="C15" s="107"/>
      <c r="D15" s="107"/>
      <c r="E15" s="107"/>
      <c r="F15" s="107"/>
      <c r="G15" s="107"/>
      <c r="H15" s="107"/>
      <c r="I15" s="107"/>
      <c r="J15" s="107"/>
      <c r="K15" s="104"/>
    </row>
    <row r="16" spans="1:11" s="105" customFormat="1" ht="15.95" customHeight="1">
      <c r="A16" s="115"/>
      <c r="B16" s="116"/>
      <c r="C16" s="107"/>
      <c r="D16" s="107"/>
      <c r="E16" s="107"/>
      <c r="F16" s="107"/>
      <c r="G16" s="107"/>
      <c r="H16" s="107"/>
      <c r="I16" s="107"/>
      <c r="J16" s="107"/>
      <c r="K16" s="104"/>
    </row>
    <row r="17" spans="1:27" s="101" customFormat="1" ht="15.95" customHeight="1">
      <c r="A17" s="115"/>
      <c r="B17" s="116"/>
      <c r="C17" s="107"/>
      <c r="D17" s="107"/>
      <c r="E17" s="107"/>
      <c r="F17" s="107"/>
      <c r="G17" s="107"/>
      <c r="H17" s="107"/>
      <c r="I17" s="107"/>
      <c r="J17" s="107"/>
      <c r="K17" s="106"/>
    </row>
    <row r="18" spans="1:27" s="101" customFormat="1" ht="15.95" customHeight="1">
      <c r="A18" s="115"/>
      <c r="B18" s="116"/>
      <c r="C18" s="107"/>
      <c r="D18" s="107"/>
      <c r="E18" s="107"/>
      <c r="F18" s="107"/>
      <c r="G18" s="107"/>
      <c r="H18" s="107"/>
      <c r="I18" s="107"/>
      <c r="J18" s="107"/>
    </row>
    <row r="19" spans="1:27" s="101" customFormat="1" ht="15.95" customHeight="1">
      <c r="A19" s="115"/>
      <c r="B19" s="116"/>
      <c r="C19" s="107"/>
      <c r="D19" s="107"/>
      <c r="E19" s="107"/>
      <c r="F19" s="107"/>
      <c r="G19" s="107"/>
      <c r="H19" s="107"/>
      <c r="I19" s="107"/>
      <c r="J19" s="107"/>
    </row>
    <row r="20" spans="1:27" s="101" customFormat="1" ht="15.95" customHeight="1">
      <c r="A20" s="115"/>
      <c r="B20" s="116"/>
      <c r="C20" s="107"/>
      <c r="D20" s="107"/>
      <c r="E20" s="107"/>
      <c r="F20" s="107"/>
      <c r="G20" s="107"/>
      <c r="H20" s="107"/>
      <c r="I20" s="107"/>
      <c r="J20" s="107"/>
    </row>
    <row r="21" spans="1:27" s="101" customFormat="1" ht="15.95" customHeight="1">
      <c r="A21" s="115"/>
      <c r="B21" s="116"/>
      <c r="C21" s="107"/>
      <c r="D21" s="107"/>
      <c r="E21" s="107"/>
      <c r="F21" s="107"/>
      <c r="G21" s="107"/>
      <c r="H21" s="107"/>
      <c r="I21" s="107"/>
      <c r="J21" s="107"/>
    </row>
    <row r="22" spans="1:27" s="101" customFormat="1" ht="15.95" customHeight="1">
      <c r="A22" s="115"/>
      <c r="B22" s="116"/>
      <c r="C22" s="107"/>
      <c r="D22" s="107"/>
      <c r="E22" s="107"/>
      <c r="F22" s="107"/>
      <c r="G22" s="107"/>
      <c r="H22" s="107"/>
      <c r="I22" s="107"/>
      <c r="J22" s="107"/>
    </row>
    <row r="23" spans="1:27" s="101" customFormat="1" ht="15.95" customHeight="1">
      <c r="A23" s="115"/>
      <c r="B23" s="116"/>
      <c r="C23" s="107"/>
      <c r="D23" s="107"/>
      <c r="E23" s="107"/>
      <c r="F23" s="107"/>
      <c r="G23" s="107"/>
      <c r="H23" s="107"/>
      <c r="I23" s="107"/>
      <c r="J23" s="107"/>
    </row>
    <row r="24" spans="1:27" s="101" customFormat="1" ht="15.95" customHeight="1">
      <c r="A24" s="115"/>
      <c r="B24" s="116"/>
      <c r="C24" s="107"/>
      <c r="D24" s="107"/>
      <c r="E24" s="107"/>
      <c r="F24" s="107"/>
      <c r="G24" s="107"/>
      <c r="H24" s="107"/>
      <c r="I24" s="107"/>
      <c r="J24" s="107"/>
    </row>
    <row r="25" spans="1:27" s="101" customFormat="1" ht="15.95" customHeight="1">
      <c r="A25" s="115"/>
      <c r="B25" s="116"/>
      <c r="C25" s="107"/>
      <c r="D25" s="107"/>
      <c r="E25" s="107"/>
      <c r="F25" s="107"/>
      <c r="G25" s="107"/>
      <c r="H25" s="107"/>
      <c r="I25" s="107"/>
      <c r="J25" s="107"/>
    </row>
    <row r="26" spans="1:27" s="101" customFormat="1" ht="15.95" customHeight="1">
      <c r="A26" s="115"/>
      <c r="B26" s="116"/>
      <c r="C26" s="107"/>
      <c r="D26" s="107"/>
      <c r="E26" s="107"/>
      <c r="F26" s="107"/>
      <c r="G26" s="107"/>
      <c r="H26" s="107"/>
      <c r="I26" s="107"/>
      <c r="J26" s="107"/>
    </row>
    <row r="27" spans="1:27" s="101" customFormat="1" ht="15.95" customHeight="1">
      <c r="A27" s="115"/>
      <c r="B27" s="116"/>
      <c r="C27" s="107"/>
      <c r="D27" s="107"/>
      <c r="E27" s="107"/>
      <c r="F27" s="107"/>
      <c r="G27" s="107"/>
      <c r="H27" s="107"/>
      <c r="I27" s="107"/>
      <c r="J27" s="107"/>
    </row>
    <row r="28" spans="1:27" s="101" customFormat="1" ht="15.95" customHeight="1">
      <c r="A28" s="115"/>
      <c r="B28" s="116"/>
      <c r="C28" s="107"/>
      <c r="D28" s="107"/>
      <c r="E28" s="107"/>
      <c r="F28" s="107"/>
      <c r="G28" s="107"/>
      <c r="H28" s="107"/>
      <c r="I28" s="107"/>
      <c r="J28" s="107"/>
    </row>
    <row r="29" spans="1:27" s="101" customFormat="1" ht="15.95" customHeight="1">
      <c r="A29" s="115"/>
      <c r="B29" s="116"/>
      <c r="C29" s="107"/>
      <c r="D29" s="107"/>
      <c r="E29" s="107"/>
      <c r="F29" s="107"/>
      <c r="G29" s="107"/>
      <c r="H29" s="107"/>
      <c r="I29" s="107"/>
      <c r="J29" s="107"/>
      <c r="R29" s="183"/>
      <c r="S29" s="183"/>
      <c r="T29" s="183"/>
      <c r="U29" s="183"/>
      <c r="V29" s="183"/>
      <c r="W29" s="183"/>
      <c r="X29" s="183"/>
      <c r="Y29" s="183"/>
      <c r="Z29" s="183"/>
      <c r="AA29" s="183"/>
    </row>
    <row r="30" spans="1:27" s="101" customFormat="1" ht="15.95" customHeight="1">
      <c r="A30" s="115"/>
      <c r="B30" s="116"/>
      <c r="C30" s="107"/>
      <c r="D30" s="107"/>
      <c r="E30" s="107"/>
      <c r="F30" s="107"/>
      <c r="G30" s="107"/>
      <c r="H30" s="107"/>
      <c r="I30" s="107"/>
      <c r="J30" s="107"/>
    </row>
    <row r="31" spans="1:27" s="101" customFormat="1" ht="15.95" customHeight="1">
      <c r="A31" s="115"/>
      <c r="B31" s="116"/>
      <c r="C31" s="107"/>
      <c r="D31" s="107"/>
      <c r="E31" s="107"/>
      <c r="F31" s="107"/>
      <c r="G31" s="107"/>
      <c r="H31" s="107"/>
      <c r="I31" s="107"/>
      <c r="J31" s="107"/>
    </row>
    <row r="32" spans="1:27" s="101" customFormat="1" ht="15.95" customHeight="1">
      <c r="A32" s="115"/>
      <c r="B32" s="116"/>
      <c r="C32" s="107"/>
      <c r="D32" s="107"/>
      <c r="E32" s="107"/>
      <c r="F32" s="107"/>
      <c r="G32" s="107"/>
      <c r="H32" s="107"/>
      <c r="I32" s="107"/>
      <c r="J32" s="107"/>
    </row>
  </sheetData>
  <dataConsolidate/>
  <mergeCells count="3">
    <mergeCell ref="R29:AA29"/>
    <mergeCell ref="B2:J6"/>
    <mergeCell ref="B7:I7"/>
  </mergeCells>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sheetRev">
          <controlPr defaultSize="0" autoLine="0" r:id="rId5">
            <anchor moveWithCells="1">
              <from>
                <xdr:col>9</xdr:col>
                <xdr:colOff>247650</xdr:colOff>
                <xdr:row>4</xdr:row>
                <xdr:rowOff>133350</xdr:rowOff>
              </from>
              <to>
                <xdr:col>9</xdr:col>
                <xdr:colOff>466725</xdr:colOff>
                <xdr:row>5</xdr:row>
                <xdr:rowOff>161925</xdr:rowOff>
              </to>
            </anchor>
          </controlPr>
        </control>
      </mc:Choice>
      <mc:Fallback>
        <control shapeId="10241" r:id="rId4" name="sheetRev"/>
      </mc:Fallback>
    </mc:AlternateContent>
    <mc:AlternateContent xmlns:mc="http://schemas.openxmlformats.org/markup-compatibility/2006">
      <mc:Choice Requires="x14">
        <control shapeId="10242" r:id="rId6" name="CommandButton1">
          <controlPr defaultSize="0" autoLine="0" r:id="rId7">
            <anchor moveWithCells="1">
              <from>
                <xdr:col>4</xdr:col>
                <xdr:colOff>0</xdr:colOff>
                <xdr:row>9</xdr:row>
                <xdr:rowOff>57150</xdr:rowOff>
              </from>
              <to>
                <xdr:col>6</xdr:col>
                <xdr:colOff>9525</xdr:colOff>
                <xdr:row>11</xdr:row>
                <xdr:rowOff>180975</xdr:rowOff>
              </to>
            </anchor>
          </controlPr>
        </control>
      </mc:Choice>
      <mc:Fallback>
        <control shapeId="10242" r:id="rId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59999389629810485"/>
  </sheetPr>
  <dimension ref="A1:AI1437"/>
  <sheetViews>
    <sheetView showGridLines="0" zoomScaleNormal="100" workbookViewId="0">
      <pane xSplit="4" ySplit="5" topLeftCell="E6" activePane="bottomRight" state="frozen"/>
      <selection pane="topRight" activeCell="E1" sqref="E1"/>
      <selection pane="bottomLeft" activeCell="A6" sqref="A6"/>
      <selection pane="bottomRight" activeCell="H2" sqref="H2"/>
    </sheetView>
  </sheetViews>
  <sheetFormatPr defaultColWidth="9" defaultRowHeight="18.600000000000001" customHeight="1"/>
  <cols>
    <col min="1" max="1" width="6.75" style="56" customWidth="1"/>
    <col min="2" max="2" width="10.125" style="54" customWidth="1"/>
    <col min="3" max="3" width="23.5" style="54" customWidth="1"/>
    <col min="4" max="4" width="38.5" style="54" customWidth="1"/>
    <col min="5" max="5" width="11.375" style="54" hidden="1" customWidth="1"/>
    <col min="6" max="6" width="12.625" style="54" customWidth="1"/>
    <col min="7" max="7" width="10.625" style="54" customWidth="1"/>
    <col min="8" max="8" width="9.625" style="54" customWidth="1"/>
    <col min="9" max="9" width="20.125" style="54" hidden="1" customWidth="1"/>
    <col min="10" max="10" width="17.875" style="54" customWidth="1"/>
    <col min="11" max="11" width="8" style="54" hidden="1" customWidth="1"/>
    <col min="12" max="12" width="12.25" style="57" hidden="1" customWidth="1"/>
    <col min="13" max="16" width="13.5" style="57" hidden="1" customWidth="1"/>
    <col min="17" max="17" width="12.875" style="58" hidden="1" customWidth="1"/>
    <col min="18" max="18" width="13.25" style="57" customWidth="1"/>
    <col min="19" max="19" width="17.375" style="54" hidden="1" customWidth="1"/>
    <col min="20" max="20" width="31" style="54" hidden="1" customWidth="1"/>
    <col min="21" max="21" width="13.375" style="54" hidden="1" customWidth="1"/>
    <col min="22" max="22" width="11.5" style="54" hidden="1" customWidth="1"/>
    <col min="23" max="23" width="6.375" style="54" hidden="1" customWidth="1"/>
    <col min="24" max="27" width="24.875" style="54" hidden="1" customWidth="1"/>
    <col min="28" max="28" width="24.875" style="54" customWidth="1"/>
    <col min="29" max="29" width="13.875" style="54" customWidth="1"/>
    <col min="30" max="30" width="5.875" style="54" customWidth="1"/>
    <col min="31" max="31" width="7.75" style="54" customWidth="1"/>
    <col min="32" max="32" width="5.75" style="54" customWidth="1"/>
    <col min="33" max="33" width="22.375" style="54" customWidth="1"/>
    <col min="34" max="36" width="9" style="54" customWidth="1"/>
    <col min="37" max="16384" width="9" style="54"/>
  </cols>
  <sheetData>
    <row r="1" spans="1:35" s="47" customFormat="1" ht="18" customHeight="1">
      <c r="A1" s="188" t="s">
        <v>3262</v>
      </c>
      <c r="B1" s="189"/>
      <c r="C1" s="60" t="s">
        <v>2718</v>
      </c>
      <c r="D1" s="52"/>
      <c r="L1" s="48"/>
      <c r="M1" s="48"/>
      <c r="N1" s="48"/>
      <c r="O1" s="48"/>
      <c r="P1" s="48"/>
      <c r="Q1" s="48"/>
    </row>
    <row r="2" spans="1:35" s="47" customFormat="1" ht="64.5" customHeight="1">
      <c r="A2" s="192"/>
      <c r="B2" s="193"/>
      <c r="C2" s="190"/>
      <c r="D2" s="51"/>
      <c r="I2" s="126"/>
      <c r="L2" s="48"/>
      <c r="M2" s="48"/>
      <c r="N2" s="48"/>
      <c r="O2" s="48"/>
      <c r="P2" s="48"/>
      <c r="Q2" s="48"/>
    </row>
    <row r="3" spans="1:35" s="47" customFormat="1" ht="69" customHeight="1">
      <c r="A3" s="194"/>
      <c r="B3" s="195"/>
      <c r="C3" s="191"/>
      <c r="D3" s="51"/>
      <c r="I3" s="127" t="s">
        <v>3668</v>
      </c>
      <c r="L3" s="48"/>
      <c r="M3" s="49"/>
      <c r="N3" s="48"/>
      <c r="O3" s="48"/>
      <c r="P3" s="48"/>
      <c r="Q3" s="48"/>
    </row>
    <row r="4" spans="1:35" s="45" customFormat="1" ht="18" customHeight="1">
      <c r="A4" s="194"/>
      <c r="B4" s="195"/>
      <c r="C4" s="191"/>
      <c r="D4" s="50"/>
      <c r="I4" s="125"/>
      <c r="L4" s="46"/>
      <c r="M4" s="46"/>
      <c r="N4" s="46"/>
      <c r="O4" s="46"/>
      <c r="P4" s="46"/>
      <c r="Q4" s="46"/>
    </row>
    <row r="5" spans="1:35" s="53" customFormat="1" ht="42" customHeight="1">
      <c r="A5" s="138" t="s">
        <v>86</v>
      </c>
      <c r="B5" s="69" t="s">
        <v>975</v>
      </c>
      <c r="C5" s="68" t="s">
        <v>1014</v>
      </c>
      <c r="D5" s="64" t="s">
        <v>0</v>
      </c>
      <c r="E5" s="64" t="s">
        <v>7</v>
      </c>
      <c r="F5" s="64" t="s">
        <v>1015</v>
      </c>
      <c r="G5" s="65" t="s">
        <v>1981</v>
      </c>
      <c r="H5" s="65" t="s">
        <v>1982</v>
      </c>
      <c r="I5" s="64" t="s">
        <v>1931</v>
      </c>
      <c r="J5" s="64" t="s">
        <v>1016</v>
      </c>
      <c r="K5" s="64" t="s">
        <v>978</v>
      </c>
      <c r="L5" s="64" t="s">
        <v>1017</v>
      </c>
      <c r="M5" s="67" t="s">
        <v>976</v>
      </c>
      <c r="N5" s="67" t="s">
        <v>977</v>
      </c>
      <c r="O5" s="67" t="s">
        <v>989</v>
      </c>
      <c r="P5" s="67" t="s">
        <v>990</v>
      </c>
      <c r="Q5" s="65" t="s">
        <v>1018</v>
      </c>
      <c r="R5" s="64" t="s">
        <v>1930</v>
      </c>
      <c r="S5" s="70" t="s">
        <v>979</v>
      </c>
      <c r="T5" s="66" t="s">
        <v>2</v>
      </c>
      <c r="U5" s="66" t="s">
        <v>3</v>
      </c>
      <c r="V5" s="66" t="s">
        <v>1</v>
      </c>
      <c r="W5" s="71" t="s">
        <v>1019</v>
      </c>
      <c r="X5" s="71" t="s">
        <v>2897</v>
      </c>
      <c r="Y5" s="71" t="s">
        <v>3012</v>
      </c>
      <c r="Z5" s="71" t="s">
        <v>3251</v>
      </c>
      <c r="AA5" s="71" t="s">
        <v>3559</v>
      </c>
      <c r="AB5" s="186"/>
      <c r="AC5" s="187"/>
      <c r="AD5" s="187"/>
      <c r="AE5" s="187"/>
      <c r="AF5" s="187"/>
      <c r="AG5" s="187"/>
      <c r="AH5" s="187"/>
      <c r="AI5" s="187"/>
    </row>
    <row r="6" spans="1:35" ht="18.600000000000001" customHeight="1">
      <c r="A6" s="139">
        <f>IF(priority(Main[[#This Row],[Comments]])&lt;&gt;0, priority(Main[[#This Row],[Comments]]),"")</f>
        <v>1</v>
      </c>
      <c r="B6" s="89" t="s">
        <v>1183</v>
      </c>
      <c r="C6" s="72" t="s">
        <v>138</v>
      </c>
      <c r="D6" s="73" t="s">
        <v>227</v>
      </c>
      <c r="E6" s="74"/>
      <c r="F6" s="74">
        <v>40770</v>
      </c>
      <c r="G6" s="75" t="str">
        <f>IF(stdProdLT(Main[[#This Row],[Comments]])=0.1,"N/A",IF(stdProdLT(Main[[#This Row],[Comments]])=0,"",stdProdLT(Main[[#This Row],[Comments]])))</f>
        <v/>
      </c>
      <c r="H6" s="76" t="str">
        <f>IF(AND(Main[[#This Row],[In Stock Date]]&lt;&gt;"",Main[[#This Row],[Revised Due Date]]&lt;&gt;""),Main[[#This Row],[In Stock Date]]-Main[[#This Row],[Revised Due Date]],"")</f>
        <v/>
      </c>
      <c r="I6" s="72" t="s">
        <v>4</v>
      </c>
      <c r="J6" s="72" t="s">
        <v>28</v>
      </c>
      <c r="K6" s="72" t="s">
        <v>1944</v>
      </c>
      <c r="L6" s="74"/>
      <c r="M6" s="77" t="str">
        <f>IF(Main[[#This Row],[Tech Start Date]]&lt;1/1/1990,"",IF(Main[[#This Row],[Class]]="C",WORKDAY(Main[[#This Row],[Tech Start Date]],9),IF(Main[[#This Row],[Class]]="B", WORKDAY(Main[[#This Row],[Tech Start Date]],6),IF(Main[[#This Row],[Class]]="A",WORKDAY(Main[[#This Row],[Tech Start Date]],2),""))))</f>
        <v/>
      </c>
      <c r="N6" s="77" t="str">
        <f>IF(Main[[#This Row],[Tech Start Date]]&lt;1/1/1990,"",IF(Main[[#This Row],[Class]]="C",WORKDAY(Main[[#This Row],[Tech Start Date]],19),IF(Main[[#This Row],[Class]]="B", WORKDAY(Main[[#This Row],[Tech Start Date]],12),IF(Main[[#This Row],[Class]]="A",WORKDAY(Main[[#This Row],[Tech Start Date]],4),""))))</f>
        <v/>
      </c>
      <c r="O6" s="77" t="str">
        <f>IF(Main[[#This Row],[Tech Start Date]]&lt;1/1/1990,"",IF(Main[[#This Row],[Class]]="C",WORKDAY(Main[[#This Row],[Tech Start Date]],23),IF(Main[[#This Row],[Class]]="B", WORKDAY(Main[[#This Row],[Tech Start Date]],15),IF(Main[[#This Row],[Class]]="A",WORKDAY(Main[[#This Row],[Tech Start Date]],5),""))))</f>
        <v/>
      </c>
      <c r="P6" s="77" t="str">
        <f>IF(Main[[#This Row],[Tech Start Date]]&lt;1/1/1990,"",IF(Main[[#This Row],[Class]]="C",WORKDAY(Main[[#This Row],[Tech Start Date]],28),IF(Main[[#This Row],[Class]]="B", WORKDAY(Main[[#This Row],[Tech Start Date]],19),IF(Main[[#This Row],[Class]]="A",WORKDAY(Main[[#This Row],[Tech Start Date]],9),""))))</f>
        <v/>
      </c>
      <c r="Q6" s="74">
        <v>40585</v>
      </c>
      <c r="R6" s="74"/>
      <c r="S6" s="78" t="s">
        <v>11</v>
      </c>
      <c r="T6" s="79" t="s">
        <v>228</v>
      </c>
      <c r="U6" s="78" t="s">
        <v>14</v>
      </c>
      <c r="V6" s="78" t="s">
        <v>1933</v>
      </c>
      <c r="W6" s="78" t="s">
        <v>1937</v>
      </c>
      <c r="X6" s="78" t="s">
        <v>2923</v>
      </c>
      <c r="Y6" s="78" t="s">
        <v>3095</v>
      </c>
      <c r="Z6" s="78" t="s">
        <v>129</v>
      </c>
      <c r="AA6" s="147" t="s">
        <v>2923</v>
      </c>
    </row>
    <row r="7" spans="1:35" ht="18.600000000000001" customHeight="1">
      <c r="A7" s="140">
        <f>IF(priority(Main[[#This Row],[Comments]])&lt;&gt;0, priority(Main[[#This Row],[Comments]]),"")</f>
        <v>1</v>
      </c>
      <c r="B7" s="90" t="s">
        <v>3320</v>
      </c>
      <c r="C7" s="72" t="s">
        <v>72</v>
      </c>
      <c r="D7" s="73" t="s">
        <v>243</v>
      </c>
      <c r="E7" s="74">
        <v>40461.111585648148</v>
      </c>
      <c r="F7" s="74"/>
      <c r="G7" s="75" t="str">
        <f>IF(stdProdLT(Main[[#This Row],[Comments]])=0.1,"N/A",IF(stdProdLT(Main[[#This Row],[Comments]])=0,"",stdProdLT(Main[[#This Row],[Comments]])))</f>
        <v/>
      </c>
      <c r="H7" s="76" t="str">
        <f>IF(AND(Main[[#This Row],[In Stock Date]]&lt;&gt;"",Main[[#This Row],[Revised Due Date]]&lt;&gt;""),Main[[#This Row],[In Stock Date]]-Main[[#This Row],[Revised Due Date]],"")</f>
        <v/>
      </c>
      <c r="I7" s="72" t="s">
        <v>74</v>
      </c>
      <c r="J7" s="72" t="s">
        <v>4</v>
      </c>
      <c r="K7" s="72" t="s">
        <v>1944</v>
      </c>
      <c r="L7" s="74"/>
      <c r="M7" s="77" t="str">
        <f>IF(Main[[#This Row],[Tech Start Date]]&lt;1/1/1990,"",IF(Main[[#This Row],[Class]]="C",WORKDAY(Main[[#This Row],[Tech Start Date]],9),IF(Main[[#This Row],[Class]]="B", WORKDAY(Main[[#This Row],[Tech Start Date]],6),IF(Main[[#This Row],[Class]]="A",WORKDAY(Main[[#This Row],[Tech Start Date]],2),""))))</f>
        <v/>
      </c>
      <c r="N7" s="77" t="str">
        <f>IF(Main[[#This Row],[Tech Start Date]]&lt;1/1/1990,"",IF(Main[[#This Row],[Class]]="C",WORKDAY(Main[[#This Row],[Tech Start Date]],19),IF(Main[[#This Row],[Class]]="B", WORKDAY(Main[[#This Row],[Tech Start Date]],12),IF(Main[[#This Row],[Class]]="A",WORKDAY(Main[[#This Row],[Tech Start Date]],4),""))))</f>
        <v/>
      </c>
      <c r="O7" s="77" t="str">
        <f>IF(Main[[#This Row],[Tech Start Date]]&lt;1/1/1990,"",IF(Main[[#This Row],[Class]]="C",WORKDAY(Main[[#This Row],[Tech Start Date]],23),IF(Main[[#This Row],[Class]]="B", WORKDAY(Main[[#This Row],[Tech Start Date]],15),IF(Main[[#This Row],[Class]]="A",WORKDAY(Main[[#This Row],[Tech Start Date]],5),""))))</f>
        <v/>
      </c>
      <c r="P7" s="77" t="str">
        <f>IF(Main[[#This Row],[Tech Start Date]]&lt;1/1/1990,"",IF(Main[[#This Row],[Class]]="C",WORKDAY(Main[[#This Row],[Tech Start Date]],28),IF(Main[[#This Row],[Class]]="B", WORKDAY(Main[[#This Row],[Tech Start Date]],19),IF(Main[[#This Row],[Class]]="A",WORKDAY(Main[[#This Row],[Tech Start Date]],9),""))))</f>
        <v/>
      </c>
      <c r="Q7" s="74"/>
      <c r="R7" s="74">
        <v>40836</v>
      </c>
      <c r="S7" s="72" t="s">
        <v>17</v>
      </c>
      <c r="T7" s="80" t="s">
        <v>244</v>
      </c>
      <c r="U7" s="72" t="s">
        <v>29</v>
      </c>
      <c r="V7" s="72" t="s">
        <v>1935</v>
      </c>
      <c r="W7" s="72" t="s">
        <v>1940</v>
      </c>
      <c r="X7" s="72" t="s">
        <v>2931</v>
      </c>
      <c r="Y7" s="72" t="s">
        <v>3065</v>
      </c>
      <c r="Z7" s="72" t="s">
        <v>420</v>
      </c>
      <c r="AA7" s="147" t="s">
        <v>2931</v>
      </c>
    </row>
    <row r="8" spans="1:35" ht="18.600000000000001" customHeight="1">
      <c r="A8" s="140">
        <f>IF(priority(Main[[#This Row],[Comments]])&lt;&gt;0, priority(Main[[#This Row],[Comments]]),"")</f>
        <v>1</v>
      </c>
      <c r="B8" s="90" t="s">
        <v>1057</v>
      </c>
      <c r="C8" s="72" t="s">
        <v>72</v>
      </c>
      <c r="D8" s="73" t="s">
        <v>73</v>
      </c>
      <c r="E8" s="74">
        <v>40461.12232638889</v>
      </c>
      <c r="F8" s="74"/>
      <c r="G8" s="75" t="str">
        <f>IF(stdProdLT(Main[[#This Row],[Comments]])=0.1,"N/A",IF(stdProdLT(Main[[#This Row],[Comments]])=0,"",stdProdLT(Main[[#This Row],[Comments]])))</f>
        <v/>
      </c>
      <c r="H8" s="76" t="str">
        <f>IF(AND(Main[[#This Row],[In Stock Date]]&lt;&gt;"",Main[[#This Row],[Revised Due Date]]&lt;&gt;""),Main[[#This Row],[In Stock Date]]-Main[[#This Row],[Revised Due Date]],"")</f>
        <v/>
      </c>
      <c r="I8" s="72" t="s">
        <v>74</v>
      </c>
      <c r="J8" s="72" t="s">
        <v>75</v>
      </c>
      <c r="K8" s="72" t="s">
        <v>1944</v>
      </c>
      <c r="L8" s="74"/>
      <c r="M8" s="77" t="str">
        <f>IF(Main[[#This Row],[Tech Start Date]]&lt;1/1/1990,"",IF(Main[[#This Row],[Class]]="C",WORKDAY(Main[[#This Row],[Tech Start Date]],9),IF(Main[[#This Row],[Class]]="B", WORKDAY(Main[[#This Row],[Tech Start Date]],6),IF(Main[[#This Row],[Class]]="A",WORKDAY(Main[[#This Row],[Tech Start Date]],2),""))))</f>
        <v/>
      </c>
      <c r="N8" s="77" t="str">
        <f>IF(Main[[#This Row],[Tech Start Date]]&lt;1/1/1990,"",IF(Main[[#This Row],[Class]]="C",WORKDAY(Main[[#This Row],[Tech Start Date]],19),IF(Main[[#This Row],[Class]]="B", WORKDAY(Main[[#This Row],[Tech Start Date]],12),IF(Main[[#This Row],[Class]]="A",WORKDAY(Main[[#This Row],[Tech Start Date]],4),""))))</f>
        <v/>
      </c>
      <c r="O8" s="77" t="str">
        <f>IF(Main[[#This Row],[Tech Start Date]]&lt;1/1/1990,"",IF(Main[[#This Row],[Class]]="C",WORKDAY(Main[[#This Row],[Tech Start Date]],23),IF(Main[[#This Row],[Class]]="B", WORKDAY(Main[[#This Row],[Tech Start Date]],15),IF(Main[[#This Row],[Class]]="A",WORKDAY(Main[[#This Row],[Tech Start Date]],5),""))))</f>
        <v/>
      </c>
      <c r="P8" s="77" t="str">
        <f>IF(Main[[#This Row],[Tech Start Date]]&lt;1/1/1990,"",IF(Main[[#This Row],[Class]]="C",WORKDAY(Main[[#This Row],[Tech Start Date]],28),IF(Main[[#This Row],[Class]]="B", WORKDAY(Main[[#This Row],[Tech Start Date]],19),IF(Main[[#This Row],[Class]]="A",WORKDAY(Main[[#This Row],[Tech Start Date]],9),""))))</f>
        <v/>
      </c>
      <c r="Q8" s="74"/>
      <c r="R8" s="74">
        <v>40849</v>
      </c>
      <c r="S8" s="72" t="s">
        <v>17</v>
      </c>
      <c r="T8" s="80" t="s">
        <v>76</v>
      </c>
      <c r="U8" s="72" t="s">
        <v>29</v>
      </c>
      <c r="V8" s="72" t="s">
        <v>1935</v>
      </c>
      <c r="W8" s="72" t="s">
        <v>1940</v>
      </c>
      <c r="X8" s="72" t="s">
        <v>2931</v>
      </c>
      <c r="Y8" s="72" t="s">
        <v>3065</v>
      </c>
      <c r="Z8" s="72" t="s">
        <v>420</v>
      </c>
      <c r="AA8" s="147" t="s">
        <v>2931</v>
      </c>
    </row>
    <row r="9" spans="1:35" ht="18.600000000000001" customHeight="1">
      <c r="A9" s="140">
        <f>IF(priority(Main[[#This Row],[Comments]])&lt;&gt;0, priority(Main[[#This Row],[Comments]]),"")</f>
        <v>1</v>
      </c>
      <c r="B9" s="90" t="s">
        <v>2730</v>
      </c>
      <c r="C9" s="72" t="s">
        <v>19</v>
      </c>
      <c r="D9" s="73" t="s">
        <v>2648</v>
      </c>
      <c r="E9" s="74">
        <v>40487.36078703704</v>
      </c>
      <c r="F9" s="74"/>
      <c r="G9" s="75" t="str">
        <f>IF(stdProdLT(Main[[#This Row],[Comments]])=0.1,"N/A",IF(stdProdLT(Main[[#This Row],[Comments]])=0,"",stdProdLT(Main[[#This Row],[Comments]])))</f>
        <v/>
      </c>
      <c r="H9" s="76" t="str">
        <f>IF(AND(Main[[#This Row],[In Stock Date]]&lt;&gt;"",Main[[#This Row],[Revised Due Date]]&lt;&gt;""),Main[[#This Row],[In Stock Date]]-Main[[#This Row],[Revised Due Date]],"")</f>
        <v/>
      </c>
      <c r="I9" s="72" t="s">
        <v>2040</v>
      </c>
      <c r="J9" s="72" t="s">
        <v>28</v>
      </c>
      <c r="K9" s="72" t="s">
        <v>1944</v>
      </c>
      <c r="L9" s="74"/>
      <c r="M9" s="77" t="str">
        <f>IF(Main[[#This Row],[Tech Start Date]]&lt;1/1/1990,"",IF(Main[[#This Row],[Class]]="C",WORKDAY(Main[[#This Row],[Tech Start Date]],9),IF(Main[[#This Row],[Class]]="B", WORKDAY(Main[[#This Row],[Tech Start Date]],6),IF(Main[[#This Row],[Class]]="A",WORKDAY(Main[[#This Row],[Tech Start Date]],2),""))))</f>
        <v/>
      </c>
      <c r="N9" s="77" t="str">
        <f>IF(Main[[#This Row],[Tech Start Date]]&lt;1/1/1990,"",IF(Main[[#This Row],[Class]]="C",WORKDAY(Main[[#This Row],[Tech Start Date]],19),IF(Main[[#This Row],[Class]]="B", WORKDAY(Main[[#This Row],[Tech Start Date]],12),IF(Main[[#This Row],[Class]]="A",WORKDAY(Main[[#This Row],[Tech Start Date]],4),""))))</f>
        <v/>
      </c>
      <c r="O9" s="77" t="str">
        <f>IF(Main[[#This Row],[Tech Start Date]]&lt;1/1/1990,"",IF(Main[[#This Row],[Class]]="C",WORKDAY(Main[[#This Row],[Tech Start Date]],23),IF(Main[[#This Row],[Class]]="B", WORKDAY(Main[[#This Row],[Tech Start Date]],15),IF(Main[[#This Row],[Class]]="A",WORKDAY(Main[[#This Row],[Tech Start Date]],5),""))))</f>
        <v/>
      </c>
      <c r="P9" s="77" t="str">
        <f>IF(Main[[#This Row],[Tech Start Date]]&lt;1/1/1990,"",IF(Main[[#This Row],[Class]]="C",WORKDAY(Main[[#This Row],[Tech Start Date]],28),IF(Main[[#This Row],[Class]]="B", WORKDAY(Main[[#This Row],[Tech Start Date]],19),IF(Main[[#This Row],[Class]]="A",WORKDAY(Main[[#This Row],[Tech Start Date]],9),""))))</f>
        <v/>
      </c>
      <c r="Q9" s="74">
        <v>40862</v>
      </c>
      <c r="R9" s="74">
        <v>40862</v>
      </c>
      <c r="S9" s="72" t="s">
        <v>17</v>
      </c>
      <c r="T9" s="80" t="s">
        <v>2649</v>
      </c>
      <c r="U9" s="72" t="s">
        <v>29</v>
      </c>
      <c r="V9" s="72" t="s">
        <v>1947</v>
      </c>
      <c r="W9" s="72" t="s">
        <v>1940</v>
      </c>
      <c r="X9" s="72" t="s">
        <v>129</v>
      </c>
      <c r="Y9" s="72" t="s">
        <v>3020</v>
      </c>
      <c r="Z9" s="72" t="s">
        <v>2237</v>
      </c>
      <c r="AA9" s="147" t="s">
        <v>129</v>
      </c>
    </row>
    <row r="10" spans="1:35" ht="18.600000000000001" customHeight="1">
      <c r="A10" s="140">
        <f>IF(priority(Main[[#This Row],[Comments]])&lt;&gt;0, priority(Main[[#This Row],[Comments]]),"")</f>
        <v>1</v>
      </c>
      <c r="B10" s="90" t="s">
        <v>1899</v>
      </c>
      <c r="C10" s="72" t="s">
        <v>943</v>
      </c>
      <c r="D10" s="73" t="s">
        <v>944</v>
      </c>
      <c r="E10" s="74"/>
      <c r="F10" s="74">
        <v>40787</v>
      </c>
      <c r="G10" s="75" t="str">
        <f>IF(stdProdLT(Main[[#This Row],[Comments]])=0.1,"N/A",IF(stdProdLT(Main[[#This Row],[Comments]])=0,"",stdProdLT(Main[[#This Row],[Comments]])))</f>
        <v/>
      </c>
      <c r="H10" s="76">
        <f>IF(AND(Main[[#This Row],[In Stock Date]]&lt;&gt;"",Main[[#This Row],[Revised Due Date]]&lt;&gt;""),Main[[#This Row],[In Stock Date]]-Main[[#This Row],[Revised Due Date]],"")</f>
        <v>91</v>
      </c>
      <c r="I10" s="72" t="s">
        <v>494</v>
      </c>
      <c r="J10" s="72" t="s">
        <v>70</v>
      </c>
      <c r="K10" s="72" t="s">
        <v>1941</v>
      </c>
      <c r="L10" s="74">
        <v>40658</v>
      </c>
      <c r="M10" s="77">
        <f>IF(Main[[#This Row],[Tech Start Date]]&lt;1/1/1990,"",IF(Main[[#This Row],[Class]]="C",WORKDAY(Main[[#This Row],[Tech Start Date]],9),IF(Main[[#This Row],[Class]]="B", WORKDAY(Main[[#This Row],[Tech Start Date]],6),IF(Main[[#This Row],[Class]]="A",WORKDAY(Main[[#This Row],[Tech Start Date]],2),""))))</f>
        <v>40660</v>
      </c>
      <c r="N10" s="77">
        <f>IF(Main[[#This Row],[Tech Start Date]]&lt;1/1/1990,"",IF(Main[[#This Row],[Class]]="C",WORKDAY(Main[[#This Row],[Tech Start Date]],19),IF(Main[[#This Row],[Class]]="B", WORKDAY(Main[[#This Row],[Tech Start Date]],12),IF(Main[[#This Row],[Class]]="A",WORKDAY(Main[[#This Row],[Tech Start Date]],4),""))))</f>
        <v>40662</v>
      </c>
      <c r="O10" s="77">
        <f>IF(Main[[#This Row],[Tech Start Date]]&lt;1/1/1990,"",IF(Main[[#This Row],[Class]]="C",WORKDAY(Main[[#This Row],[Tech Start Date]],23),IF(Main[[#This Row],[Class]]="B", WORKDAY(Main[[#This Row],[Tech Start Date]],15),IF(Main[[#This Row],[Class]]="A",WORKDAY(Main[[#This Row],[Tech Start Date]],5),""))))</f>
        <v>40665</v>
      </c>
      <c r="P10" s="77">
        <f>IF(Main[[#This Row],[Tech Start Date]]&lt;1/1/1990,"",IF(Main[[#This Row],[Class]]="C",WORKDAY(Main[[#This Row],[Tech Start Date]],28),IF(Main[[#This Row],[Class]]="B", WORKDAY(Main[[#This Row],[Tech Start Date]],19),IF(Main[[#This Row],[Class]]="A",WORKDAY(Main[[#This Row],[Tech Start Date]],9),""))))</f>
        <v>40669</v>
      </c>
      <c r="Q10" s="74">
        <v>40696</v>
      </c>
      <c r="R10" s="74">
        <v>40696</v>
      </c>
      <c r="S10" s="72" t="s">
        <v>11</v>
      </c>
      <c r="T10" s="80" t="s">
        <v>945</v>
      </c>
      <c r="U10" s="72" t="s">
        <v>14</v>
      </c>
      <c r="V10" s="72" t="s">
        <v>1935</v>
      </c>
      <c r="W10" s="72" t="s">
        <v>1938</v>
      </c>
      <c r="X10" s="72" t="s">
        <v>2956</v>
      </c>
      <c r="Y10" s="72" t="s">
        <v>3083</v>
      </c>
      <c r="Z10" s="72" t="s">
        <v>2073</v>
      </c>
      <c r="AA10" s="147" t="s">
        <v>2956</v>
      </c>
    </row>
    <row r="11" spans="1:35" ht="18.600000000000001" customHeight="1">
      <c r="A11" s="140">
        <f>IF(priority(Main[[#This Row],[Comments]])&lt;&gt;0, priority(Main[[#This Row],[Comments]]),"")</f>
        <v>1</v>
      </c>
      <c r="B11" s="90" t="s">
        <v>1464</v>
      </c>
      <c r="C11" s="72" t="s">
        <v>303</v>
      </c>
      <c r="D11" s="73" t="s">
        <v>3813</v>
      </c>
      <c r="E11" s="74">
        <v>40682.310381944444</v>
      </c>
      <c r="F11" s="74">
        <v>40977</v>
      </c>
      <c r="G11" s="75">
        <f>IF(stdProdLT(Main[[#This Row],[Comments]])=0.1,"N/A",IF(stdProdLT(Main[[#This Row],[Comments]])=0,"",stdProdLT(Main[[#This Row],[Comments]])))</f>
        <v>33</v>
      </c>
      <c r="H11" s="76">
        <f>IF(AND(Main[[#This Row],[In Stock Date]]&lt;&gt;"",Main[[#This Row],[Revised Due Date]]&lt;&gt;""),Main[[#This Row],[In Stock Date]]-Main[[#This Row],[Revised Due Date]],"")</f>
        <v>23</v>
      </c>
      <c r="I11" s="72" t="s">
        <v>952</v>
      </c>
      <c r="J11" s="72" t="s">
        <v>28</v>
      </c>
      <c r="K11" s="72" t="s">
        <v>1945</v>
      </c>
      <c r="L11" s="74">
        <v>40725</v>
      </c>
      <c r="M11" s="77">
        <f>IF(Main[[#This Row],[Tech Start Date]]&lt;1/1/1990,"",IF(Main[[#This Row],[Class]]="C",WORKDAY(Main[[#This Row],[Tech Start Date]],9),IF(Main[[#This Row],[Class]]="B", WORKDAY(Main[[#This Row],[Tech Start Date]],6),IF(Main[[#This Row],[Class]]="A",WORKDAY(Main[[#This Row],[Tech Start Date]],2),""))))</f>
        <v>40738</v>
      </c>
      <c r="N11" s="77">
        <f>IF(Main[[#This Row],[Tech Start Date]]&lt;1/1/1990,"",IF(Main[[#This Row],[Class]]="C",WORKDAY(Main[[#This Row],[Tech Start Date]],19),IF(Main[[#This Row],[Class]]="B", WORKDAY(Main[[#This Row],[Tech Start Date]],12),IF(Main[[#This Row],[Class]]="A",WORKDAY(Main[[#This Row],[Tech Start Date]],4),""))))</f>
        <v>40752</v>
      </c>
      <c r="O11" s="77">
        <f>IF(Main[[#This Row],[Tech Start Date]]&lt;1/1/1990,"",IF(Main[[#This Row],[Class]]="C",WORKDAY(Main[[#This Row],[Tech Start Date]],23),IF(Main[[#This Row],[Class]]="B", WORKDAY(Main[[#This Row],[Tech Start Date]],15),IF(Main[[#This Row],[Class]]="A",WORKDAY(Main[[#This Row],[Tech Start Date]],5),""))))</f>
        <v>40758</v>
      </c>
      <c r="P11" s="77">
        <f>IF(Main[[#This Row],[Tech Start Date]]&lt;1/1/1990,"",IF(Main[[#This Row],[Class]]="C",WORKDAY(Main[[#This Row],[Tech Start Date]],28),IF(Main[[#This Row],[Class]]="B", WORKDAY(Main[[#This Row],[Tech Start Date]],19),IF(Main[[#This Row],[Class]]="A",WORKDAY(Main[[#This Row],[Tech Start Date]],9),""))))</f>
        <v>40765</v>
      </c>
      <c r="Q11" s="74">
        <v>40712</v>
      </c>
      <c r="R11" s="74">
        <v>40954</v>
      </c>
      <c r="S11" s="72" t="s">
        <v>11</v>
      </c>
      <c r="T11" s="80" t="s">
        <v>3444</v>
      </c>
      <c r="U11" s="72" t="s">
        <v>29</v>
      </c>
      <c r="V11" s="72" t="s">
        <v>1933</v>
      </c>
      <c r="W11" s="72" t="s">
        <v>1938</v>
      </c>
      <c r="X11" s="72" t="s">
        <v>2919</v>
      </c>
      <c r="Y11" s="72" t="s">
        <v>4</v>
      </c>
      <c r="Z11" s="72" t="s">
        <v>2075</v>
      </c>
      <c r="AA11" s="147" t="s">
        <v>2919</v>
      </c>
    </row>
    <row r="12" spans="1:35" ht="18.600000000000001" customHeight="1">
      <c r="A12" s="140">
        <f>IF(priority(Main[[#This Row],[Comments]])&lt;&gt;0, priority(Main[[#This Row],[Comments]]),"")</f>
        <v>1</v>
      </c>
      <c r="B12" s="90" t="s">
        <v>2665</v>
      </c>
      <c r="C12" s="72" t="s">
        <v>2666</v>
      </c>
      <c r="D12" s="73" t="s">
        <v>2878</v>
      </c>
      <c r="E12" s="74"/>
      <c r="F12" s="74">
        <v>40855</v>
      </c>
      <c r="G12" s="75" t="str">
        <f>IF(stdProdLT(Main[[#This Row],[Comments]])=0.1,"N/A",IF(stdProdLT(Main[[#This Row],[Comments]])=0,"",stdProdLT(Main[[#This Row],[Comments]])))</f>
        <v>N/A</v>
      </c>
      <c r="H12" s="76">
        <f>IF(AND(Main[[#This Row],[In Stock Date]]&lt;&gt;"",Main[[#This Row],[Revised Due Date]]&lt;&gt;""),Main[[#This Row],[In Stock Date]]-Main[[#This Row],[Revised Due Date]],"")</f>
        <v>-84</v>
      </c>
      <c r="I12" s="72" t="s">
        <v>949</v>
      </c>
      <c r="J12" s="72" t="s">
        <v>28</v>
      </c>
      <c r="K12" s="72" t="s">
        <v>1941</v>
      </c>
      <c r="L12" s="74">
        <v>40834</v>
      </c>
      <c r="M12" s="77">
        <f>IF(Main[[#This Row],[Tech Start Date]]&lt;1/1/1990,"",IF(Main[[#This Row],[Class]]="C",WORKDAY(Main[[#This Row],[Tech Start Date]],9),IF(Main[[#This Row],[Class]]="B", WORKDAY(Main[[#This Row],[Tech Start Date]],6),IF(Main[[#This Row],[Class]]="A",WORKDAY(Main[[#This Row],[Tech Start Date]],2),""))))</f>
        <v>40836</v>
      </c>
      <c r="N12" s="77">
        <f>IF(Main[[#This Row],[Tech Start Date]]&lt;1/1/1990,"",IF(Main[[#This Row],[Class]]="C",WORKDAY(Main[[#This Row],[Tech Start Date]],19),IF(Main[[#This Row],[Class]]="B", WORKDAY(Main[[#This Row],[Tech Start Date]],12),IF(Main[[#This Row],[Class]]="A",WORKDAY(Main[[#This Row],[Tech Start Date]],4),""))))</f>
        <v>40840</v>
      </c>
      <c r="O12" s="77">
        <f>IF(Main[[#This Row],[Tech Start Date]]&lt;1/1/1990,"",IF(Main[[#This Row],[Class]]="C",WORKDAY(Main[[#This Row],[Tech Start Date]],23),IF(Main[[#This Row],[Class]]="B", WORKDAY(Main[[#This Row],[Tech Start Date]],15),IF(Main[[#This Row],[Class]]="A",WORKDAY(Main[[#This Row],[Tech Start Date]],5),""))))</f>
        <v>40841</v>
      </c>
      <c r="P12" s="77">
        <f>IF(Main[[#This Row],[Tech Start Date]]&lt;1/1/1990,"",IF(Main[[#This Row],[Class]]="C",WORKDAY(Main[[#This Row],[Tech Start Date]],28),IF(Main[[#This Row],[Class]]="B", WORKDAY(Main[[#This Row],[Tech Start Date]],19),IF(Main[[#This Row],[Class]]="A",WORKDAY(Main[[#This Row],[Tech Start Date]],9),""))))</f>
        <v>40847</v>
      </c>
      <c r="Q12" s="74">
        <v>40855</v>
      </c>
      <c r="R12" s="74">
        <v>40939</v>
      </c>
      <c r="S12" s="72" t="s">
        <v>11</v>
      </c>
      <c r="T12" s="80" t="s">
        <v>2879</v>
      </c>
      <c r="U12" s="72" t="s">
        <v>14</v>
      </c>
      <c r="V12" s="72" t="s">
        <v>1932</v>
      </c>
      <c r="W12" s="72" t="s">
        <v>1934</v>
      </c>
      <c r="X12" s="72" t="s">
        <v>2915</v>
      </c>
      <c r="Y12" s="72" t="s">
        <v>3041</v>
      </c>
      <c r="Z12" s="72" t="s">
        <v>129</v>
      </c>
      <c r="AA12" s="147" t="s">
        <v>2915</v>
      </c>
    </row>
    <row r="13" spans="1:35" ht="18.600000000000001" customHeight="1">
      <c r="A13" s="140">
        <f>IF(priority(Main[[#This Row],[Comments]])&lt;&gt;0, priority(Main[[#This Row],[Comments]]),"")</f>
        <v>1</v>
      </c>
      <c r="B13" s="90" t="s">
        <v>3438</v>
      </c>
      <c r="C13" s="72" t="s">
        <v>3439</v>
      </c>
      <c r="D13" s="73" t="s">
        <v>3676</v>
      </c>
      <c r="E13" s="74">
        <v>40935.148761574077</v>
      </c>
      <c r="F13" s="74">
        <v>41033</v>
      </c>
      <c r="G13" s="75">
        <f>IF(stdProdLT(Main[[#This Row],[Comments]])=0.1,"N/A",IF(stdProdLT(Main[[#This Row],[Comments]])=0,"",stdProdLT(Main[[#This Row],[Comments]])))</f>
        <v>126</v>
      </c>
      <c r="H13" s="76">
        <f>IF(AND(Main[[#This Row],[In Stock Date]]&lt;&gt;"",Main[[#This Row],[Revised Due Date]]&lt;&gt;""),Main[[#This Row],[In Stock Date]]-Main[[#This Row],[Revised Due Date]],"")</f>
        <v>74</v>
      </c>
      <c r="I13" s="72" t="s">
        <v>905</v>
      </c>
      <c r="J13" s="72" t="s">
        <v>52</v>
      </c>
      <c r="K13" s="72" t="s">
        <v>1939</v>
      </c>
      <c r="L13" s="74">
        <v>40938</v>
      </c>
      <c r="M13" s="77">
        <f>IF(Main[[#This Row],[Tech Start Date]]&lt;1/1/1990,"",IF(Main[[#This Row],[Class]]="C",WORKDAY(Main[[#This Row],[Tech Start Date]],9),IF(Main[[#This Row],[Class]]="B", WORKDAY(Main[[#This Row],[Tech Start Date]],6),IF(Main[[#This Row],[Class]]="A",WORKDAY(Main[[#This Row],[Tech Start Date]],2),""))))</f>
        <v>40946</v>
      </c>
      <c r="N13" s="77">
        <f>IF(Main[[#This Row],[Tech Start Date]]&lt;1/1/1990,"",IF(Main[[#This Row],[Class]]="C",WORKDAY(Main[[#This Row],[Tech Start Date]],19),IF(Main[[#This Row],[Class]]="B", WORKDAY(Main[[#This Row],[Tech Start Date]],12),IF(Main[[#This Row],[Class]]="A",WORKDAY(Main[[#This Row],[Tech Start Date]],4),""))))</f>
        <v>40954</v>
      </c>
      <c r="O13" s="77">
        <f>IF(Main[[#This Row],[Tech Start Date]]&lt;1/1/1990,"",IF(Main[[#This Row],[Class]]="C",WORKDAY(Main[[#This Row],[Tech Start Date]],23),IF(Main[[#This Row],[Class]]="B", WORKDAY(Main[[#This Row],[Tech Start Date]],15),IF(Main[[#This Row],[Class]]="A",WORKDAY(Main[[#This Row],[Tech Start Date]],5),""))))</f>
        <v>40959</v>
      </c>
      <c r="P13" s="77">
        <f>IF(Main[[#This Row],[Tech Start Date]]&lt;1/1/1990,"",IF(Main[[#This Row],[Class]]="C",WORKDAY(Main[[#This Row],[Tech Start Date]],28),IF(Main[[#This Row],[Class]]="B", WORKDAY(Main[[#This Row],[Tech Start Date]],19),IF(Main[[#This Row],[Class]]="A",WORKDAY(Main[[#This Row],[Tech Start Date]],9),""))))</f>
        <v>40963</v>
      </c>
      <c r="Q13" s="74">
        <v>40984</v>
      </c>
      <c r="R13" s="74">
        <v>40959</v>
      </c>
      <c r="S13" s="72" t="s">
        <v>11</v>
      </c>
      <c r="T13" s="80" t="s">
        <v>3837</v>
      </c>
      <c r="U13" s="72" t="s">
        <v>29</v>
      </c>
      <c r="V13" s="72" t="s">
        <v>1932</v>
      </c>
      <c r="W13" s="72" t="s">
        <v>1937</v>
      </c>
      <c r="X13" s="72" t="s">
        <v>3440</v>
      </c>
      <c r="Y13" s="72" t="s">
        <v>4</v>
      </c>
      <c r="Z13" s="72" t="s">
        <v>129</v>
      </c>
      <c r="AA13" s="147" t="s">
        <v>3440</v>
      </c>
    </row>
    <row r="14" spans="1:35" ht="18.600000000000001" customHeight="1">
      <c r="A14" s="140">
        <f>IF(priority(Main[[#This Row],[Comments]])&lt;&gt;0, priority(Main[[#This Row],[Comments]]),"")</f>
        <v>1</v>
      </c>
      <c r="B14" s="90" t="s">
        <v>3281</v>
      </c>
      <c r="C14" s="72" t="s">
        <v>4</v>
      </c>
      <c r="D14" s="73" t="s">
        <v>3282</v>
      </c>
      <c r="E14" s="74">
        <v>40919.097627314812</v>
      </c>
      <c r="F14" s="74"/>
      <c r="G14" s="75" t="str">
        <f>IF(stdProdLT(Main[[#This Row],[Comments]])=0.1,"N/A",IF(stdProdLT(Main[[#This Row],[Comments]])=0,"",stdProdLT(Main[[#This Row],[Comments]])))</f>
        <v>N/A</v>
      </c>
      <c r="H14" s="76" t="str">
        <f>IF(AND(Main[[#This Row],[In Stock Date]]&lt;&gt;"",Main[[#This Row],[Revised Due Date]]&lt;&gt;""),Main[[#This Row],[In Stock Date]]-Main[[#This Row],[Revised Due Date]],"")</f>
        <v/>
      </c>
      <c r="I14" s="72" t="s">
        <v>2066</v>
      </c>
      <c r="J14" s="72" t="s">
        <v>28</v>
      </c>
      <c r="K14" s="72" t="s">
        <v>1941</v>
      </c>
      <c r="L14" s="74">
        <v>40947</v>
      </c>
      <c r="M14" s="77">
        <f>IF(Main[[#This Row],[Tech Start Date]]&lt;1/1/1990,"",IF(Main[[#This Row],[Class]]="C",WORKDAY(Main[[#This Row],[Tech Start Date]],9),IF(Main[[#This Row],[Class]]="B", WORKDAY(Main[[#This Row],[Tech Start Date]],6),IF(Main[[#This Row],[Class]]="A",WORKDAY(Main[[#This Row],[Tech Start Date]],2),""))))</f>
        <v>40949</v>
      </c>
      <c r="N14" s="77">
        <f>IF(Main[[#This Row],[Tech Start Date]]&lt;1/1/1990,"",IF(Main[[#This Row],[Class]]="C",WORKDAY(Main[[#This Row],[Tech Start Date]],19),IF(Main[[#This Row],[Class]]="B", WORKDAY(Main[[#This Row],[Tech Start Date]],12),IF(Main[[#This Row],[Class]]="A",WORKDAY(Main[[#This Row],[Tech Start Date]],4),""))))</f>
        <v>40953</v>
      </c>
      <c r="O14" s="77">
        <f>IF(Main[[#This Row],[Tech Start Date]]&lt;1/1/1990,"",IF(Main[[#This Row],[Class]]="C",WORKDAY(Main[[#This Row],[Tech Start Date]],23),IF(Main[[#This Row],[Class]]="B", WORKDAY(Main[[#This Row],[Tech Start Date]],15),IF(Main[[#This Row],[Class]]="A",WORKDAY(Main[[#This Row],[Tech Start Date]],5),""))))</f>
        <v>40954</v>
      </c>
      <c r="P14" s="77">
        <f>IF(Main[[#This Row],[Tech Start Date]]&lt;1/1/1990,"",IF(Main[[#This Row],[Class]]="C",WORKDAY(Main[[#This Row],[Tech Start Date]],28),IF(Main[[#This Row],[Class]]="B", WORKDAY(Main[[#This Row],[Tech Start Date]],19),IF(Main[[#This Row],[Class]]="A",WORKDAY(Main[[#This Row],[Tech Start Date]],9),""))))</f>
        <v>40960</v>
      </c>
      <c r="Q14" s="74"/>
      <c r="R14" s="74">
        <v>40959</v>
      </c>
      <c r="S14" s="72" t="s">
        <v>11</v>
      </c>
      <c r="T14" s="80" t="s">
        <v>3864</v>
      </c>
      <c r="U14" s="72" t="s">
        <v>29</v>
      </c>
      <c r="V14" s="72" t="s">
        <v>1942</v>
      </c>
      <c r="W14" s="72" t="s">
        <v>1938</v>
      </c>
      <c r="X14" s="72" t="s">
        <v>2996</v>
      </c>
      <c r="Y14" s="72" t="s">
        <v>3283</v>
      </c>
      <c r="Z14" s="72" t="s">
        <v>535</v>
      </c>
      <c r="AA14" s="147" t="s">
        <v>2996</v>
      </c>
    </row>
    <row r="15" spans="1:35" ht="18.600000000000001" customHeight="1">
      <c r="A15" s="140">
        <f>IF(priority(Main[[#This Row],[Comments]])&lt;&gt;0, priority(Main[[#This Row],[Comments]]),"")</f>
        <v>1.01</v>
      </c>
      <c r="B15" s="90" t="s">
        <v>1898</v>
      </c>
      <c r="C15" s="72" t="s">
        <v>113</v>
      </c>
      <c r="D15" s="73" t="s">
        <v>2728</v>
      </c>
      <c r="E15" s="74">
        <v>40633.588854166665</v>
      </c>
      <c r="F15" s="74">
        <v>40674</v>
      </c>
      <c r="G15" s="75" t="str">
        <f>IF(stdProdLT(Main[[#This Row],[Comments]])=0.1,"N/A",IF(stdProdLT(Main[[#This Row],[Comments]])=0,"",stdProdLT(Main[[#This Row],[Comments]])))</f>
        <v/>
      </c>
      <c r="H15" s="76">
        <f>IF(AND(Main[[#This Row],[In Stock Date]]&lt;&gt;"",Main[[#This Row],[Revised Due Date]]&lt;&gt;""),Main[[#This Row],[In Stock Date]]-Main[[#This Row],[Revised Due Date]],"")</f>
        <v>-355</v>
      </c>
      <c r="I15" s="72" t="s">
        <v>949</v>
      </c>
      <c r="J15" s="72" t="s">
        <v>28</v>
      </c>
      <c r="K15" s="81" t="s">
        <v>1944</v>
      </c>
      <c r="L15" s="74">
        <v>40666</v>
      </c>
      <c r="M15" s="77" t="str">
        <f>IF(Main[[#This Row],[Tech Start Date]]&lt;1/1/1990,"",IF(Main[[#This Row],[Class]]="C",WORKDAY(Main[[#This Row],[Tech Start Date]],9),IF(Main[[#This Row],[Class]]="B", WORKDAY(Main[[#This Row],[Tech Start Date]],6),IF(Main[[#This Row],[Class]]="A",WORKDAY(Main[[#This Row],[Tech Start Date]],2),""))))</f>
        <v/>
      </c>
      <c r="N15" s="77" t="str">
        <f>IF(Main[[#This Row],[Tech Start Date]]&lt;1/1/1990,"",IF(Main[[#This Row],[Class]]="C",WORKDAY(Main[[#This Row],[Tech Start Date]],19),IF(Main[[#This Row],[Class]]="B", WORKDAY(Main[[#This Row],[Tech Start Date]],12),IF(Main[[#This Row],[Class]]="A",WORKDAY(Main[[#This Row],[Tech Start Date]],4),""))))</f>
        <v/>
      </c>
      <c r="O15" s="77" t="str">
        <f>IF(Main[[#This Row],[Tech Start Date]]&lt;1/1/1990,"",IF(Main[[#This Row],[Class]]="C",WORKDAY(Main[[#This Row],[Tech Start Date]],23),IF(Main[[#This Row],[Class]]="B", WORKDAY(Main[[#This Row],[Tech Start Date]],15),IF(Main[[#This Row],[Class]]="A",WORKDAY(Main[[#This Row],[Tech Start Date]],5),""))))</f>
        <v/>
      </c>
      <c r="P15" s="77" t="str">
        <f>IF(Main[[#This Row],[Tech Start Date]]&lt;1/1/1990,"",IF(Main[[#This Row],[Class]]="C",WORKDAY(Main[[#This Row],[Tech Start Date]],28),IF(Main[[#This Row],[Class]]="B", WORKDAY(Main[[#This Row],[Tech Start Date]],19),IF(Main[[#This Row],[Class]]="A",WORKDAY(Main[[#This Row],[Tech Start Date]],9),""))))</f>
        <v/>
      </c>
      <c r="Q15" s="74">
        <v>40939</v>
      </c>
      <c r="R15" s="74">
        <v>41029</v>
      </c>
      <c r="S15" s="72" t="s">
        <v>17</v>
      </c>
      <c r="T15" s="80" t="s">
        <v>2655</v>
      </c>
      <c r="U15" s="72" t="s">
        <v>29</v>
      </c>
      <c r="V15" s="72" t="s">
        <v>1932</v>
      </c>
      <c r="W15" s="72" t="s">
        <v>1943</v>
      </c>
      <c r="X15" s="72" t="s">
        <v>2917</v>
      </c>
      <c r="Y15" s="72" t="s">
        <v>3026</v>
      </c>
      <c r="Z15" s="72" t="s">
        <v>129</v>
      </c>
      <c r="AA15" s="147" t="s">
        <v>2917</v>
      </c>
    </row>
    <row r="16" spans="1:35" ht="18.600000000000001" customHeight="1">
      <c r="A16" s="140">
        <f>IF(priority(Main[[#This Row],[Comments]])&lt;&gt;0, priority(Main[[#This Row],[Comments]]),"")</f>
        <v>1.1000000000000001</v>
      </c>
      <c r="B16" s="90" t="s">
        <v>3789</v>
      </c>
      <c r="C16" s="72" t="s">
        <v>351</v>
      </c>
      <c r="D16" s="73" t="s">
        <v>3790</v>
      </c>
      <c r="E16" s="74">
        <v>40946.394178240742</v>
      </c>
      <c r="F16" s="74">
        <v>41030</v>
      </c>
      <c r="G16" s="75">
        <f>IF(stdProdLT(Main[[#This Row],[Comments]])=0.1,"N/A",IF(stdProdLT(Main[[#This Row],[Comments]])=0,"",stdProdLT(Main[[#This Row],[Comments]])))</f>
        <v>126</v>
      </c>
      <c r="H16" s="76" t="str">
        <f>IF(AND(Main[[#This Row],[In Stock Date]]&lt;&gt;"",Main[[#This Row],[Revised Due Date]]&lt;&gt;""),Main[[#This Row],[In Stock Date]]-Main[[#This Row],[Revised Due Date]],"")</f>
        <v/>
      </c>
      <c r="I16" s="72" t="s">
        <v>4</v>
      </c>
      <c r="J16" s="72" t="s">
        <v>4</v>
      </c>
      <c r="K16" s="72" t="s">
        <v>4</v>
      </c>
      <c r="L16" s="74"/>
      <c r="M16" s="77" t="str">
        <f>IF(Main[[#This Row],[Tech Start Date]]&lt;1/1/1990,"",IF(Main[[#This Row],[Class]]="C",WORKDAY(Main[[#This Row],[Tech Start Date]],9),IF(Main[[#This Row],[Class]]="B", WORKDAY(Main[[#This Row],[Tech Start Date]],6),IF(Main[[#This Row],[Class]]="A",WORKDAY(Main[[#This Row],[Tech Start Date]],2),""))))</f>
        <v/>
      </c>
      <c r="N16" s="77" t="str">
        <f>IF(Main[[#This Row],[Tech Start Date]]&lt;1/1/1990,"",IF(Main[[#This Row],[Class]]="C",WORKDAY(Main[[#This Row],[Tech Start Date]],19),IF(Main[[#This Row],[Class]]="B", WORKDAY(Main[[#This Row],[Tech Start Date]],12),IF(Main[[#This Row],[Class]]="A",WORKDAY(Main[[#This Row],[Tech Start Date]],4),""))))</f>
        <v/>
      </c>
      <c r="O16" s="77" t="str">
        <f>IF(Main[[#This Row],[Tech Start Date]]&lt;1/1/1990,"",IF(Main[[#This Row],[Class]]="C",WORKDAY(Main[[#This Row],[Tech Start Date]],23),IF(Main[[#This Row],[Class]]="B", WORKDAY(Main[[#This Row],[Tech Start Date]],15),IF(Main[[#This Row],[Class]]="A",WORKDAY(Main[[#This Row],[Tech Start Date]],5),""))))</f>
        <v/>
      </c>
      <c r="P16" s="77" t="str">
        <f>IF(Main[[#This Row],[Tech Start Date]]&lt;1/1/1990,"",IF(Main[[#This Row],[Class]]="C",WORKDAY(Main[[#This Row],[Tech Start Date]],28),IF(Main[[#This Row],[Class]]="B", WORKDAY(Main[[#This Row],[Tech Start Date]],19),IF(Main[[#This Row],[Class]]="A",WORKDAY(Main[[#This Row],[Tech Start Date]],9),""))))</f>
        <v/>
      </c>
      <c r="Q16" s="74">
        <v>40969</v>
      </c>
      <c r="R16" s="74"/>
      <c r="S16" s="72" t="s">
        <v>11</v>
      </c>
      <c r="T16" s="80" t="s">
        <v>3791</v>
      </c>
      <c r="U16" s="72" t="s">
        <v>7</v>
      </c>
      <c r="V16" s="72" t="s">
        <v>1932</v>
      </c>
      <c r="W16" s="72" t="s">
        <v>1940</v>
      </c>
      <c r="X16" s="72" t="s">
        <v>2995</v>
      </c>
      <c r="Y16" s="72" t="s">
        <v>4</v>
      </c>
      <c r="Z16" s="72" t="s">
        <v>4</v>
      </c>
      <c r="AA16" s="147" t="s">
        <v>3594</v>
      </c>
    </row>
    <row r="17" spans="1:34" ht="18.600000000000001" customHeight="1">
      <c r="A17" s="140">
        <f>IF(priority(Main[[#This Row],[Comments]])&lt;&gt;0, priority(Main[[#This Row],[Comments]]),"")</f>
        <v>2</v>
      </c>
      <c r="B17" s="90" t="s">
        <v>1169</v>
      </c>
      <c r="C17" s="72" t="s">
        <v>19</v>
      </c>
      <c r="D17" s="73" t="s">
        <v>2463</v>
      </c>
      <c r="E17" s="74">
        <v>40487.363657407404</v>
      </c>
      <c r="F17" s="74"/>
      <c r="G17" s="75" t="str">
        <f>IF(stdProdLT(Main[[#This Row],[Comments]])=0.1,"N/A",IF(stdProdLT(Main[[#This Row],[Comments]])=0,"",stdProdLT(Main[[#This Row],[Comments]])))</f>
        <v/>
      </c>
      <c r="H17" s="76" t="str">
        <f>IF(AND(Main[[#This Row],[In Stock Date]]&lt;&gt;"",Main[[#This Row],[Revised Due Date]]&lt;&gt;""),Main[[#This Row],[In Stock Date]]-Main[[#This Row],[Revised Due Date]],"")</f>
        <v/>
      </c>
      <c r="I17" s="72" t="s">
        <v>2040</v>
      </c>
      <c r="J17" s="72" t="s">
        <v>28</v>
      </c>
      <c r="K17" s="72" t="s">
        <v>4</v>
      </c>
      <c r="L17" s="74"/>
      <c r="M17" s="77" t="str">
        <f>IF(Main[[#This Row],[Tech Start Date]]&lt;1/1/1990,"",IF(Main[[#This Row],[Class]]="C",WORKDAY(Main[[#This Row],[Tech Start Date]],9),IF(Main[[#This Row],[Class]]="B", WORKDAY(Main[[#This Row],[Tech Start Date]],6),IF(Main[[#This Row],[Class]]="A",WORKDAY(Main[[#This Row],[Tech Start Date]],2),""))))</f>
        <v/>
      </c>
      <c r="N17" s="77" t="str">
        <f>IF(Main[[#This Row],[Tech Start Date]]&lt;1/1/1990,"",IF(Main[[#This Row],[Class]]="C",WORKDAY(Main[[#This Row],[Tech Start Date]],19),IF(Main[[#This Row],[Class]]="B", WORKDAY(Main[[#This Row],[Tech Start Date]],12),IF(Main[[#This Row],[Class]]="A",WORKDAY(Main[[#This Row],[Tech Start Date]],4),""))))</f>
        <v/>
      </c>
      <c r="O17" s="77" t="str">
        <f>IF(Main[[#This Row],[Tech Start Date]]&lt;1/1/1990,"",IF(Main[[#This Row],[Class]]="C",WORKDAY(Main[[#This Row],[Tech Start Date]],23),IF(Main[[#This Row],[Class]]="B", WORKDAY(Main[[#This Row],[Tech Start Date]],15),IF(Main[[#This Row],[Class]]="A",WORKDAY(Main[[#This Row],[Tech Start Date]],5),""))))</f>
        <v/>
      </c>
      <c r="P17" s="77" t="str">
        <f>IF(Main[[#This Row],[Tech Start Date]]&lt;1/1/1990,"",IF(Main[[#This Row],[Class]]="C",WORKDAY(Main[[#This Row],[Tech Start Date]],28),IF(Main[[#This Row],[Class]]="B", WORKDAY(Main[[#This Row],[Tech Start Date]],19),IF(Main[[#This Row],[Class]]="A",WORKDAY(Main[[#This Row],[Tech Start Date]],9),""))))</f>
        <v/>
      </c>
      <c r="Q17" s="74">
        <v>40862</v>
      </c>
      <c r="R17" s="74">
        <v>40862</v>
      </c>
      <c r="S17" s="72" t="s">
        <v>17</v>
      </c>
      <c r="T17" s="80" t="s">
        <v>2464</v>
      </c>
      <c r="U17" s="72" t="s">
        <v>29</v>
      </c>
      <c r="V17" s="72" t="s">
        <v>1947</v>
      </c>
      <c r="W17" s="72" t="s">
        <v>1934</v>
      </c>
      <c r="X17" s="72" t="s">
        <v>129</v>
      </c>
      <c r="Y17" s="72" t="s">
        <v>3020</v>
      </c>
      <c r="Z17" s="72" t="s">
        <v>2237</v>
      </c>
      <c r="AA17" s="147" t="s">
        <v>129</v>
      </c>
    </row>
    <row r="18" spans="1:34" ht="18.600000000000001" customHeight="1">
      <c r="A18" s="140">
        <f>IF(priority(Main[[#This Row],[Comments]])&lt;&gt;0, priority(Main[[#This Row],[Comments]]),"")</f>
        <v>2</v>
      </c>
      <c r="B18" s="90" t="s">
        <v>2067</v>
      </c>
      <c r="C18" s="72" t="s">
        <v>303</v>
      </c>
      <c r="D18" s="73" t="s">
        <v>2348</v>
      </c>
      <c r="E18" s="74">
        <v>40682.272986111115</v>
      </c>
      <c r="F18" s="74">
        <v>40909</v>
      </c>
      <c r="G18" s="75">
        <f>IF(stdProdLT(Main[[#This Row],[Comments]])=0.1,"N/A",IF(stdProdLT(Main[[#This Row],[Comments]])=0,"",stdProdLT(Main[[#This Row],[Comments]])))</f>
        <v>182</v>
      </c>
      <c r="H18" s="76">
        <f>IF(AND(Main[[#This Row],[In Stock Date]]&lt;&gt;"",Main[[#This Row],[Revised Due Date]]&lt;&gt;""),Main[[#This Row],[In Stock Date]]-Main[[#This Row],[Revised Due Date]],"")</f>
        <v>78</v>
      </c>
      <c r="I18" s="72" t="s">
        <v>958</v>
      </c>
      <c r="J18" s="72" t="s">
        <v>28</v>
      </c>
      <c r="K18" s="81" t="s">
        <v>1945</v>
      </c>
      <c r="L18" s="74">
        <v>40725</v>
      </c>
      <c r="M18" s="77">
        <f>IF(Main[[#This Row],[Tech Start Date]]&lt;1/1/1990,"",IF(Main[[#This Row],[Class]]="C",WORKDAY(Main[[#This Row],[Tech Start Date]],9),IF(Main[[#This Row],[Class]]="B", WORKDAY(Main[[#This Row],[Tech Start Date]],6),IF(Main[[#This Row],[Class]]="A",WORKDAY(Main[[#This Row],[Tech Start Date]],2),""))))</f>
        <v>40738</v>
      </c>
      <c r="N18" s="77">
        <f>IF(Main[[#This Row],[Tech Start Date]]&lt;1/1/1990,"",IF(Main[[#This Row],[Class]]="C",WORKDAY(Main[[#This Row],[Tech Start Date]],19),IF(Main[[#This Row],[Class]]="B", WORKDAY(Main[[#This Row],[Tech Start Date]],12),IF(Main[[#This Row],[Class]]="A",WORKDAY(Main[[#This Row],[Tech Start Date]],4),""))))</f>
        <v>40752</v>
      </c>
      <c r="O18" s="77">
        <f>IF(Main[[#This Row],[Tech Start Date]]&lt;1/1/1990,"",IF(Main[[#This Row],[Class]]="C",WORKDAY(Main[[#This Row],[Tech Start Date]],23),IF(Main[[#This Row],[Class]]="B", WORKDAY(Main[[#This Row],[Tech Start Date]],15),IF(Main[[#This Row],[Class]]="A",WORKDAY(Main[[#This Row],[Tech Start Date]],5),""))))</f>
        <v>40758</v>
      </c>
      <c r="P18" s="77">
        <f>IF(Main[[#This Row],[Tech Start Date]]&lt;1/1/1990,"",IF(Main[[#This Row],[Class]]="C",WORKDAY(Main[[#This Row],[Tech Start Date]],28),IF(Main[[#This Row],[Class]]="B", WORKDAY(Main[[#This Row],[Tech Start Date]],19),IF(Main[[#This Row],[Class]]="A",WORKDAY(Main[[#This Row],[Tech Start Date]],9),""))))</f>
        <v>40765</v>
      </c>
      <c r="Q18" s="74">
        <v>40724</v>
      </c>
      <c r="R18" s="74">
        <v>40831</v>
      </c>
      <c r="S18" s="72" t="s">
        <v>17</v>
      </c>
      <c r="T18" s="80" t="s">
        <v>2233</v>
      </c>
      <c r="U18" s="72" t="s">
        <v>29</v>
      </c>
      <c r="V18" s="72" t="s">
        <v>1933</v>
      </c>
      <c r="W18" s="72" t="s">
        <v>1937</v>
      </c>
      <c r="X18" s="72" t="s">
        <v>2919</v>
      </c>
      <c r="Y18" s="72" t="s">
        <v>4</v>
      </c>
      <c r="Z18" s="72" t="s">
        <v>2075</v>
      </c>
      <c r="AA18" s="147" t="s">
        <v>2919</v>
      </c>
    </row>
    <row r="19" spans="1:34" ht="18.600000000000001" customHeight="1">
      <c r="A19" s="140">
        <f>IF(priority(Main[[#This Row],[Comments]])&lt;&gt;0, priority(Main[[#This Row],[Comments]]),"")</f>
        <v>2</v>
      </c>
      <c r="B19" s="90" t="s">
        <v>2305</v>
      </c>
      <c r="C19" s="72" t="s">
        <v>523</v>
      </c>
      <c r="D19" s="73" t="s">
        <v>3011</v>
      </c>
      <c r="E19" s="74">
        <v>40812.552488425928</v>
      </c>
      <c r="F19" s="74">
        <v>41030</v>
      </c>
      <c r="G19" s="75">
        <f>IF(stdProdLT(Main[[#This Row],[Comments]])=0.1,"N/A",IF(stdProdLT(Main[[#This Row],[Comments]])=0,"",stdProdLT(Main[[#This Row],[Comments]])))</f>
        <v>84</v>
      </c>
      <c r="H19" s="76">
        <f>IF(AND(Main[[#This Row],[In Stock Date]]&lt;&gt;"",Main[[#This Row],[Revised Due Date]]&lt;&gt;""),Main[[#This Row],[In Stock Date]]-Main[[#This Row],[Revised Due Date]],"")</f>
        <v>74</v>
      </c>
      <c r="I19" s="72" t="s">
        <v>2670</v>
      </c>
      <c r="J19" s="72" t="s">
        <v>21</v>
      </c>
      <c r="K19" s="81" t="s">
        <v>1939</v>
      </c>
      <c r="L19" s="74">
        <v>40835</v>
      </c>
      <c r="M19" s="77">
        <f>IF(Main[[#This Row],[Tech Start Date]]&lt;1/1/1990,"",IF(Main[[#This Row],[Class]]="C",WORKDAY(Main[[#This Row],[Tech Start Date]],9),IF(Main[[#This Row],[Class]]="B", WORKDAY(Main[[#This Row],[Tech Start Date]],6),IF(Main[[#This Row],[Class]]="A",WORKDAY(Main[[#This Row],[Tech Start Date]],2),""))))</f>
        <v>40843</v>
      </c>
      <c r="N19" s="77">
        <f>IF(Main[[#This Row],[Tech Start Date]]&lt;1/1/1990,"",IF(Main[[#This Row],[Class]]="C",WORKDAY(Main[[#This Row],[Tech Start Date]],19),IF(Main[[#This Row],[Class]]="B", WORKDAY(Main[[#This Row],[Tech Start Date]],12),IF(Main[[#This Row],[Class]]="A",WORKDAY(Main[[#This Row],[Tech Start Date]],4),""))))</f>
        <v>40851</v>
      </c>
      <c r="O19" s="77">
        <f>IF(Main[[#This Row],[Tech Start Date]]&lt;1/1/1990,"",IF(Main[[#This Row],[Class]]="C",WORKDAY(Main[[#This Row],[Tech Start Date]],23),IF(Main[[#This Row],[Class]]="B", WORKDAY(Main[[#This Row],[Tech Start Date]],15),IF(Main[[#This Row],[Class]]="A",WORKDAY(Main[[#This Row],[Tech Start Date]],5),""))))</f>
        <v>40856</v>
      </c>
      <c r="P19" s="77">
        <f>IF(Main[[#This Row],[Tech Start Date]]&lt;1/1/1990,"",IF(Main[[#This Row],[Class]]="C",WORKDAY(Main[[#This Row],[Tech Start Date]],28),IF(Main[[#This Row],[Class]]="B", WORKDAY(Main[[#This Row],[Tech Start Date]],19),IF(Main[[#This Row],[Class]]="A",WORKDAY(Main[[#This Row],[Tech Start Date]],9),""))))</f>
        <v>40862</v>
      </c>
      <c r="Q19" s="74">
        <v>40816</v>
      </c>
      <c r="R19" s="74">
        <v>40956</v>
      </c>
      <c r="S19" s="72" t="s">
        <v>17</v>
      </c>
      <c r="T19" s="80" t="s">
        <v>2880</v>
      </c>
      <c r="U19" s="72" t="s">
        <v>29</v>
      </c>
      <c r="V19" s="72" t="s">
        <v>1933</v>
      </c>
      <c r="W19" s="72" t="s">
        <v>1940</v>
      </c>
      <c r="X19" s="72" t="s">
        <v>2994</v>
      </c>
      <c r="Y19" s="72" t="s">
        <v>3206</v>
      </c>
      <c r="Z19" s="72" t="s">
        <v>2075</v>
      </c>
      <c r="AA19" s="147" t="s">
        <v>3637</v>
      </c>
    </row>
    <row r="20" spans="1:34" ht="18.600000000000001" customHeight="1">
      <c r="A20" s="140">
        <f>IF(priority(Main[[#This Row],[Comments]])&lt;&gt;0, priority(Main[[#This Row],[Comments]]),"")</f>
        <v>2</v>
      </c>
      <c r="B20" s="124" t="s">
        <v>2721</v>
      </c>
      <c r="C20" s="117" t="s">
        <v>2722</v>
      </c>
      <c r="D20" s="118" t="s">
        <v>3823</v>
      </c>
      <c r="E20" s="119">
        <v>40882.451157407406</v>
      </c>
      <c r="F20" s="119">
        <v>40913</v>
      </c>
      <c r="G20" s="120" t="str">
        <f>IF(stdProdLT(Main[[#This Row],[Comments]])=0.1,"N/A",IF(stdProdLT(Main[[#This Row],[Comments]])=0,"",stdProdLT(Main[[#This Row],[Comments]])))</f>
        <v/>
      </c>
      <c r="H20" s="121">
        <f>IF(AND(Main[[#This Row],[In Stock Date]]&lt;&gt;"",Main[[#This Row],[Revised Due Date]]&lt;&gt;""),Main[[#This Row],[In Stock Date]]-Main[[#This Row],[Revised Due Date]],"")</f>
        <v>-36</v>
      </c>
      <c r="I20" s="117" t="s">
        <v>2278</v>
      </c>
      <c r="J20" s="117" t="s">
        <v>28</v>
      </c>
      <c r="K20" s="117" t="s">
        <v>1945</v>
      </c>
      <c r="L20" s="119">
        <v>40882</v>
      </c>
      <c r="M20" s="122">
        <f>IF(Main[[#This Row],[Tech Start Date]]&lt;1/1/1990,"",IF(Main[[#This Row],[Class]]="C",WORKDAY(Main[[#This Row],[Tech Start Date]],9),IF(Main[[#This Row],[Class]]="B", WORKDAY(Main[[#This Row],[Tech Start Date]],6),IF(Main[[#This Row],[Class]]="A",WORKDAY(Main[[#This Row],[Tech Start Date]],2),""))))</f>
        <v>40893</v>
      </c>
      <c r="N20" s="122">
        <f>IF(Main[[#This Row],[Tech Start Date]]&lt;1/1/1990,"",IF(Main[[#This Row],[Class]]="C",WORKDAY(Main[[#This Row],[Tech Start Date]],19),IF(Main[[#This Row],[Class]]="B", WORKDAY(Main[[#This Row],[Tech Start Date]],12),IF(Main[[#This Row],[Class]]="A",WORKDAY(Main[[#This Row],[Tech Start Date]],4),""))))</f>
        <v>40907</v>
      </c>
      <c r="O20" s="122">
        <f>IF(Main[[#This Row],[Tech Start Date]]&lt;1/1/1990,"",IF(Main[[#This Row],[Class]]="C",WORKDAY(Main[[#This Row],[Tech Start Date]],23),IF(Main[[#This Row],[Class]]="B", WORKDAY(Main[[#This Row],[Tech Start Date]],15),IF(Main[[#This Row],[Class]]="A",WORKDAY(Main[[#This Row],[Tech Start Date]],5),""))))</f>
        <v>40913</v>
      </c>
      <c r="P20" s="122">
        <f>IF(Main[[#This Row],[Tech Start Date]]&lt;1/1/1990,"",IF(Main[[#This Row],[Class]]="C",WORKDAY(Main[[#This Row],[Tech Start Date]],28),IF(Main[[#This Row],[Class]]="B", WORKDAY(Main[[#This Row],[Tech Start Date]],19),IF(Main[[#This Row],[Class]]="A",WORKDAY(Main[[#This Row],[Tech Start Date]],9),""))))</f>
        <v>40920</v>
      </c>
      <c r="Q20" s="119"/>
      <c r="R20" s="119">
        <v>40949</v>
      </c>
      <c r="S20" s="117" t="s">
        <v>11</v>
      </c>
      <c r="T20" s="123" t="s">
        <v>3462</v>
      </c>
      <c r="U20" s="117" t="s">
        <v>29</v>
      </c>
      <c r="V20" s="117" t="s">
        <v>1933</v>
      </c>
      <c r="W20" s="117" t="s">
        <v>1940</v>
      </c>
      <c r="X20" s="117" t="s">
        <v>2899</v>
      </c>
      <c r="Y20" s="117" t="s">
        <v>3080</v>
      </c>
      <c r="Z20" s="117" t="s">
        <v>2075</v>
      </c>
      <c r="AA20" s="147" t="s">
        <v>3667</v>
      </c>
    </row>
    <row r="21" spans="1:34" ht="18.600000000000001" customHeight="1">
      <c r="A21" s="140">
        <f>IF(priority(Main[[#This Row],[Comments]])&lt;&gt;0, priority(Main[[#This Row],[Comments]]),"")</f>
        <v>2</v>
      </c>
      <c r="B21" s="90" t="s">
        <v>3358</v>
      </c>
      <c r="C21" s="72" t="s">
        <v>2776</v>
      </c>
      <c r="D21" s="73" t="s">
        <v>3722</v>
      </c>
      <c r="E21" s="74">
        <v>40939.437511574077</v>
      </c>
      <c r="F21" s="74">
        <v>41030</v>
      </c>
      <c r="G21" s="75">
        <f>IF(stdProdLT(Main[[#This Row],[Comments]])=0.1,"N/A",IF(stdProdLT(Main[[#This Row],[Comments]])=0,"",stdProdLT(Main[[#This Row],[Comments]])))</f>
        <v>126</v>
      </c>
      <c r="H21" s="76">
        <f>IF(AND(Main[[#This Row],[In Stock Date]]&lt;&gt;"",Main[[#This Row],[Revised Due Date]]&lt;&gt;""),Main[[#This Row],[In Stock Date]]-Main[[#This Row],[Revised Due Date]],"")</f>
        <v>68</v>
      </c>
      <c r="I21" s="72" t="s">
        <v>923</v>
      </c>
      <c r="J21" s="72" t="s">
        <v>52</v>
      </c>
      <c r="K21" s="81" t="s">
        <v>1939</v>
      </c>
      <c r="L21" s="74">
        <v>40941</v>
      </c>
      <c r="M21" s="77">
        <f>IF(Main[[#This Row],[Tech Start Date]]&lt;1/1/1990,"",IF(Main[[#This Row],[Class]]="C",WORKDAY(Main[[#This Row],[Tech Start Date]],9),IF(Main[[#This Row],[Class]]="B", WORKDAY(Main[[#This Row],[Tech Start Date]],6),IF(Main[[#This Row],[Class]]="A",WORKDAY(Main[[#This Row],[Tech Start Date]],2),""))))</f>
        <v>40949</v>
      </c>
      <c r="N21" s="77">
        <f>IF(Main[[#This Row],[Tech Start Date]]&lt;1/1/1990,"",IF(Main[[#This Row],[Class]]="C",WORKDAY(Main[[#This Row],[Tech Start Date]],19),IF(Main[[#This Row],[Class]]="B", WORKDAY(Main[[#This Row],[Tech Start Date]],12),IF(Main[[#This Row],[Class]]="A",WORKDAY(Main[[#This Row],[Tech Start Date]],4),""))))</f>
        <v>40959</v>
      </c>
      <c r="O21" s="77">
        <f>IF(Main[[#This Row],[Tech Start Date]]&lt;1/1/1990,"",IF(Main[[#This Row],[Class]]="C",WORKDAY(Main[[#This Row],[Tech Start Date]],23),IF(Main[[#This Row],[Class]]="B", WORKDAY(Main[[#This Row],[Tech Start Date]],15),IF(Main[[#This Row],[Class]]="A",WORKDAY(Main[[#This Row],[Tech Start Date]],5),""))))</f>
        <v>40962</v>
      </c>
      <c r="P21" s="77">
        <f>IF(Main[[#This Row],[Tech Start Date]]&lt;1/1/1990,"",IF(Main[[#This Row],[Class]]="C",WORKDAY(Main[[#This Row],[Tech Start Date]],28),IF(Main[[#This Row],[Class]]="B", WORKDAY(Main[[#This Row],[Tech Start Date]],19),IF(Main[[#This Row],[Class]]="A",WORKDAY(Main[[#This Row],[Tech Start Date]],9),""))))</f>
        <v>40968</v>
      </c>
      <c r="Q21" s="74"/>
      <c r="R21" s="74">
        <v>40962</v>
      </c>
      <c r="S21" s="72" t="s">
        <v>11</v>
      </c>
      <c r="T21" s="80" t="s">
        <v>3839</v>
      </c>
      <c r="U21" s="72" t="s">
        <v>7</v>
      </c>
      <c r="V21" s="72" t="s">
        <v>1932</v>
      </c>
      <c r="W21" s="72" t="s">
        <v>1943</v>
      </c>
      <c r="X21" s="72" t="s">
        <v>2977</v>
      </c>
      <c r="Y21" s="72" t="s">
        <v>3142</v>
      </c>
      <c r="Z21" s="72" t="s">
        <v>129</v>
      </c>
      <c r="AA21" s="147" t="s">
        <v>2977</v>
      </c>
    </row>
    <row r="22" spans="1:34" ht="18.600000000000001" customHeight="1">
      <c r="A22" s="140">
        <f>IF(priority(Main[[#This Row],[Comments]])&lt;&gt;0, priority(Main[[#This Row],[Comments]]),"")</f>
        <v>3</v>
      </c>
      <c r="B22" s="90" t="s">
        <v>1908</v>
      </c>
      <c r="C22" s="72" t="s">
        <v>957</v>
      </c>
      <c r="D22" s="73" t="s">
        <v>2676</v>
      </c>
      <c r="E22" s="74">
        <v>40694.711041666669</v>
      </c>
      <c r="F22" s="74"/>
      <c r="G22" s="75" t="str">
        <f>IF(stdProdLT(Main[[#This Row],[Comments]])=0.1,"N/A",IF(stdProdLT(Main[[#This Row],[Comments]])=0,"",stdProdLT(Main[[#This Row],[Comments]])))</f>
        <v/>
      </c>
      <c r="H22" s="76" t="str">
        <f>IF(AND(Main[[#This Row],[In Stock Date]]&lt;&gt;"",Main[[#This Row],[Revised Due Date]]&lt;&gt;""),Main[[#This Row],[In Stock Date]]-Main[[#This Row],[Revised Due Date]],"")</f>
        <v/>
      </c>
      <c r="I22" s="72" t="s">
        <v>958</v>
      </c>
      <c r="J22" s="72" t="s">
        <v>28</v>
      </c>
      <c r="K22" s="81" t="s">
        <v>1944</v>
      </c>
      <c r="L22" s="74">
        <v>40848</v>
      </c>
      <c r="M22" s="77" t="str">
        <f>IF(Main[[#This Row],[Tech Start Date]]&lt;1/1/1990,"",IF(Main[[#This Row],[Class]]="C",WORKDAY(Main[[#This Row],[Tech Start Date]],9),IF(Main[[#This Row],[Class]]="B", WORKDAY(Main[[#This Row],[Tech Start Date]],6),IF(Main[[#This Row],[Class]]="A",WORKDAY(Main[[#This Row],[Tech Start Date]],2),""))))</f>
        <v/>
      </c>
      <c r="N22" s="77" t="str">
        <f>IF(Main[[#This Row],[Tech Start Date]]&lt;1/1/1990,"",IF(Main[[#This Row],[Class]]="C",WORKDAY(Main[[#This Row],[Tech Start Date]],19),IF(Main[[#This Row],[Class]]="B", WORKDAY(Main[[#This Row],[Tech Start Date]],12),IF(Main[[#This Row],[Class]]="A",WORKDAY(Main[[#This Row],[Tech Start Date]],4),""))))</f>
        <v/>
      </c>
      <c r="O22" s="77" t="str">
        <f>IF(Main[[#This Row],[Tech Start Date]]&lt;1/1/1990,"",IF(Main[[#This Row],[Class]]="C",WORKDAY(Main[[#This Row],[Tech Start Date]],23),IF(Main[[#This Row],[Class]]="B", WORKDAY(Main[[#This Row],[Tech Start Date]],15),IF(Main[[#This Row],[Class]]="A",WORKDAY(Main[[#This Row],[Tech Start Date]],5),""))))</f>
        <v/>
      </c>
      <c r="P22" s="77" t="str">
        <f>IF(Main[[#This Row],[Tech Start Date]]&lt;1/1/1990,"",IF(Main[[#This Row],[Class]]="C",WORKDAY(Main[[#This Row],[Tech Start Date]],28),IF(Main[[#This Row],[Class]]="B", WORKDAY(Main[[#This Row],[Tech Start Date]],19),IF(Main[[#This Row],[Class]]="A",WORKDAY(Main[[#This Row],[Tech Start Date]],9),""))))</f>
        <v/>
      </c>
      <c r="Q22" s="74">
        <v>40729</v>
      </c>
      <c r="R22" s="74"/>
      <c r="S22" s="72" t="s">
        <v>17</v>
      </c>
      <c r="T22" s="80" t="s">
        <v>2677</v>
      </c>
      <c r="U22" s="72" t="s">
        <v>29</v>
      </c>
      <c r="V22" s="72" t="s">
        <v>1947</v>
      </c>
      <c r="W22" s="72" t="s">
        <v>1940</v>
      </c>
      <c r="X22" s="72" t="s">
        <v>2946</v>
      </c>
      <c r="Y22" s="72" t="s">
        <v>3093</v>
      </c>
      <c r="Z22" s="72" t="s">
        <v>2237</v>
      </c>
      <c r="AA22" s="147" t="s">
        <v>2946</v>
      </c>
    </row>
    <row r="23" spans="1:34" ht="18.600000000000001" customHeight="1">
      <c r="A23" s="140">
        <f>IF(priority(Main[[#This Row],[Comments]])&lt;&gt;0, priority(Main[[#This Row],[Comments]]),"")</f>
        <v>3</v>
      </c>
      <c r="B23" s="90" t="s">
        <v>2614</v>
      </c>
      <c r="C23" s="72" t="s">
        <v>2835</v>
      </c>
      <c r="D23" s="73" t="s">
        <v>2836</v>
      </c>
      <c r="E23" s="74">
        <v>40867.404594907406</v>
      </c>
      <c r="F23" s="74">
        <v>41059</v>
      </c>
      <c r="G23" s="75">
        <f>IF(stdProdLT(Main[[#This Row],[Comments]])=0.1,"N/A",IF(stdProdLT(Main[[#This Row],[Comments]])=0,"",stdProdLT(Main[[#This Row],[Comments]])))</f>
        <v>140</v>
      </c>
      <c r="H23" s="76">
        <f>IF(AND(Main[[#This Row],[In Stock Date]]&lt;&gt;"",Main[[#This Row],[Revised Due Date]]&lt;&gt;""),Main[[#This Row],[In Stock Date]]-Main[[#This Row],[Revised Due Date]],"")</f>
        <v>110</v>
      </c>
      <c r="I23" s="72" t="s">
        <v>81</v>
      </c>
      <c r="J23" s="72" t="s">
        <v>52</v>
      </c>
      <c r="K23" s="72" t="s">
        <v>1945</v>
      </c>
      <c r="L23" s="74">
        <v>40911</v>
      </c>
      <c r="M23" s="77">
        <f>IF(Main[[#This Row],[Tech Start Date]]&lt;1/1/1990,"",IF(Main[[#This Row],[Class]]="C",WORKDAY(Main[[#This Row],[Tech Start Date]],9),IF(Main[[#This Row],[Class]]="B", WORKDAY(Main[[#This Row],[Tech Start Date]],6),IF(Main[[#This Row],[Class]]="A",WORKDAY(Main[[#This Row],[Tech Start Date]],2),""))))</f>
        <v>40924</v>
      </c>
      <c r="N23" s="77">
        <f>IF(Main[[#This Row],[Tech Start Date]]&lt;1/1/1990,"",IF(Main[[#This Row],[Class]]="C",WORKDAY(Main[[#This Row],[Tech Start Date]],19),IF(Main[[#This Row],[Class]]="B", WORKDAY(Main[[#This Row],[Tech Start Date]],12),IF(Main[[#This Row],[Class]]="A",WORKDAY(Main[[#This Row],[Tech Start Date]],4),""))))</f>
        <v>40938</v>
      </c>
      <c r="O23" s="77">
        <f>IF(Main[[#This Row],[Tech Start Date]]&lt;1/1/1990,"",IF(Main[[#This Row],[Class]]="C",WORKDAY(Main[[#This Row],[Tech Start Date]],23),IF(Main[[#This Row],[Class]]="B", WORKDAY(Main[[#This Row],[Tech Start Date]],15),IF(Main[[#This Row],[Class]]="A",WORKDAY(Main[[#This Row],[Tech Start Date]],5),""))))</f>
        <v>40942</v>
      </c>
      <c r="P23" s="77">
        <f>IF(Main[[#This Row],[Tech Start Date]]&lt;1/1/1990,"",IF(Main[[#This Row],[Class]]="C",WORKDAY(Main[[#This Row],[Tech Start Date]],28),IF(Main[[#This Row],[Class]]="B", WORKDAY(Main[[#This Row],[Tech Start Date]],19),IF(Main[[#This Row],[Class]]="A",WORKDAY(Main[[#This Row],[Tech Start Date]],9),""))))</f>
        <v>40949</v>
      </c>
      <c r="Q23" s="74">
        <v>40918</v>
      </c>
      <c r="R23" s="74">
        <v>40949</v>
      </c>
      <c r="S23" s="72" t="s">
        <v>11</v>
      </c>
      <c r="T23" s="80" t="s">
        <v>3466</v>
      </c>
      <c r="U23" s="72" t="s">
        <v>29</v>
      </c>
      <c r="V23" s="72" t="s">
        <v>1935</v>
      </c>
      <c r="W23" s="72" t="s">
        <v>1940</v>
      </c>
      <c r="X23" s="72" t="s">
        <v>2941</v>
      </c>
      <c r="Y23" s="72" t="s">
        <v>3085</v>
      </c>
      <c r="Z23" s="72" t="s">
        <v>44</v>
      </c>
      <c r="AA23" s="147" t="s">
        <v>2941</v>
      </c>
    </row>
    <row r="24" spans="1:34" ht="18.600000000000001" customHeight="1">
      <c r="A24" s="140">
        <f>IF(priority(Main[[#This Row],[Comments]])&lt;&gt;0, priority(Main[[#This Row],[Comments]]),"")</f>
        <v>4</v>
      </c>
      <c r="B24" s="90" t="s">
        <v>2686</v>
      </c>
      <c r="C24" s="72" t="s">
        <v>72</v>
      </c>
      <c r="D24" s="73" t="s">
        <v>3820</v>
      </c>
      <c r="E24" s="74">
        <v>40843.078125</v>
      </c>
      <c r="F24" s="74">
        <v>41122</v>
      </c>
      <c r="G24" s="75">
        <f>IF(stdProdLT(Main[[#This Row],[Comments]])=0.1,"N/A",IF(stdProdLT(Main[[#This Row],[Comments]])=0,"",stdProdLT(Main[[#This Row],[Comments]])))</f>
        <v>196</v>
      </c>
      <c r="H24" s="76">
        <f>IF(AND(Main[[#This Row],[In Stock Date]]&lt;&gt;"",Main[[#This Row],[Revised Due Date]]&lt;&gt;""),Main[[#This Row],[In Stock Date]]-Main[[#This Row],[Revised Due Date]],"")</f>
        <v>138</v>
      </c>
      <c r="I24" s="72" t="s">
        <v>2670</v>
      </c>
      <c r="J24" s="72" t="s">
        <v>28</v>
      </c>
      <c r="K24" s="72" t="s">
        <v>1945</v>
      </c>
      <c r="L24" s="74">
        <v>40849</v>
      </c>
      <c r="M24" s="77">
        <f>IF(Main[[#This Row],[Tech Start Date]]&lt;1/1/1990,"",IF(Main[[#This Row],[Class]]="C",WORKDAY(Main[[#This Row],[Tech Start Date]],9),IF(Main[[#This Row],[Class]]="B", WORKDAY(Main[[#This Row],[Tech Start Date]],6),IF(Main[[#This Row],[Class]]="A",WORKDAY(Main[[#This Row],[Tech Start Date]],2),""))))</f>
        <v>40862</v>
      </c>
      <c r="N24" s="77">
        <f>IF(Main[[#This Row],[Tech Start Date]]&lt;1/1/1990,"",IF(Main[[#This Row],[Class]]="C",WORKDAY(Main[[#This Row],[Tech Start Date]],19),IF(Main[[#This Row],[Class]]="B", WORKDAY(Main[[#This Row],[Tech Start Date]],12),IF(Main[[#This Row],[Class]]="A",WORKDAY(Main[[#This Row],[Tech Start Date]],4),""))))</f>
        <v>40876</v>
      </c>
      <c r="O24" s="77">
        <f>IF(Main[[#This Row],[Tech Start Date]]&lt;1/1/1990,"",IF(Main[[#This Row],[Class]]="C",WORKDAY(Main[[#This Row],[Tech Start Date]],23),IF(Main[[#This Row],[Class]]="B", WORKDAY(Main[[#This Row],[Tech Start Date]],15),IF(Main[[#This Row],[Class]]="A",WORKDAY(Main[[#This Row],[Tech Start Date]],5),""))))</f>
        <v>40882</v>
      </c>
      <c r="P24" s="77">
        <f>IF(Main[[#This Row],[Tech Start Date]]&lt;1/1/1990,"",IF(Main[[#This Row],[Class]]="C",WORKDAY(Main[[#This Row],[Tech Start Date]],28),IF(Main[[#This Row],[Class]]="B", WORKDAY(Main[[#This Row],[Tech Start Date]],19),IF(Main[[#This Row],[Class]]="A",WORKDAY(Main[[#This Row],[Tech Start Date]],9),""))))</f>
        <v>40889</v>
      </c>
      <c r="Q24" s="74">
        <v>41122</v>
      </c>
      <c r="R24" s="74">
        <v>40984</v>
      </c>
      <c r="S24" s="72" t="s">
        <v>11</v>
      </c>
      <c r="T24" s="80" t="s">
        <v>3726</v>
      </c>
      <c r="U24" s="72" t="s">
        <v>29</v>
      </c>
      <c r="V24" s="72" t="s">
        <v>1933</v>
      </c>
      <c r="W24" s="72" t="s">
        <v>1940</v>
      </c>
      <c r="X24" s="72" t="s">
        <v>2931</v>
      </c>
      <c r="Y24" s="72" t="s">
        <v>3065</v>
      </c>
      <c r="Z24" s="72" t="s">
        <v>2075</v>
      </c>
      <c r="AA24" s="147" t="s">
        <v>2931</v>
      </c>
    </row>
    <row r="25" spans="1:34" ht="18.600000000000001" customHeight="1">
      <c r="A25" s="140">
        <f>IF(priority(Main[[#This Row],[Comments]])&lt;&gt;0, priority(Main[[#This Row],[Comments]]),"")</f>
        <v>4</v>
      </c>
      <c r="B25" s="90" t="s">
        <v>2432</v>
      </c>
      <c r="C25" s="72" t="s">
        <v>2433</v>
      </c>
      <c r="D25" s="73" t="s">
        <v>3460</v>
      </c>
      <c r="E25" s="74">
        <v>40849.653923611113</v>
      </c>
      <c r="F25" s="74">
        <v>41061</v>
      </c>
      <c r="G25" s="75">
        <f>IF(stdProdLT(Main[[#This Row],[Comments]])=0.1,"N/A",IF(stdProdLT(Main[[#This Row],[Comments]])=0,"",stdProdLT(Main[[#This Row],[Comments]])))</f>
        <v>112</v>
      </c>
      <c r="H25" s="76">
        <f>IF(AND(Main[[#This Row],[In Stock Date]]&lt;&gt;"",Main[[#This Row],[Revised Due Date]]&lt;&gt;""),Main[[#This Row],[In Stock Date]]-Main[[#This Row],[Revised Due Date]],"")</f>
        <v>105</v>
      </c>
      <c r="I25" s="72" t="s">
        <v>923</v>
      </c>
      <c r="J25" s="72" t="s">
        <v>52</v>
      </c>
      <c r="K25" s="72" t="s">
        <v>1939</v>
      </c>
      <c r="L25" s="74">
        <v>40879</v>
      </c>
      <c r="M25" s="77">
        <f>IF(Main[[#This Row],[Tech Start Date]]&lt;1/1/1990,"",IF(Main[[#This Row],[Class]]="C",WORKDAY(Main[[#This Row],[Tech Start Date]],9),IF(Main[[#This Row],[Class]]="B", WORKDAY(Main[[#This Row],[Tech Start Date]],6),IF(Main[[#This Row],[Class]]="A",WORKDAY(Main[[#This Row],[Tech Start Date]],2),""))))</f>
        <v>40889</v>
      </c>
      <c r="N25" s="77">
        <f>IF(Main[[#This Row],[Tech Start Date]]&lt;1/1/1990,"",IF(Main[[#This Row],[Class]]="C",WORKDAY(Main[[#This Row],[Tech Start Date]],19),IF(Main[[#This Row],[Class]]="B", WORKDAY(Main[[#This Row],[Tech Start Date]],12),IF(Main[[#This Row],[Class]]="A",WORKDAY(Main[[#This Row],[Tech Start Date]],4),""))))</f>
        <v>40897</v>
      </c>
      <c r="O25" s="77">
        <f>IF(Main[[#This Row],[Tech Start Date]]&lt;1/1/1990,"",IF(Main[[#This Row],[Class]]="C",WORKDAY(Main[[#This Row],[Tech Start Date]],23),IF(Main[[#This Row],[Class]]="B", WORKDAY(Main[[#This Row],[Tech Start Date]],15),IF(Main[[#This Row],[Class]]="A",WORKDAY(Main[[#This Row],[Tech Start Date]],5),""))))</f>
        <v>40900</v>
      </c>
      <c r="P25" s="77">
        <f>IF(Main[[#This Row],[Tech Start Date]]&lt;1/1/1990,"",IF(Main[[#This Row],[Class]]="C",WORKDAY(Main[[#This Row],[Tech Start Date]],28),IF(Main[[#This Row],[Class]]="B", WORKDAY(Main[[#This Row],[Tech Start Date]],19),IF(Main[[#This Row],[Class]]="A",WORKDAY(Main[[#This Row],[Tech Start Date]],9),""))))</f>
        <v>40906</v>
      </c>
      <c r="Q25" s="74"/>
      <c r="R25" s="74">
        <v>40956</v>
      </c>
      <c r="S25" s="72" t="s">
        <v>11</v>
      </c>
      <c r="T25" s="80" t="s">
        <v>3461</v>
      </c>
      <c r="U25" s="72" t="s">
        <v>29</v>
      </c>
      <c r="V25" s="72" t="s">
        <v>1932</v>
      </c>
      <c r="W25" s="72" t="s">
        <v>1940</v>
      </c>
      <c r="X25" s="72" t="s">
        <v>50</v>
      </c>
      <c r="Y25" s="72" t="s">
        <v>3248</v>
      </c>
      <c r="Z25" s="72" t="s">
        <v>129</v>
      </c>
      <c r="AA25" s="147" t="s">
        <v>3651</v>
      </c>
    </row>
    <row r="26" spans="1:34" ht="18.600000000000001" customHeight="1">
      <c r="A26" s="140">
        <f>IF(priority(Main[[#This Row],[Comments]])&lt;&gt;0, priority(Main[[#This Row],[Comments]]),"")</f>
        <v>5</v>
      </c>
      <c r="B26" s="90" t="s">
        <v>2170</v>
      </c>
      <c r="C26" s="72" t="s">
        <v>2046</v>
      </c>
      <c r="D26" s="73" t="s">
        <v>2171</v>
      </c>
      <c r="E26" s="74"/>
      <c r="F26" s="74">
        <v>40771</v>
      </c>
      <c r="G26" s="75">
        <f>IF(stdProdLT(Main[[#This Row],[Comments]])=0.1,"N/A",IF(stdProdLT(Main[[#This Row],[Comments]])=0,"",stdProdLT(Main[[#This Row],[Comments]])))</f>
        <v>154</v>
      </c>
      <c r="H26" s="76">
        <f>IF(AND(Main[[#This Row],[In Stock Date]]&lt;&gt;"",Main[[#This Row],[Revised Due Date]]&lt;&gt;""),Main[[#This Row],[In Stock Date]]-Main[[#This Row],[Revised Due Date]],"")</f>
        <v>-44</v>
      </c>
      <c r="I26" s="72" t="s">
        <v>953</v>
      </c>
      <c r="J26" s="72" t="s">
        <v>28</v>
      </c>
      <c r="K26" s="72" t="s">
        <v>1945</v>
      </c>
      <c r="L26" s="74">
        <v>40772</v>
      </c>
      <c r="M26" s="77">
        <f>IF(Main[[#This Row],[Tech Start Date]]&lt;1/1/1990,"",IF(Main[[#This Row],[Class]]="C",WORKDAY(Main[[#This Row],[Tech Start Date]],9),IF(Main[[#This Row],[Class]]="B", WORKDAY(Main[[#This Row],[Tech Start Date]],6),IF(Main[[#This Row],[Class]]="A",WORKDAY(Main[[#This Row],[Tech Start Date]],2),""))))</f>
        <v>40785</v>
      </c>
      <c r="N26" s="77">
        <f>IF(Main[[#This Row],[Tech Start Date]]&lt;1/1/1990,"",IF(Main[[#This Row],[Class]]="C",WORKDAY(Main[[#This Row],[Tech Start Date]],19),IF(Main[[#This Row],[Class]]="B", WORKDAY(Main[[#This Row],[Tech Start Date]],12),IF(Main[[#This Row],[Class]]="A",WORKDAY(Main[[#This Row],[Tech Start Date]],4),""))))</f>
        <v>40799</v>
      </c>
      <c r="O26" s="77">
        <f>IF(Main[[#This Row],[Tech Start Date]]&lt;1/1/1990,"",IF(Main[[#This Row],[Class]]="C",WORKDAY(Main[[#This Row],[Tech Start Date]],23),IF(Main[[#This Row],[Class]]="B", WORKDAY(Main[[#This Row],[Tech Start Date]],15),IF(Main[[#This Row],[Class]]="A",WORKDAY(Main[[#This Row],[Tech Start Date]],5),""))))</f>
        <v>40805</v>
      </c>
      <c r="P26" s="77">
        <f>IF(Main[[#This Row],[Tech Start Date]]&lt;1/1/1990,"",IF(Main[[#This Row],[Class]]="C",WORKDAY(Main[[#This Row],[Tech Start Date]],28),IF(Main[[#This Row],[Class]]="B", WORKDAY(Main[[#This Row],[Tech Start Date]],19),IF(Main[[#This Row],[Class]]="A",WORKDAY(Main[[#This Row],[Tech Start Date]],9),""))))</f>
        <v>40812</v>
      </c>
      <c r="Q26" s="74">
        <v>40771</v>
      </c>
      <c r="R26" s="74">
        <v>40815</v>
      </c>
      <c r="S26" s="72" t="s">
        <v>11</v>
      </c>
      <c r="T26" s="80" t="s">
        <v>2172</v>
      </c>
      <c r="U26" s="72" t="s">
        <v>14</v>
      </c>
      <c r="V26" s="72" t="s">
        <v>1933</v>
      </c>
      <c r="W26" s="72" t="s">
        <v>1940</v>
      </c>
      <c r="X26" s="72" t="s">
        <v>2899</v>
      </c>
      <c r="Y26" s="72" t="s">
        <v>4</v>
      </c>
      <c r="Z26" s="72" t="s">
        <v>2075</v>
      </c>
      <c r="AA26" s="147" t="s">
        <v>2899</v>
      </c>
    </row>
    <row r="27" spans="1:34" ht="18.600000000000001" customHeight="1">
      <c r="A27" s="140">
        <f>IF(priority(Main[[#This Row],[Comments]])&lt;&gt;0, priority(Main[[#This Row],[Comments]]),"")</f>
        <v>6</v>
      </c>
      <c r="B27" s="90" t="s">
        <v>2674</v>
      </c>
      <c r="C27" s="72" t="s">
        <v>2675</v>
      </c>
      <c r="D27" s="73" t="s">
        <v>3819</v>
      </c>
      <c r="E27" s="74">
        <v>40835.462650462963</v>
      </c>
      <c r="F27" s="74">
        <v>40928</v>
      </c>
      <c r="G27" s="75" t="str">
        <f>IF(stdProdLT(Main[[#This Row],[Comments]])=0.1,"N/A",IF(stdProdLT(Main[[#This Row],[Comments]])=0,"",stdProdLT(Main[[#This Row],[Comments]])))</f>
        <v>N/A</v>
      </c>
      <c r="H27" s="76">
        <f>IF(AND(Main[[#This Row],[In Stock Date]]&lt;&gt;"",Main[[#This Row],[Revised Due Date]]&lt;&gt;""),Main[[#This Row],[In Stock Date]]-Main[[#This Row],[Revised Due Date]],"")</f>
        <v>-21</v>
      </c>
      <c r="I27" s="72" t="s">
        <v>2670</v>
      </c>
      <c r="J27" s="72" t="s">
        <v>28</v>
      </c>
      <c r="K27" s="72" t="s">
        <v>1945</v>
      </c>
      <c r="L27" s="74">
        <v>40848</v>
      </c>
      <c r="M27" s="77">
        <f>IF(Main[[#This Row],[Tech Start Date]]&lt;1/1/1990,"",IF(Main[[#This Row],[Class]]="C",WORKDAY(Main[[#This Row],[Tech Start Date]],9),IF(Main[[#This Row],[Class]]="B", WORKDAY(Main[[#This Row],[Tech Start Date]],6),IF(Main[[#This Row],[Class]]="A",WORKDAY(Main[[#This Row],[Tech Start Date]],2),""))))</f>
        <v>40861</v>
      </c>
      <c r="N27" s="77">
        <f>IF(Main[[#This Row],[Tech Start Date]]&lt;1/1/1990,"",IF(Main[[#This Row],[Class]]="C",WORKDAY(Main[[#This Row],[Tech Start Date]],19),IF(Main[[#This Row],[Class]]="B", WORKDAY(Main[[#This Row],[Tech Start Date]],12),IF(Main[[#This Row],[Class]]="A",WORKDAY(Main[[#This Row],[Tech Start Date]],4),""))))</f>
        <v>40875</v>
      </c>
      <c r="O27" s="77">
        <f>IF(Main[[#This Row],[Tech Start Date]]&lt;1/1/1990,"",IF(Main[[#This Row],[Class]]="C",WORKDAY(Main[[#This Row],[Tech Start Date]],23),IF(Main[[#This Row],[Class]]="B", WORKDAY(Main[[#This Row],[Tech Start Date]],15),IF(Main[[#This Row],[Class]]="A",WORKDAY(Main[[#This Row],[Tech Start Date]],5),""))))</f>
        <v>40879</v>
      </c>
      <c r="P27" s="77">
        <f>IF(Main[[#This Row],[Tech Start Date]]&lt;1/1/1990,"",IF(Main[[#This Row],[Class]]="C",WORKDAY(Main[[#This Row],[Tech Start Date]],28),IF(Main[[#This Row],[Class]]="B", WORKDAY(Main[[#This Row],[Tech Start Date]],19),IF(Main[[#This Row],[Class]]="A",WORKDAY(Main[[#This Row],[Tech Start Date]],9),""))))</f>
        <v>40886</v>
      </c>
      <c r="Q27" s="74">
        <v>40857</v>
      </c>
      <c r="R27" s="74">
        <v>40949</v>
      </c>
      <c r="S27" s="72" t="s">
        <v>11</v>
      </c>
      <c r="T27" s="80" t="s">
        <v>3725</v>
      </c>
      <c r="U27" s="72" t="s">
        <v>29</v>
      </c>
      <c r="V27" s="72" t="s">
        <v>1933</v>
      </c>
      <c r="W27" s="72" t="s">
        <v>1934</v>
      </c>
      <c r="X27" s="72" t="s">
        <v>2956</v>
      </c>
      <c r="Y27" s="72" t="s">
        <v>3083</v>
      </c>
      <c r="Z27" s="72" t="s">
        <v>2075</v>
      </c>
      <c r="AA27" s="147" t="s">
        <v>2956</v>
      </c>
    </row>
    <row r="28" spans="1:34" ht="18.600000000000001" customHeight="1">
      <c r="A28" s="140">
        <f>IF(priority(Main[[#This Row],[Comments]])&lt;&gt;0, priority(Main[[#This Row],[Comments]]),"")</f>
        <v>6</v>
      </c>
      <c r="B28" s="90" t="s">
        <v>2832</v>
      </c>
      <c r="C28" s="72" t="s">
        <v>113</v>
      </c>
      <c r="D28" s="73" t="s">
        <v>3824</v>
      </c>
      <c r="E28" s="74">
        <v>40893.729259259257</v>
      </c>
      <c r="F28" s="74">
        <v>41054</v>
      </c>
      <c r="G28" s="75">
        <f>IF(stdProdLT(Main[[#This Row],[Comments]])=0.1,"N/A",IF(stdProdLT(Main[[#This Row],[Comments]])=0,"",stdProdLT(Main[[#This Row],[Comments]])))</f>
        <v>126</v>
      </c>
      <c r="H28" s="76">
        <f>IF(AND(Main[[#This Row],[In Stock Date]]&lt;&gt;"",Main[[#This Row],[Revised Due Date]]&lt;&gt;""),Main[[#This Row],[In Stock Date]]-Main[[#This Row],[Revised Due Date]],"")</f>
        <v>106</v>
      </c>
      <c r="I28" s="72" t="s">
        <v>102</v>
      </c>
      <c r="J28" s="72" t="s">
        <v>75</v>
      </c>
      <c r="K28" s="72" t="s">
        <v>1939</v>
      </c>
      <c r="L28" s="74">
        <v>40911</v>
      </c>
      <c r="M28" s="77">
        <f>IF(Main[[#This Row],[Tech Start Date]]&lt;1/1/1990,"",IF(Main[[#This Row],[Class]]="C",WORKDAY(Main[[#This Row],[Tech Start Date]],9),IF(Main[[#This Row],[Class]]="B", WORKDAY(Main[[#This Row],[Tech Start Date]],6),IF(Main[[#This Row],[Class]]="A",WORKDAY(Main[[#This Row],[Tech Start Date]],2),""))))</f>
        <v>40919</v>
      </c>
      <c r="N28" s="77">
        <f>IF(Main[[#This Row],[Tech Start Date]]&lt;1/1/1990,"",IF(Main[[#This Row],[Class]]="C",WORKDAY(Main[[#This Row],[Tech Start Date]],19),IF(Main[[#This Row],[Class]]="B", WORKDAY(Main[[#This Row],[Tech Start Date]],12),IF(Main[[#This Row],[Class]]="A",WORKDAY(Main[[#This Row],[Tech Start Date]],4),""))))</f>
        <v>40927</v>
      </c>
      <c r="O28" s="77">
        <f>IF(Main[[#This Row],[Tech Start Date]]&lt;1/1/1990,"",IF(Main[[#This Row],[Class]]="C",WORKDAY(Main[[#This Row],[Tech Start Date]],23),IF(Main[[#This Row],[Class]]="B", WORKDAY(Main[[#This Row],[Tech Start Date]],15),IF(Main[[#This Row],[Class]]="A",WORKDAY(Main[[#This Row],[Tech Start Date]],5),""))))</f>
        <v>40932</v>
      </c>
      <c r="P28" s="77">
        <f>IF(Main[[#This Row],[Tech Start Date]]&lt;1/1/1990,"",IF(Main[[#This Row],[Class]]="C",WORKDAY(Main[[#This Row],[Tech Start Date]],28),IF(Main[[#This Row],[Class]]="B", WORKDAY(Main[[#This Row],[Tech Start Date]],19),IF(Main[[#This Row],[Class]]="A",WORKDAY(Main[[#This Row],[Tech Start Date]],9),""))))</f>
        <v>40938</v>
      </c>
      <c r="Q28" s="74">
        <v>40946</v>
      </c>
      <c r="R28" s="74">
        <v>40948</v>
      </c>
      <c r="S28" s="72" t="s">
        <v>11</v>
      </c>
      <c r="T28" s="80" t="s">
        <v>3465</v>
      </c>
      <c r="U28" s="72" t="s">
        <v>29</v>
      </c>
      <c r="V28" s="72" t="s">
        <v>1932</v>
      </c>
      <c r="W28" s="72" t="s">
        <v>1938</v>
      </c>
      <c r="X28" s="72" t="s">
        <v>2917</v>
      </c>
      <c r="Y28" s="72" t="s">
        <v>3026</v>
      </c>
      <c r="Z28" s="72" t="s">
        <v>310</v>
      </c>
      <c r="AA28" s="147" t="s">
        <v>2917</v>
      </c>
    </row>
    <row r="29" spans="1:34" ht="18.600000000000001" customHeight="1">
      <c r="A29" s="140">
        <f>IF(priority(Main[[#This Row],[Comments]])&lt;&gt;0, priority(Main[[#This Row],[Comments]]),"")</f>
        <v>7</v>
      </c>
      <c r="B29" s="90" t="s">
        <v>2849</v>
      </c>
      <c r="C29" s="72" t="s">
        <v>2236</v>
      </c>
      <c r="D29" s="73" t="s">
        <v>3825</v>
      </c>
      <c r="E29" s="74">
        <v>40900.384641203702</v>
      </c>
      <c r="F29" s="74">
        <v>40935</v>
      </c>
      <c r="G29" s="75" t="str">
        <f>IF(stdProdLT(Main[[#This Row],[Comments]])=0.1,"N/A",IF(stdProdLT(Main[[#This Row],[Comments]])=0,"",stdProdLT(Main[[#This Row],[Comments]])))</f>
        <v>N/A</v>
      </c>
      <c r="H29" s="76">
        <f>IF(AND(Main[[#This Row],[In Stock Date]]&lt;&gt;"",Main[[#This Row],[Revised Due Date]]&lt;&gt;""),Main[[#This Row],[In Stock Date]]-Main[[#This Row],[Revised Due Date]],"")</f>
        <v>-14</v>
      </c>
      <c r="I29" s="72" t="s">
        <v>953</v>
      </c>
      <c r="J29" s="72" t="s">
        <v>28</v>
      </c>
      <c r="K29" s="72" t="s">
        <v>1945</v>
      </c>
      <c r="L29" s="74">
        <v>40911</v>
      </c>
      <c r="M29" s="77">
        <f>IF(Main[[#This Row],[Tech Start Date]]&lt;1/1/1990,"",IF(Main[[#This Row],[Class]]="C",WORKDAY(Main[[#This Row],[Tech Start Date]],9),IF(Main[[#This Row],[Class]]="B", WORKDAY(Main[[#This Row],[Tech Start Date]],6),IF(Main[[#This Row],[Class]]="A",WORKDAY(Main[[#This Row],[Tech Start Date]],2),""))))</f>
        <v>40924</v>
      </c>
      <c r="N29" s="77">
        <f>IF(Main[[#This Row],[Tech Start Date]]&lt;1/1/1990,"",IF(Main[[#This Row],[Class]]="C",WORKDAY(Main[[#This Row],[Tech Start Date]],19),IF(Main[[#This Row],[Class]]="B", WORKDAY(Main[[#This Row],[Tech Start Date]],12),IF(Main[[#This Row],[Class]]="A",WORKDAY(Main[[#This Row],[Tech Start Date]],4),""))))</f>
        <v>40938</v>
      </c>
      <c r="O29" s="77">
        <f>IF(Main[[#This Row],[Tech Start Date]]&lt;1/1/1990,"",IF(Main[[#This Row],[Class]]="C",WORKDAY(Main[[#This Row],[Tech Start Date]],23),IF(Main[[#This Row],[Class]]="B", WORKDAY(Main[[#This Row],[Tech Start Date]],15),IF(Main[[#This Row],[Class]]="A",WORKDAY(Main[[#This Row],[Tech Start Date]],5),""))))</f>
        <v>40942</v>
      </c>
      <c r="P29" s="77">
        <f>IF(Main[[#This Row],[Tech Start Date]]&lt;1/1/1990,"",IF(Main[[#This Row],[Class]]="C",WORKDAY(Main[[#This Row],[Tech Start Date]],28),IF(Main[[#This Row],[Class]]="B", WORKDAY(Main[[#This Row],[Tech Start Date]],19),IF(Main[[#This Row],[Class]]="A",WORKDAY(Main[[#This Row],[Tech Start Date]],9),""))))</f>
        <v>40949</v>
      </c>
      <c r="Q29" s="74">
        <v>40935</v>
      </c>
      <c r="R29" s="74">
        <v>40949</v>
      </c>
      <c r="S29" s="72" t="s">
        <v>11</v>
      </c>
      <c r="T29" s="80" t="s">
        <v>3728</v>
      </c>
      <c r="U29" s="72" t="s">
        <v>29</v>
      </c>
      <c r="V29" s="72" t="s">
        <v>1933</v>
      </c>
      <c r="W29" s="72" t="s">
        <v>1934</v>
      </c>
      <c r="X29" s="72" t="s">
        <v>2899</v>
      </c>
      <c r="Y29" s="72" t="s">
        <v>4</v>
      </c>
      <c r="Z29" s="72" t="s">
        <v>2075</v>
      </c>
      <c r="AA29" s="147" t="s">
        <v>2899</v>
      </c>
    </row>
    <row r="30" spans="1:34" ht="18.600000000000001" customHeight="1">
      <c r="A30" s="140">
        <f>IF(priority(Main[[#This Row],[Comments]])&lt;&gt;0, priority(Main[[#This Row],[Comments]]),"")</f>
        <v>7</v>
      </c>
      <c r="B30" s="90" t="s">
        <v>3387</v>
      </c>
      <c r="C30" s="72" t="s">
        <v>3388</v>
      </c>
      <c r="D30" s="73" t="s">
        <v>3833</v>
      </c>
      <c r="E30" s="74">
        <v>40934.412314814814</v>
      </c>
      <c r="F30" s="74">
        <v>41091</v>
      </c>
      <c r="G30" s="75">
        <f>IF(stdProdLT(Main[[#This Row],[Comments]])=0.1,"N/A",IF(stdProdLT(Main[[#This Row],[Comments]])=0,"",stdProdLT(Main[[#This Row],[Comments]])))</f>
        <v>126</v>
      </c>
      <c r="H30" s="76">
        <f>IF(AND(Main[[#This Row],[In Stock Date]]&lt;&gt;"",Main[[#This Row],[Revised Due Date]]&lt;&gt;""),Main[[#This Row],[In Stock Date]]-Main[[#This Row],[Revised Due Date]],"")</f>
        <v>137</v>
      </c>
      <c r="I30" s="72" t="s">
        <v>923</v>
      </c>
      <c r="J30" s="72" t="s">
        <v>52</v>
      </c>
      <c r="K30" s="72" t="s">
        <v>1939</v>
      </c>
      <c r="L30" s="74">
        <v>40934</v>
      </c>
      <c r="M30" s="77">
        <f>IF(Main[[#This Row],[Tech Start Date]]&lt;1/1/1990,"",IF(Main[[#This Row],[Class]]="C",WORKDAY(Main[[#This Row],[Tech Start Date]],9),IF(Main[[#This Row],[Class]]="B", WORKDAY(Main[[#This Row],[Tech Start Date]],6),IF(Main[[#This Row],[Class]]="A",WORKDAY(Main[[#This Row],[Tech Start Date]],2),""))))</f>
        <v>40942</v>
      </c>
      <c r="N30" s="77">
        <f>IF(Main[[#This Row],[Tech Start Date]]&lt;1/1/1990,"",IF(Main[[#This Row],[Class]]="C",WORKDAY(Main[[#This Row],[Tech Start Date]],19),IF(Main[[#This Row],[Class]]="B", WORKDAY(Main[[#This Row],[Tech Start Date]],12),IF(Main[[#This Row],[Class]]="A",WORKDAY(Main[[#This Row],[Tech Start Date]],4),""))))</f>
        <v>40952</v>
      </c>
      <c r="O30" s="77">
        <f>IF(Main[[#This Row],[Tech Start Date]]&lt;1/1/1990,"",IF(Main[[#This Row],[Class]]="C",WORKDAY(Main[[#This Row],[Tech Start Date]],23),IF(Main[[#This Row],[Class]]="B", WORKDAY(Main[[#This Row],[Tech Start Date]],15),IF(Main[[#This Row],[Class]]="A",WORKDAY(Main[[#This Row],[Tech Start Date]],5),""))))</f>
        <v>40955</v>
      </c>
      <c r="P30" s="77">
        <f>IF(Main[[#This Row],[Tech Start Date]]&lt;1/1/1990,"",IF(Main[[#This Row],[Class]]="C",WORKDAY(Main[[#This Row],[Tech Start Date]],28),IF(Main[[#This Row],[Class]]="B", WORKDAY(Main[[#This Row],[Tech Start Date]],19),IF(Main[[#This Row],[Class]]="A",WORKDAY(Main[[#This Row],[Tech Start Date]],9),""))))</f>
        <v>40961</v>
      </c>
      <c r="Q30" s="74"/>
      <c r="R30" s="74">
        <v>40954</v>
      </c>
      <c r="S30" s="72" t="s">
        <v>11</v>
      </c>
      <c r="T30" s="80" t="s">
        <v>3834</v>
      </c>
      <c r="U30" s="72" t="s">
        <v>29</v>
      </c>
      <c r="V30" s="72" t="s">
        <v>1932</v>
      </c>
      <c r="W30" s="72" t="s">
        <v>1940</v>
      </c>
      <c r="X30" s="72" t="s">
        <v>50</v>
      </c>
      <c r="Y30" s="72" t="s">
        <v>3248</v>
      </c>
      <c r="Z30" s="72" t="s">
        <v>129</v>
      </c>
      <c r="AA30" s="147" t="s">
        <v>3651</v>
      </c>
    </row>
    <row r="31" spans="1:34" ht="18.600000000000001" customHeight="1">
      <c r="A31" s="140">
        <f>IF(priority(Main[[#This Row],[Comments]])&lt;&gt;0, priority(Main[[#This Row],[Comments]]),"")</f>
        <v>8</v>
      </c>
      <c r="B31" s="90" t="s">
        <v>3345</v>
      </c>
      <c r="C31" s="72" t="s">
        <v>33</v>
      </c>
      <c r="D31" s="73" t="s">
        <v>3542</v>
      </c>
      <c r="E31" s="74">
        <v>40926.303738425922</v>
      </c>
      <c r="F31" s="74">
        <v>41047</v>
      </c>
      <c r="G31" s="75">
        <f>IF(stdProdLT(Main[[#This Row],[Comments]])=0.1,"N/A",IF(stdProdLT(Main[[#This Row],[Comments]])=0,"",stdProdLT(Main[[#This Row],[Comments]])))</f>
        <v>126</v>
      </c>
      <c r="H31" s="76" t="str">
        <f>IF(AND(Main[[#This Row],[In Stock Date]]&lt;&gt;"",Main[[#This Row],[Revised Due Date]]&lt;&gt;""),Main[[#This Row],[In Stock Date]]-Main[[#This Row],[Revised Due Date]],"")</f>
        <v/>
      </c>
      <c r="I31" s="72" t="s">
        <v>4</v>
      </c>
      <c r="J31" s="72" t="s">
        <v>4</v>
      </c>
      <c r="K31" s="72" t="s">
        <v>4</v>
      </c>
      <c r="L31" s="74"/>
      <c r="M31" s="77" t="str">
        <f>IF(Main[[#This Row],[Tech Start Date]]&lt;1/1/1990,"",IF(Main[[#This Row],[Class]]="C",WORKDAY(Main[[#This Row],[Tech Start Date]],9),IF(Main[[#This Row],[Class]]="B", WORKDAY(Main[[#This Row],[Tech Start Date]],6),IF(Main[[#This Row],[Class]]="A",WORKDAY(Main[[#This Row],[Tech Start Date]],2),""))))</f>
        <v/>
      </c>
      <c r="N31" s="77" t="str">
        <f>IF(Main[[#This Row],[Tech Start Date]]&lt;1/1/1990,"",IF(Main[[#This Row],[Class]]="C",WORKDAY(Main[[#This Row],[Tech Start Date]],19),IF(Main[[#This Row],[Class]]="B", WORKDAY(Main[[#This Row],[Tech Start Date]],12),IF(Main[[#This Row],[Class]]="A",WORKDAY(Main[[#This Row],[Tech Start Date]],4),""))))</f>
        <v/>
      </c>
      <c r="O31" s="77" t="str">
        <f>IF(Main[[#This Row],[Tech Start Date]]&lt;1/1/1990,"",IF(Main[[#This Row],[Class]]="C",WORKDAY(Main[[#This Row],[Tech Start Date]],23),IF(Main[[#This Row],[Class]]="B", WORKDAY(Main[[#This Row],[Tech Start Date]],15),IF(Main[[#This Row],[Class]]="A",WORKDAY(Main[[#This Row],[Tech Start Date]],5),""))))</f>
        <v/>
      </c>
      <c r="P31" s="77" t="str">
        <f>IF(Main[[#This Row],[Tech Start Date]]&lt;1/1/1990,"",IF(Main[[#This Row],[Class]]="C",WORKDAY(Main[[#This Row],[Tech Start Date]],28),IF(Main[[#This Row],[Class]]="B", WORKDAY(Main[[#This Row],[Tech Start Date]],19),IF(Main[[#This Row],[Class]]="A",WORKDAY(Main[[#This Row],[Tech Start Date]],9),""))))</f>
        <v/>
      </c>
      <c r="Q31" s="74"/>
      <c r="R31" s="74"/>
      <c r="S31" s="72" t="s">
        <v>11</v>
      </c>
      <c r="T31" s="80" t="s">
        <v>3711</v>
      </c>
      <c r="U31" s="72" t="s">
        <v>7</v>
      </c>
      <c r="V31" s="72" t="s">
        <v>1933</v>
      </c>
      <c r="W31" s="72" t="s">
        <v>1937</v>
      </c>
      <c r="X31" s="72" t="s">
        <v>2959</v>
      </c>
      <c r="Y31" s="72" t="s">
        <v>3108</v>
      </c>
      <c r="Z31" s="72" t="s">
        <v>4</v>
      </c>
      <c r="AA31" s="147" t="s">
        <v>2959</v>
      </c>
    </row>
    <row r="32" spans="1:34" ht="18.600000000000001" customHeight="1">
      <c r="A32" s="140">
        <f>IF(priority(Main[[#This Row],[Comments]])&lt;&gt;0, priority(Main[[#This Row],[Comments]]),"")</f>
        <v>8</v>
      </c>
      <c r="B32" s="90" t="s">
        <v>2037</v>
      </c>
      <c r="C32" s="72" t="s">
        <v>2014</v>
      </c>
      <c r="D32" s="73" t="s">
        <v>3554</v>
      </c>
      <c r="E32" s="74">
        <v>40744.420902777776</v>
      </c>
      <c r="F32" s="74">
        <v>41047</v>
      </c>
      <c r="G32" s="75">
        <f>IF(stdProdLT(Main[[#This Row],[Comments]])=0.1,"N/A",IF(stdProdLT(Main[[#This Row],[Comments]])=0,"",stdProdLT(Main[[#This Row],[Comments]])))</f>
        <v>168</v>
      </c>
      <c r="H32" s="76">
        <f>IF(AND(Main[[#This Row],[In Stock Date]]&lt;&gt;"",Main[[#This Row],[Revised Due Date]]&lt;&gt;""),Main[[#This Row],[In Stock Date]]-Main[[#This Row],[Revised Due Date]],"")</f>
        <v>93</v>
      </c>
      <c r="I32" s="72" t="s">
        <v>3815</v>
      </c>
      <c r="J32" s="72" t="s">
        <v>1998</v>
      </c>
      <c r="K32" s="81" t="s">
        <v>1945</v>
      </c>
      <c r="L32" s="74">
        <v>40758</v>
      </c>
      <c r="M32" s="77">
        <f>IF(Main[[#This Row],[Tech Start Date]]&lt;1/1/1990,"",IF(Main[[#This Row],[Class]]="C",WORKDAY(Main[[#This Row],[Tech Start Date]],9),IF(Main[[#This Row],[Class]]="B", WORKDAY(Main[[#This Row],[Tech Start Date]],6),IF(Main[[#This Row],[Class]]="A",WORKDAY(Main[[#This Row],[Tech Start Date]],2),""))))</f>
        <v>40771</v>
      </c>
      <c r="N32" s="77">
        <f>IF(Main[[#This Row],[Tech Start Date]]&lt;1/1/1990,"",IF(Main[[#This Row],[Class]]="C",WORKDAY(Main[[#This Row],[Tech Start Date]],19),IF(Main[[#This Row],[Class]]="B", WORKDAY(Main[[#This Row],[Tech Start Date]],12),IF(Main[[#This Row],[Class]]="A",WORKDAY(Main[[#This Row],[Tech Start Date]],4),""))))</f>
        <v>40785</v>
      </c>
      <c r="O32" s="77">
        <f>IF(Main[[#This Row],[Tech Start Date]]&lt;1/1/1990,"",IF(Main[[#This Row],[Class]]="C",WORKDAY(Main[[#This Row],[Tech Start Date]],23),IF(Main[[#This Row],[Class]]="B", WORKDAY(Main[[#This Row],[Tech Start Date]],15),IF(Main[[#This Row],[Class]]="A",WORKDAY(Main[[#This Row],[Tech Start Date]],5),""))))</f>
        <v>40791</v>
      </c>
      <c r="P32" s="77">
        <f>IF(Main[[#This Row],[Tech Start Date]]&lt;1/1/1990,"",IF(Main[[#This Row],[Class]]="C",WORKDAY(Main[[#This Row],[Tech Start Date]],28),IF(Main[[#This Row],[Class]]="B", WORKDAY(Main[[#This Row],[Tech Start Date]],19),IF(Main[[#This Row],[Class]]="A",WORKDAY(Main[[#This Row],[Tech Start Date]],9),""))))</f>
        <v>40798</v>
      </c>
      <c r="Q32" s="74">
        <v>40922</v>
      </c>
      <c r="R32" s="74">
        <v>40954</v>
      </c>
      <c r="S32" s="72" t="s">
        <v>11</v>
      </c>
      <c r="T32" s="80" t="s">
        <v>3445</v>
      </c>
      <c r="U32" s="72" t="s">
        <v>29</v>
      </c>
      <c r="V32" s="72" t="s">
        <v>1935</v>
      </c>
      <c r="W32" s="72" t="s">
        <v>1940</v>
      </c>
      <c r="X32" s="72" t="s">
        <v>3006</v>
      </c>
      <c r="Y32" s="72" t="s">
        <v>3243</v>
      </c>
      <c r="Z32" s="72" t="s">
        <v>535</v>
      </c>
      <c r="AA32" s="147" t="s">
        <v>3006</v>
      </c>
      <c r="AH32" s="55"/>
    </row>
    <row r="33" spans="1:32" ht="18.600000000000001" customHeight="1">
      <c r="A33" s="140">
        <f>IF(priority(Main[[#This Row],[Comments]])&lt;&gt;0, priority(Main[[#This Row],[Comments]]),"")</f>
        <v>8</v>
      </c>
      <c r="B33" s="90" t="s">
        <v>3292</v>
      </c>
      <c r="C33" s="72" t="s">
        <v>3293</v>
      </c>
      <c r="D33" s="73" t="s">
        <v>3549</v>
      </c>
      <c r="E33" s="74">
        <v>40920.45616898148</v>
      </c>
      <c r="F33" s="74">
        <v>41105</v>
      </c>
      <c r="G33" s="75">
        <f>IF(stdProdLT(Main[[#This Row],[Comments]])=0.1,"N/A",IF(stdProdLT(Main[[#This Row],[Comments]])=0,"",stdProdLT(Main[[#This Row],[Comments]])))</f>
        <v>126</v>
      </c>
      <c r="H33" s="76">
        <f>IF(AND(Main[[#This Row],[In Stock Date]]&lt;&gt;"",Main[[#This Row],[Revised Due Date]]&lt;&gt;""),Main[[#This Row],[In Stock Date]]-Main[[#This Row],[Revised Due Date]],"")</f>
        <v>146</v>
      </c>
      <c r="I33" s="72" t="s">
        <v>923</v>
      </c>
      <c r="J33" s="72" t="s">
        <v>52</v>
      </c>
      <c r="K33" s="72" t="s">
        <v>1939</v>
      </c>
      <c r="L33" s="74">
        <v>40924</v>
      </c>
      <c r="M33" s="77">
        <f>IF(Main[[#This Row],[Tech Start Date]]&lt;1/1/1990,"",IF(Main[[#This Row],[Class]]="C",WORKDAY(Main[[#This Row],[Tech Start Date]],9),IF(Main[[#This Row],[Class]]="B", WORKDAY(Main[[#This Row],[Tech Start Date]],6),IF(Main[[#This Row],[Class]]="A",WORKDAY(Main[[#This Row],[Tech Start Date]],2),""))))</f>
        <v>40932</v>
      </c>
      <c r="N33" s="77">
        <f>IF(Main[[#This Row],[Tech Start Date]]&lt;1/1/1990,"",IF(Main[[#This Row],[Class]]="C",WORKDAY(Main[[#This Row],[Tech Start Date]],19),IF(Main[[#This Row],[Class]]="B", WORKDAY(Main[[#This Row],[Tech Start Date]],12),IF(Main[[#This Row],[Class]]="A",WORKDAY(Main[[#This Row],[Tech Start Date]],4),""))))</f>
        <v>40940</v>
      </c>
      <c r="O33" s="77">
        <f>IF(Main[[#This Row],[Tech Start Date]]&lt;1/1/1990,"",IF(Main[[#This Row],[Class]]="C",WORKDAY(Main[[#This Row],[Tech Start Date]],23),IF(Main[[#This Row],[Class]]="B", WORKDAY(Main[[#This Row],[Tech Start Date]],15),IF(Main[[#This Row],[Class]]="A",WORKDAY(Main[[#This Row],[Tech Start Date]],5),""))))</f>
        <v>40945</v>
      </c>
      <c r="P33" s="77">
        <f>IF(Main[[#This Row],[Tech Start Date]]&lt;1/1/1990,"",IF(Main[[#This Row],[Class]]="C",WORKDAY(Main[[#This Row],[Tech Start Date]],28),IF(Main[[#This Row],[Class]]="B", WORKDAY(Main[[#This Row],[Tech Start Date]],19),IF(Main[[#This Row],[Class]]="A",WORKDAY(Main[[#This Row],[Tech Start Date]],9),""))))</f>
        <v>40949</v>
      </c>
      <c r="Q33" s="74">
        <v>41105</v>
      </c>
      <c r="R33" s="74">
        <v>40959</v>
      </c>
      <c r="S33" s="72" t="s">
        <v>11</v>
      </c>
      <c r="T33" s="80" t="s">
        <v>3477</v>
      </c>
      <c r="U33" s="72" t="s">
        <v>29</v>
      </c>
      <c r="V33" s="72" t="s">
        <v>1932</v>
      </c>
      <c r="W33" s="72" t="s">
        <v>1938</v>
      </c>
      <c r="X33" s="72" t="s">
        <v>2936</v>
      </c>
      <c r="Y33" s="72" t="s">
        <v>3077</v>
      </c>
      <c r="Z33" s="72" t="s">
        <v>129</v>
      </c>
      <c r="AA33" s="147" t="s">
        <v>2936</v>
      </c>
    </row>
    <row r="34" spans="1:32" ht="18.600000000000001" customHeight="1">
      <c r="A34" s="140">
        <f>IF(priority(Main[[#This Row],[Comments]])&lt;&gt;0, priority(Main[[#This Row],[Comments]]),"")</f>
        <v>9</v>
      </c>
      <c r="B34" s="90" t="s">
        <v>2123</v>
      </c>
      <c r="C34" s="72" t="s">
        <v>53</v>
      </c>
      <c r="D34" s="73" t="s">
        <v>2124</v>
      </c>
      <c r="E34" s="74"/>
      <c r="F34" s="74">
        <v>40789</v>
      </c>
      <c r="G34" s="75">
        <f>IF(stdProdLT(Main[[#This Row],[Comments]])=0.1,"N/A",IF(stdProdLT(Main[[#This Row],[Comments]])=0,"",stdProdLT(Main[[#This Row],[Comments]])))</f>
        <v>42</v>
      </c>
      <c r="H34" s="76">
        <f>IF(AND(Main[[#This Row],[In Stock Date]]&lt;&gt;"",Main[[#This Row],[Revised Due Date]]&lt;&gt;""),Main[[#This Row],[In Stock Date]]-Main[[#This Row],[Revised Due Date]],"")</f>
        <v>1</v>
      </c>
      <c r="I34" s="72" t="s">
        <v>953</v>
      </c>
      <c r="J34" s="72" t="s">
        <v>28</v>
      </c>
      <c r="K34" s="81" t="s">
        <v>4</v>
      </c>
      <c r="L34" s="74"/>
      <c r="M34" s="77" t="str">
        <f>IF(Main[[#This Row],[Tech Start Date]]&lt;1/1/1990,"",IF(Main[[#This Row],[Class]]="C",WORKDAY(Main[[#This Row],[Tech Start Date]],9),IF(Main[[#This Row],[Class]]="B", WORKDAY(Main[[#This Row],[Tech Start Date]],6),IF(Main[[#This Row],[Class]]="A",WORKDAY(Main[[#This Row],[Tech Start Date]],2),""))))</f>
        <v/>
      </c>
      <c r="N34" s="77" t="str">
        <f>IF(Main[[#This Row],[Tech Start Date]]&lt;1/1/1990,"",IF(Main[[#This Row],[Class]]="C",WORKDAY(Main[[#This Row],[Tech Start Date]],19),IF(Main[[#This Row],[Class]]="B", WORKDAY(Main[[#This Row],[Tech Start Date]],12),IF(Main[[#This Row],[Class]]="A",WORKDAY(Main[[#This Row],[Tech Start Date]],4),""))))</f>
        <v/>
      </c>
      <c r="O34" s="77" t="str">
        <f>IF(Main[[#This Row],[Tech Start Date]]&lt;1/1/1990,"",IF(Main[[#This Row],[Class]]="C",WORKDAY(Main[[#This Row],[Tech Start Date]],23),IF(Main[[#This Row],[Class]]="B", WORKDAY(Main[[#This Row],[Tech Start Date]],15),IF(Main[[#This Row],[Class]]="A",WORKDAY(Main[[#This Row],[Tech Start Date]],5),""))))</f>
        <v/>
      </c>
      <c r="P34" s="77" t="str">
        <f>IF(Main[[#This Row],[Tech Start Date]]&lt;1/1/1990,"",IF(Main[[#This Row],[Class]]="C",WORKDAY(Main[[#This Row],[Tech Start Date]],28),IF(Main[[#This Row],[Class]]="B", WORKDAY(Main[[#This Row],[Tech Start Date]],19),IF(Main[[#This Row],[Class]]="A",WORKDAY(Main[[#This Row],[Tech Start Date]],9),""))))</f>
        <v/>
      </c>
      <c r="Q34" s="74"/>
      <c r="R34" s="74">
        <v>40788</v>
      </c>
      <c r="S34" s="72" t="s">
        <v>11</v>
      </c>
      <c r="T34" s="80" t="s">
        <v>2125</v>
      </c>
      <c r="U34" s="72" t="s">
        <v>14</v>
      </c>
      <c r="V34" s="72" t="s">
        <v>1933</v>
      </c>
      <c r="W34" s="72" t="s">
        <v>1934</v>
      </c>
      <c r="X34" s="72" t="s">
        <v>2899</v>
      </c>
      <c r="Y34" s="72" t="s">
        <v>3080</v>
      </c>
      <c r="Z34" s="72" t="s">
        <v>2075</v>
      </c>
      <c r="AA34" s="147" t="s">
        <v>3617</v>
      </c>
      <c r="AF34" s="59"/>
    </row>
    <row r="35" spans="1:32" ht="18.600000000000001" customHeight="1">
      <c r="A35" s="140">
        <f>IF(priority(Main[[#This Row],[Comments]])&lt;&gt;0, priority(Main[[#This Row],[Comments]]),"")</f>
        <v>9</v>
      </c>
      <c r="B35" s="90" t="s">
        <v>2821</v>
      </c>
      <c r="C35" s="72" t="s">
        <v>3273</v>
      </c>
      <c r="D35" s="73" t="s">
        <v>2822</v>
      </c>
      <c r="E35" s="74">
        <v>40911.138009259259</v>
      </c>
      <c r="F35" s="74">
        <v>41041</v>
      </c>
      <c r="G35" s="75">
        <f>IF(stdProdLT(Main[[#This Row],[Comments]])=0.1,"N/A",IF(stdProdLT(Main[[#This Row],[Comments]])=0,"",stdProdLT(Main[[#This Row],[Comments]])))</f>
        <v>140</v>
      </c>
      <c r="H35" s="76">
        <f>IF(AND(Main[[#This Row],[In Stock Date]]&lt;&gt;"",Main[[#This Row],[Revised Due Date]]&lt;&gt;""),Main[[#This Row],[In Stock Date]]-Main[[#This Row],[Revised Due Date]],"")</f>
        <v>92</v>
      </c>
      <c r="I35" s="72" t="s">
        <v>434</v>
      </c>
      <c r="J35" s="72" t="s">
        <v>70</v>
      </c>
      <c r="K35" s="72" t="s">
        <v>1939</v>
      </c>
      <c r="L35" s="74">
        <v>40913</v>
      </c>
      <c r="M35" s="77">
        <f>IF(Main[[#This Row],[Tech Start Date]]&lt;1/1/1990,"",IF(Main[[#This Row],[Class]]="C",WORKDAY(Main[[#This Row],[Tech Start Date]],9),IF(Main[[#This Row],[Class]]="B", WORKDAY(Main[[#This Row],[Tech Start Date]],6),IF(Main[[#This Row],[Class]]="A",WORKDAY(Main[[#This Row],[Tech Start Date]],2),""))))</f>
        <v>40921</v>
      </c>
      <c r="N35" s="77">
        <f>IF(Main[[#This Row],[Tech Start Date]]&lt;1/1/1990,"",IF(Main[[#This Row],[Class]]="C",WORKDAY(Main[[#This Row],[Tech Start Date]],19),IF(Main[[#This Row],[Class]]="B", WORKDAY(Main[[#This Row],[Tech Start Date]],12),IF(Main[[#This Row],[Class]]="A",WORKDAY(Main[[#This Row],[Tech Start Date]],4),""))))</f>
        <v>40931</v>
      </c>
      <c r="O35" s="77">
        <f>IF(Main[[#This Row],[Tech Start Date]]&lt;1/1/1990,"",IF(Main[[#This Row],[Class]]="C",WORKDAY(Main[[#This Row],[Tech Start Date]],23),IF(Main[[#This Row],[Class]]="B", WORKDAY(Main[[#This Row],[Tech Start Date]],15),IF(Main[[#This Row],[Class]]="A",WORKDAY(Main[[#This Row],[Tech Start Date]],5),""))))</f>
        <v>40934</v>
      </c>
      <c r="P35" s="77">
        <f>IF(Main[[#This Row],[Tech Start Date]]&lt;1/1/1990,"",IF(Main[[#This Row],[Class]]="C",WORKDAY(Main[[#This Row],[Tech Start Date]],28),IF(Main[[#This Row],[Class]]="B", WORKDAY(Main[[#This Row],[Tech Start Date]],19),IF(Main[[#This Row],[Class]]="A",WORKDAY(Main[[#This Row],[Tech Start Date]],9),""))))</f>
        <v>40940</v>
      </c>
      <c r="Q35" s="74">
        <v>40903</v>
      </c>
      <c r="R35" s="74">
        <v>40949</v>
      </c>
      <c r="S35" s="72" t="s">
        <v>11</v>
      </c>
      <c r="T35" s="80" t="s">
        <v>3467</v>
      </c>
      <c r="U35" s="72" t="s">
        <v>29</v>
      </c>
      <c r="V35" s="72" t="s">
        <v>1942</v>
      </c>
      <c r="W35" s="72" t="s">
        <v>1938</v>
      </c>
      <c r="X35" s="72" t="s">
        <v>2930</v>
      </c>
      <c r="Y35" s="72" t="s">
        <v>4</v>
      </c>
      <c r="Z35" s="72" t="s">
        <v>535</v>
      </c>
      <c r="AA35" s="147" t="s">
        <v>2930</v>
      </c>
    </row>
    <row r="36" spans="1:32" ht="18.600000000000001" customHeight="1">
      <c r="A36" s="140">
        <f>IF(priority(Main[[#This Row],[Comments]])&lt;&gt;0, priority(Main[[#This Row],[Comments]]),"")</f>
        <v>9.1</v>
      </c>
      <c r="B36" s="90" t="s">
        <v>2007</v>
      </c>
      <c r="C36" s="72" t="s">
        <v>2008</v>
      </c>
      <c r="D36" s="73" t="s">
        <v>2009</v>
      </c>
      <c r="E36" s="74"/>
      <c r="F36" s="74"/>
      <c r="G36" s="75" t="str">
        <f>IF(stdProdLT(Main[[#This Row],[Comments]])=0.1,"N/A",IF(stdProdLT(Main[[#This Row],[Comments]])=0,"",stdProdLT(Main[[#This Row],[Comments]])))</f>
        <v/>
      </c>
      <c r="H36" s="76" t="str">
        <f>IF(AND(Main[[#This Row],[In Stock Date]]&lt;&gt;"",Main[[#This Row],[Revised Due Date]]&lt;&gt;""),Main[[#This Row],[In Stock Date]]-Main[[#This Row],[Revised Due Date]],"")</f>
        <v/>
      </c>
      <c r="I36" s="72" t="s">
        <v>953</v>
      </c>
      <c r="J36" s="72" t="s">
        <v>28</v>
      </c>
      <c r="K36" s="72" t="s">
        <v>4</v>
      </c>
      <c r="L36" s="74">
        <v>40745</v>
      </c>
      <c r="M36" s="77" t="str">
        <f>IF(Main[[#This Row],[Tech Start Date]]&lt;1/1/1990,"",IF(Main[[#This Row],[Class]]="C",WORKDAY(Main[[#This Row],[Tech Start Date]],9),IF(Main[[#This Row],[Class]]="B", WORKDAY(Main[[#This Row],[Tech Start Date]],6),IF(Main[[#This Row],[Class]]="A",WORKDAY(Main[[#This Row],[Tech Start Date]],2),""))))</f>
        <v/>
      </c>
      <c r="N36" s="77" t="str">
        <f>IF(Main[[#This Row],[Tech Start Date]]&lt;1/1/1990,"",IF(Main[[#This Row],[Class]]="C",WORKDAY(Main[[#This Row],[Tech Start Date]],19),IF(Main[[#This Row],[Class]]="B", WORKDAY(Main[[#This Row],[Tech Start Date]],12),IF(Main[[#This Row],[Class]]="A",WORKDAY(Main[[#This Row],[Tech Start Date]],4),""))))</f>
        <v/>
      </c>
      <c r="O36" s="77" t="str">
        <f>IF(Main[[#This Row],[Tech Start Date]]&lt;1/1/1990,"",IF(Main[[#This Row],[Class]]="C",WORKDAY(Main[[#This Row],[Tech Start Date]],23),IF(Main[[#This Row],[Class]]="B", WORKDAY(Main[[#This Row],[Tech Start Date]],15),IF(Main[[#This Row],[Class]]="A",WORKDAY(Main[[#This Row],[Tech Start Date]],5),""))))</f>
        <v/>
      </c>
      <c r="P36" s="77" t="str">
        <f>IF(Main[[#This Row],[Tech Start Date]]&lt;1/1/1990,"",IF(Main[[#This Row],[Class]]="C",WORKDAY(Main[[#This Row],[Tech Start Date]],28),IF(Main[[#This Row],[Class]]="B", WORKDAY(Main[[#This Row],[Tech Start Date]],19),IF(Main[[#This Row],[Class]]="A",WORKDAY(Main[[#This Row],[Tech Start Date]],9),""))))</f>
        <v/>
      </c>
      <c r="Q36" s="74"/>
      <c r="R36" s="74"/>
      <c r="S36" s="72" t="s">
        <v>11</v>
      </c>
      <c r="T36" s="80" t="s">
        <v>2010</v>
      </c>
      <c r="U36" s="72" t="s">
        <v>14</v>
      </c>
      <c r="V36" s="72" t="s">
        <v>1933</v>
      </c>
      <c r="W36" s="72" t="s">
        <v>1934</v>
      </c>
      <c r="X36" s="72" t="s">
        <v>2899</v>
      </c>
      <c r="Y36" s="72" t="s">
        <v>3080</v>
      </c>
      <c r="Z36" s="72" t="s">
        <v>3249</v>
      </c>
      <c r="AA36" s="147" t="s">
        <v>3662</v>
      </c>
    </row>
    <row r="37" spans="1:32" ht="18.600000000000001" customHeight="1">
      <c r="A37" s="140">
        <f>IF(priority(Main[[#This Row],[Comments]])&lt;&gt;0, priority(Main[[#This Row],[Comments]]),"")</f>
        <v>10</v>
      </c>
      <c r="B37" s="90" t="s">
        <v>2786</v>
      </c>
      <c r="C37" s="72" t="s">
        <v>3273</v>
      </c>
      <c r="D37" s="73" t="s">
        <v>2787</v>
      </c>
      <c r="E37" s="74">
        <v>40911.202465277776</v>
      </c>
      <c r="F37" s="74">
        <v>41041</v>
      </c>
      <c r="G37" s="75">
        <f>IF(stdProdLT(Main[[#This Row],[Comments]])=0.1,"N/A",IF(stdProdLT(Main[[#This Row],[Comments]])=0,"",stdProdLT(Main[[#This Row],[Comments]])))</f>
        <v>140</v>
      </c>
      <c r="H37" s="76">
        <f>IF(AND(Main[[#This Row],[In Stock Date]]&lt;&gt;"",Main[[#This Row],[Revised Due Date]]&lt;&gt;""),Main[[#This Row],[In Stock Date]]-Main[[#This Row],[Revised Due Date]],"")</f>
        <v>88</v>
      </c>
      <c r="I37" s="72" t="s">
        <v>434</v>
      </c>
      <c r="J37" s="72" t="s">
        <v>70</v>
      </c>
      <c r="K37" s="72" t="s">
        <v>1939</v>
      </c>
      <c r="L37" s="74">
        <v>40913</v>
      </c>
      <c r="M37" s="77">
        <f>IF(Main[[#This Row],[Tech Start Date]]&lt;1/1/1990,"",IF(Main[[#This Row],[Class]]="C",WORKDAY(Main[[#This Row],[Tech Start Date]],9),IF(Main[[#This Row],[Class]]="B", WORKDAY(Main[[#This Row],[Tech Start Date]],6),IF(Main[[#This Row],[Class]]="A",WORKDAY(Main[[#This Row],[Tech Start Date]],2),""))))</f>
        <v>40921</v>
      </c>
      <c r="N37" s="77">
        <f>IF(Main[[#This Row],[Tech Start Date]]&lt;1/1/1990,"",IF(Main[[#This Row],[Class]]="C",WORKDAY(Main[[#This Row],[Tech Start Date]],19),IF(Main[[#This Row],[Class]]="B", WORKDAY(Main[[#This Row],[Tech Start Date]],12),IF(Main[[#This Row],[Class]]="A",WORKDAY(Main[[#This Row],[Tech Start Date]],4),""))))</f>
        <v>40931</v>
      </c>
      <c r="O37" s="77">
        <f>IF(Main[[#This Row],[Tech Start Date]]&lt;1/1/1990,"",IF(Main[[#This Row],[Class]]="C",WORKDAY(Main[[#This Row],[Tech Start Date]],23),IF(Main[[#This Row],[Class]]="B", WORKDAY(Main[[#This Row],[Tech Start Date]],15),IF(Main[[#This Row],[Class]]="A",WORKDAY(Main[[#This Row],[Tech Start Date]],5),""))))</f>
        <v>40934</v>
      </c>
      <c r="P37" s="77">
        <f>IF(Main[[#This Row],[Tech Start Date]]&lt;1/1/1990,"",IF(Main[[#This Row],[Class]]="C",WORKDAY(Main[[#This Row],[Tech Start Date]],28),IF(Main[[#This Row],[Class]]="B", WORKDAY(Main[[#This Row],[Tech Start Date]],19),IF(Main[[#This Row],[Class]]="A",WORKDAY(Main[[#This Row],[Tech Start Date]],9),""))))</f>
        <v>40940</v>
      </c>
      <c r="Q37" s="74">
        <v>40903</v>
      </c>
      <c r="R37" s="74">
        <v>40953</v>
      </c>
      <c r="S37" s="72" t="s">
        <v>11</v>
      </c>
      <c r="T37" s="80" t="s">
        <v>3468</v>
      </c>
      <c r="U37" s="72" t="s">
        <v>29</v>
      </c>
      <c r="V37" s="72" t="s">
        <v>1942</v>
      </c>
      <c r="W37" s="72" t="s">
        <v>1938</v>
      </c>
      <c r="X37" s="72" t="s">
        <v>2930</v>
      </c>
      <c r="Y37" s="72" t="s">
        <v>4</v>
      </c>
      <c r="Z37" s="72" t="s">
        <v>535</v>
      </c>
      <c r="AA37" s="147" t="s">
        <v>2930</v>
      </c>
    </row>
    <row r="38" spans="1:32" ht="18.600000000000001" customHeight="1">
      <c r="A38" s="140">
        <f>IF(priority(Main[[#This Row],[Comments]])&lt;&gt;0, priority(Main[[#This Row],[Comments]]),"")</f>
        <v>11</v>
      </c>
      <c r="B38" s="90" t="s">
        <v>2852</v>
      </c>
      <c r="C38" s="72" t="s">
        <v>3273</v>
      </c>
      <c r="D38" s="73" t="s">
        <v>2853</v>
      </c>
      <c r="E38" s="74">
        <v>40911.305891203701</v>
      </c>
      <c r="F38" s="74">
        <v>41041</v>
      </c>
      <c r="G38" s="75">
        <f>IF(stdProdLT(Main[[#This Row],[Comments]])=0.1,"N/A",IF(stdProdLT(Main[[#This Row],[Comments]])=0,"",stdProdLT(Main[[#This Row],[Comments]])))</f>
        <v>140</v>
      </c>
      <c r="H38" s="76">
        <f>IF(AND(Main[[#This Row],[In Stock Date]]&lt;&gt;"",Main[[#This Row],[Revised Due Date]]&lt;&gt;""),Main[[#This Row],[In Stock Date]]-Main[[#This Row],[Revised Due Date]],"")</f>
        <v>92</v>
      </c>
      <c r="I38" s="72" t="s">
        <v>81</v>
      </c>
      <c r="J38" s="72" t="s">
        <v>52</v>
      </c>
      <c r="K38" s="81" t="s">
        <v>1939</v>
      </c>
      <c r="L38" s="74">
        <v>40913</v>
      </c>
      <c r="M38" s="77">
        <f>IF(Main[[#This Row],[Tech Start Date]]&lt;1/1/1990,"",IF(Main[[#This Row],[Class]]="C",WORKDAY(Main[[#This Row],[Tech Start Date]],9),IF(Main[[#This Row],[Class]]="B", WORKDAY(Main[[#This Row],[Tech Start Date]],6),IF(Main[[#This Row],[Class]]="A",WORKDAY(Main[[#This Row],[Tech Start Date]],2),""))))</f>
        <v>40921</v>
      </c>
      <c r="N38" s="77">
        <f>IF(Main[[#This Row],[Tech Start Date]]&lt;1/1/1990,"",IF(Main[[#This Row],[Class]]="C",WORKDAY(Main[[#This Row],[Tech Start Date]],19),IF(Main[[#This Row],[Class]]="B", WORKDAY(Main[[#This Row],[Tech Start Date]],12),IF(Main[[#This Row],[Class]]="A",WORKDAY(Main[[#This Row],[Tech Start Date]],4),""))))</f>
        <v>40931</v>
      </c>
      <c r="O38" s="77">
        <f>IF(Main[[#This Row],[Tech Start Date]]&lt;1/1/1990,"",IF(Main[[#This Row],[Class]]="C",WORKDAY(Main[[#This Row],[Tech Start Date]],23),IF(Main[[#This Row],[Class]]="B", WORKDAY(Main[[#This Row],[Tech Start Date]],15),IF(Main[[#This Row],[Class]]="A",WORKDAY(Main[[#This Row],[Tech Start Date]],5),""))))</f>
        <v>40934</v>
      </c>
      <c r="P38" s="77">
        <f>IF(Main[[#This Row],[Tech Start Date]]&lt;1/1/1990,"",IF(Main[[#This Row],[Class]]="C",WORKDAY(Main[[#This Row],[Tech Start Date]],28),IF(Main[[#This Row],[Class]]="B", WORKDAY(Main[[#This Row],[Tech Start Date]],19),IF(Main[[#This Row],[Class]]="A",WORKDAY(Main[[#This Row],[Tech Start Date]],9),""))))</f>
        <v>40940</v>
      </c>
      <c r="Q38" s="74">
        <v>40903</v>
      </c>
      <c r="R38" s="74">
        <v>40949</v>
      </c>
      <c r="S38" s="72" t="s">
        <v>11</v>
      </c>
      <c r="T38" s="80" t="s">
        <v>3469</v>
      </c>
      <c r="U38" s="72" t="s">
        <v>29</v>
      </c>
      <c r="V38" s="72" t="s">
        <v>1942</v>
      </c>
      <c r="W38" s="72" t="s">
        <v>1938</v>
      </c>
      <c r="X38" s="72" t="s">
        <v>2930</v>
      </c>
      <c r="Y38" s="72" t="s">
        <v>4</v>
      </c>
      <c r="Z38" s="72" t="s">
        <v>775</v>
      </c>
      <c r="AA38" s="147" t="s">
        <v>2930</v>
      </c>
    </row>
    <row r="39" spans="1:32" ht="18.600000000000001" customHeight="1">
      <c r="A39" s="140">
        <f>IF(priority(Main[[#This Row],[Comments]])&lt;&gt;0, priority(Main[[#This Row],[Comments]]),"")</f>
        <v>11</v>
      </c>
      <c r="B39" s="90" t="s">
        <v>3263</v>
      </c>
      <c r="C39" s="72" t="s">
        <v>3351</v>
      </c>
      <c r="D39" s="73" t="s">
        <v>3826</v>
      </c>
      <c r="E39" s="74">
        <v>40919.092164351852</v>
      </c>
      <c r="F39" s="74">
        <v>41122</v>
      </c>
      <c r="G39" s="75">
        <f>IF(stdProdLT(Main[[#This Row],[Comments]])=0.1,"N/A",IF(stdProdLT(Main[[#This Row],[Comments]])=0,"",stdProdLT(Main[[#This Row],[Comments]])))</f>
        <v>126</v>
      </c>
      <c r="H39" s="76">
        <f>IF(AND(Main[[#This Row],[In Stock Date]]&lt;&gt;"",Main[[#This Row],[Revised Due Date]]&lt;&gt;""),Main[[#This Row],[In Stock Date]]-Main[[#This Row],[Revised Due Date]],"")</f>
        <v>169</v>
      </c>
      <c r="I39" s="72" t="s">
        <v>102</v>
      </c>
      <c r="J39" s="72" t="s">
        <v>51</v>
      </c>
      <c r="K39" s="72" t="s">
        <v>1939</v>
      </c>
      <c r="L39" s="74">
        <v>40918</v>
      </c>
      <c r="M39" s="77">
        <f>IF(Main[[#This Row],[Tech Start Date]]&lt;1/1/1990,"",IF(Main[[#This Row],[Class]]="C",WORKDAY(Main[[#This Row],[Tech Start Date]],9),IF(Main[[#This Row],[Class]]="B", WORKDAY(Main[[#This Row],[Tech Start Date]],6),IF(Main[[#This Row],[Class]]="A",WORKDAY(Main[[#This Row],[Tech Start Date]],2),""))))</f>
        <v>40926</v>
      </c>
      <c r="N39" s="77">
        <f>IF(Main[[#This Row],[Tech Start Date]]&lt;1/1/1990,"",IF(Main[[#This Row],[Class]]="C",WORKDAY(Main[[#This Row],[Tech Start Date]],19),IF(Main[[#This Row],[Class]]="B", WORKDAY(Main[[#This Row],[Tech Start Date]],12),IF(Main[[#This Row],[Class]]="A",WORKDAY(Main[[#This Row],[Tech Start Date]],4),""))))</f>
        <v>40934</v>
      </c>
      <c r="O39" s="77">
        <f>IF(Main[[#This Row],[Tech Start Date]]&lt;1/1/1990,"",IF(Main[[#This Row],[Class]]="C",WORKDAY(Main[[#This Row],[Tech Start Date]],23),IF(Main[[#This Row],[Class]]="B", WORKDAY(Main[[#This Row],[Tech Start Date]],15),IF(Main[[#This Row],[Class]]="A",WORKDAY(Main[[#This Row],[Tech Start Date]],5),""))))</f>
        <v>40939</v>
      </c>
      <c r="P39" s="77">
        <f>IF(Main[[#This Row],[Tech Start Date]]&lt;1/1/1990,"",IF(Main[[#This Row],[Class]]="C",WORKDAY(Main[[#This Row],[Tech Start Date]],28),IF(Main[[#This Row],[Class]]="B", WORKDAY(Main[[#This Row],[Tech Start Date]],19),IF(Main[[#This Row],[Class]]="A",WORKDAY(Main[[#This Row],[Tech Start Date]],9),""))))</f>
        <v>40945</v>
      </c>
      <c r="Q39" s="74">
        <v>40954</v>
      </c>
      <c r="R39" s="74">
        <v>40953</v>
      </c>
      <c r="S39" s="72" t="s">
        <v>11</v>
      </c>
      <c r="T39" s="80" t="s">
        <v>3471</v>
      </c>
      <c r="U39" s="72" t="s">
        <v>29</v>
      </c>
      <c r="V39" s="72" t="s">
        <v>1932</v>
      </c>
      <c r="W39" s="72" t="s">
        <v>1938</v>
      </c>
      <c r="X39" s="72" t="s">
        <v>2932</v>
      </c>
      <c r="Y39" s="72" t="s">
        <v>3066</v>
      </c>
      <c r="Z39" s="72" t="s">
        <v>310</v>
      </c>
      <c r="AA39" s="147" t="s">
        <v>2932</v>
      </c>
    </row>
    <row r="40" spans="1:32" ht="18.600000000000001" customHeight="1">
      <c r="A40" s="140">
        <f>IF(priority(Main[[#This Row],[Comments]])&lt;&gt;0, priority(Main[[#This Row],[Comments]]),"")</f>
        <v>12</v>
      </c>
      <c r="B40" s="90" t="s">
        <v>2847</v>
      </c>
      <c r="C40" s="72" t="s">
        <v>2848</v>
      </c>
      <c r="D40" s="73" t="s">
        <v>3415</v>
      </c>
      <c r="E40" s="74"/>
      <c r="F40" s="74"/>
      <c r="G40" s="75" t="str">
        <f>IF(stdProdLT(Main[[#This Row],[Comments]])=0.1,"N/A",IF(stdProdLT(Main[[#This Row],[Comments]])=0,"",stdProdLT(Main[[#This Row],[Comments]])))</f>
        <v>N/A</v>
      </c>
      <c r="H40" s="76" t="str">
        <f>IF(AND(Main[[#This Row],[In Stock Date]]&lt;&gt;"",Main[[#This Row],[Revised Due Date]]&lt;&gt;""),Main[[#This Row],[In Stock Date]]-Main[[#This Row],[Revised Due Date]],"")</f>
        <v/>
      </c>
      <c r="I40" s="72" t="s">
        <v>4</v>
      </c>
      <c r="J40" s="72" t="s">
        <v>4</v>
      </c>
      <c r="K40" s="72" t="s">
        <v>4</v>
      </c>
      <c r="L40" s="74"/>
      <c r="M40" s="77" t="str">
        <f>IF(Main[[#This Row],[Tech Start Date]]&lt;1/1/1990,"",IF(Main[[#This Row],[Class]]="C",WORKDAY(Main[[#This Row],[Tech Start Date]],9),IF(Main[[#This Row],[Class]]="B", WORKDAY(Main[[#This Row],[Tech Start Date]],6),IF(Main[[#This Row],[Class]]="A",WORKDAY(Main[[#This Row],[Tech Start Date]],2),""))))</f>
        <v/>
      </c>
      <c r="N40" s="77" t="str">
        <f>IF(Main[[#This Row],[Tech Start Date]]&lt;1/1/1990,"",IF(Main[[#This Row],[Class]]="C",WORKDAY(Main[[#This Row],[Tech Start Date]],19),IF(Main[[#This Row],[Class]]="B", WORKDAY(Main[[#This Row],[Tech Start Date]],12),IF(Main[[#This Row],[Class]]="A",WORKDAY(Main[[#This Row],[Tech Start Date]],4),""))))</f>
        <v/>
      </c>
      <c r="O40" s="77" t="str">
        <f>IF(Main[[#This Row],[Tech Start Date]]&lt;1/1/1990,"",IF(Main[[#This Row],[Class]]="C",WORKDAY(Main[[#This Row],[Tech Start Date]],23),IF(Main[[#This Row],[Class]]="B", WORKDAY(Main[[#This Row],[Tech Start Date]],15),IF(Main[[#This Row],[Class]]="A",WORKDAY(Main[[#This Row],[Tech Start Date]],5),""))))</f>
        <v/>
      </c>
      <c r="P40" s="77" t="str">
        <f>IF(Main[[#This Row],[Tech Start Date]]&lt;1/1/1990,"",IF(Main[[#This Row],[Class]]="C",WORKDAY(Main[[#This Row],[Tech Start Date]],28),IF(Main[[#This Row],[Class]]="B", WORKDAY(Main[[#This Row],[Tech Start Date]],19),IF(Main[[#This Row],[Class]]="A",WORKDAY(Main[[#This Row],[Tech Start Date]],9),""))))</f>
        <v/>
      </c>
      <c r="Q40" s="74">
        <v>40903</v>
      </c>
      <c r="R40" s="74"/>
      <c r="S40" s="72" t="s">
        <v>11</v>
      </c>
      <c r="T40" s="80" t="s">
        <v>3416</v>
      </c>
      <c r="U40" s="72" t="s">
        <v>14</v>
      </c>
      <c r="V40" s="72" t="s">
        <v>1933</v>
      </c>
      <c r="W40" s="72" t="s">
        <v>1934</v>
      </c>
      <c r="X40" s="72" t="s">
        <v>2899</v>
      </c>
      <c r="Y40" s="72" t="s">
        <v>4</v>
      </c>
      <c r="Z40" s="72" t="s">
        <v>4</v>
      </c>
      <c r="AA40" s="147" t="s">
        <v>2899</v>
      </c>
    </row>
    <row r="41" spans="1:32" ht="18.600000000000001" customHeight="1">
      <c r="A41" s="140">
        <f>IF(priority(Main[[#This Row],[Comments]])&lt;&gt;0, priority(Main[[#This Row],[Comments]]),"")</f>
        <v>12</v>
      </c>
      <c r="B41" s="90" t="s">
        <v>3261</v>
      </c>
      <c r="C41" s="72" t="s">
        <v>3359</v>
      </c>
      <c r="D41" s="73" t="s">
        <v>3827</v>
      </c>
      <c r="E41" s="74">
        <v>40919.068414351852</v>
      </c>
      <c r="F41" s="74">
        <v>41122</v>
      </c>
      <c r="G41" s="75">
        <f>IF(stdProdLT(Main[[#This Row],[Comments]])=0.1,"N/A",IF(stdProdLT(Main[[#This Row],[Comments]])=0,"",stdProdLT(Main[[#This Row],[Comments]])))</f>
        <v>126</v>
      </c>
      <c r="H41" s="76">
        <f>IF(AND(Main[[#This Row],[In Stock Date]]&lt;&gt;"",Main[[#This Row],[Revised Due Date]]&lt;&gt;""),Main[[#This Row],[In Stock Date]]-Main[[#This Row],[Revised Due Date]],"")</f>
        <v>169</v>
      </c>
      <c r="I41" s="72" t="s">
        <v>102</v>
      </c>
      <c r="J41" s="72" t="s">
        <v>51</v>
      </c>
      <c r="K41" s="81" t="s">
        <v>1939</v>
      </c>
      <c r="L41" s="74">
        <v>40918</v>
      </c>
      <c r="M41" s="77">
        <f>IF(Main[[#This Row],[Tech Start Date]]&lt;1/1/1990,"",IF(Main[[#This Row],[Class]]="C",WORKDAY(Main[[#This Row],[Tech Start Date]],9),IF(Main[[#This Row],[Class]]="B", WORKDAY(Main[[#This Row],[Tech Start Date]],6),IF(Main[[#This Row],[Class]]="A",WORKDAY(Main[[#This Row],[Tech Start Date]],2),""))))</f>
        <v>40926</v>
      </c>
      <c r="N41" s="77">
        <f>IF(Main[[#This Row],[Tech Start Date]]&lt;1/1/1990,"",IF(Main[[#This Row],[Class]]="C",WORKDAY(Main[[#This Row],[Tech Start Date]],19),IF(Main[[#This Row],[Class]]="B", WORKDAY(Main[[#This Row],[Tech Start Date]],12),IF(Main[[#This Row],[Class]]="A",WORKDAY(Main[[#This Row],[Tech Start Date]],4),""))))</f>
        <v>40934</v>
      </c>
      <c r="O41" s="77">
        <f>IF(Main[[#This Row],[Tech Start Date]]&lt;1/1/1990,"",IF(Main[[#This Row],[Class]]="C",WORKDAY(Main[[#This Row],[Tech Start Date]],23),IF(Main[[#This Row],[Class]]="B", WORKDAY(Main[[#This Row],[Tech Start Date]],15),IF(Main[[#This Row],[Class]]="A",WORKDAY(Main[[#This Row],[Tech Start Date]],5),""))))</f>
        <v>40939</v>
      </c>
      <c r="P41" s="77">
        <f>IF(Main[[#This Row],[Tech Start Date]]&lt;1/1/1990,"",IF(Main[[#This Row],[Class]]="C",WORKDAY(Main[[#This Row],[Tech Start Date]],28),IF(Main[[#This Row],[Class]]="B", WORKDAY(Main[[#This Row],[Tech Start Date]],19),IF(Main[[#This Row],[Class]]="A",WORKDAY(Main[[#This Row],[Tech Start Date]],9),""))))</f>
        <v>40945</v>
      </c>
      <c r="Q41" s="74">
        <v>40954</v>
      </c>
      <c r="R41" s="74">
        <v>40953</v>
      </c>
      <c r="S41" s="72" t="s">
        <v>11</v>
      </c>
      <c r="T41" s="80" t="s">
        <v>3472</v>
      </c>
      <c r="U41" s="72" t="s">
        <v>29</v>
      </c>
      <c r="V41" s="72" t="s">
        <v>1932</v>
      </c>
      <c r="W41" s="72" t="s">
        <v>1938</v>
      </c>
      <c r="X41" s="72" t="s">
        <v>2932</v>
      </c>
      <c r="Y41" s="72" t="s">
        <v>3066</v>
      </c>
      <c r="Z41" s="72" t="s">
        <v>310</v>
      </c>
      <c r="AA41" s="147" t="s">
        <v>2932</v>
      </c>
    </row>
    <row r="42" spans="1:32" ht="18.600000000000001" customHeight="1">
      <c r="A42" s="140">
        <f>IF(priority(Main[[#This Row],[Comments]])&lt;&gt;0, priority(Main[[#This Row],[Comments]]),"")</f>
        <v>12</v>
      </c>
      <c r="B42" s="90" t="s">
        <v>3356</v>
      </c>
      <c r="C42" s="72" t="s">
        <v>31</v>
      </c>
      <c r="D42" s="73" t="s">
        <v>3832</v>
      </c>
      <c r="E42" s="74">
        <v>40928.305879629632</v>
      </c>
      <c r="F42" s="74">
        <v>41061</v>
      </c>
      <c r="G42" s="75">
        <f>IF(stdProdLT(Main[[#This Row],[Comments]])=0.1,"N/A",IF(stdProdLT(Main[[#This Row],[Comments]])=0,"",stdProdLT(Main[[#This Row],[Comments]])))</f>
        <v>140</v>
      </c>
      <c r="H42" s="76">
        <f>IF(AND(Main[[#This Row],[In Stock Date]]&lt;&gt;"",Main[[#This Row],[Revised Due Date]]&lt;&gt;""),Main[[#This Row],[In Stock Date]]-Main[[#This Row],[Revised Due Date]],"")</f>
        <v>94</v>
      </c>
      <c r="I42" s="72" t="s">
        <v>434</v>
      </c>
      <c r="J42" s="72" t="s">
        <v>52</v>
      </c>
      <c r="K42" s="72" t="s">
        <v>1939</v>
      </c>
      <c r="L42" s="74">
        <v>40932</v>
      </c>
      <c r="M42" s="77">
        <f>IF(Main[[#This Row],[Tech Start Date]]&lt;1/1/1990,"",IF(Main[[#This Row],[Class]]="C",WORKDAY(Main[[#This Row],[Tech Start Date]],9),IF(Main[[#This Row],[Class]]="B", WORKDAY(Main[[#This Row],[Tech Start Date]],6),IF(Main[[#This Row],[Class]]="A",WORKDAY(Main[[#This Row],[Tech Start Date]],2),""))))</f>
        <v>40940</v>
      </c>
      <c r="N42" s="77">
        <f>IF(Main[[#This Row],[Tech Start Date]]&lt;1/1/1990,"",IF(Main[[#This Row],[Class]]="C",WORKDAY(Main[[#This Row],[Tech Start Date]],19),IF(Main[[#This Row],[Class]]="B", WORKDAY(Main[[#This Row],[Tech Start Date]],12),IF(Main[[#This Row],[Class]]="A",WORKDAY(Main[[#This Row],[Tech Start Date]],4),""))))</f>
        <v>40948</v>
      </c>
      <c r="O42" s="77">
        <f>IF(Main[[#This Row],[Tech Start Date]]&lt;1/1/1990,"",IF(Main[[#This Row],[Class]]="C",WORKDAY(Main[[#This Row],[Tech Start Date]],23),IF(Main[[#This Row],[Class]]="B", WORKDAY(Main[[#This Row],[Tech Start Date]],15),IF(Main[[#This Row],[Class]]="A",WORKDAY(Main[[#This Row],[Tech Start Date]],5),""))))</f>
        <v>40953</v>
      </c>
      <c r="P42" s="77">
        <f>IF(Main[[#This Row],[Tech Start Date]]&lt;1/1/1990,"",IF(Main[[#This Row],[Class]]="C",WORKDAY(Main[[#This Row],[Tech Start Date]],28),IF(Main[[#This Row],[Class]]="B", WORKDAY(Main[[#This Row],[Tech Start Date]],19),IF(Main[[#This Row],[Class]]="A",WORKDAY(Main[[#This Row],[Tech Start Date]],9),""))))</f>
        <v>40959</v>
      </c>
      <c r="Q42" s="74">
        <v>40922</v>
      </c>
      <c r="R42" s="74">
        <v>40967</v>
      </c>
      <c r="S42" s="72" t="s">
        <v>11</v>
      </c>
      <c r="T42" s="80" t="s">
        <v>3486</v>
      </c>
      <c r="U42" s="72" t="s">
        <v>29</v>
      </c>
      <c r="V42" s="72" t="s">
        <v>1942</v>
      </c>
      <c r="W42" s="72" t="s">
        <v>1938</v>
      </c>
      <c r="X42" s="72" t="s">
        <v>2930</v>
      </c>
      <c r="Y42" s="72" t="s">
        <v>3357</v>
      </c>
      <c r="Z42" s="72" t="s">
        <v>535</v>
      </c>
      <c r="AA42" s="147" t="s">
        <v>2930</v>
      </c>
    </row>
    <row r="43" spans="1:32" ht="18.600000000000001" customHeight="1">
      <c r="A43" s="140">
        <f>IF(priority(Main[[#This Row],[Comments]])&lt;&gt;0, priority(Main[[#This Row],[Comments]]),"")</f>
        <v>12.1</v>
      </c>
      <c r="B43" s="90" t="s">
        <v>3417</v>
      </c>
      <c r="C43" s="72" t="s">
        <v>3380</v>
      </c>
      <c r="D43" s="73" t="s">
        <v>3418</v>
      </c>
      <c r="E43" s="74">
        <v>40932.830694444441</v>
      </c>
      <c r="F43" s="74">
        <v>41091</v>
      </c>
      <c r="G43" s="75" t="str">
        <f>IF(stdProdLT(Main[[#This Row],[Comments]])=0.1,"N/A",IF(stdProdLT(Main[[#This Row],[Comments]])=0,"",stdProdLT(Main[[#This Row],[Comments]])))</f>
        <v>N/A</v>
      </c>
      <c r="H43" s="76" t="str">
        <f>IF(AND(Main[[#This Row],[In Stock Date]]&lt;&gt;"",Main[[#This Row],[Revised Due Date]]&lt;&gt;""),Main[[#This Row],[In Stock Date]]-Main[[#This Row],[Revised Due Date]],"")</f>
        <v/>
      </c>
      <c r="I43" s="72" t="s">
        <v>4</v>
      </c>
      <c r="J43" s="72" t="s">
        <v>4</v>
      </c>
      <c r="K43" s="72" t="s">
        <v>4</v>
      </c>
      <c r="L43" s="74"/>
      <c r="M43" s="77" t="str">
        <f>IF(Main[[#This Row],[Tech Start Date]]&lt;1/1/1990,"",IF(Main[[#This Row],[Class]]="C",WORKDAY(Main[[#This Row],[Tech Start Date]],9),IF(Main[[#This Row],[Class]]="B", WORKDAY(Main[[#This Row],[Tech Start Date]],6),IF(Main[[#This Row],[Class]]="A",WORKDAY(Main[[#This Row],[Tech Start Date]],2),""))))</f>
        <v/>
      </c>
      <c r="N43" s="77" t="str">
        <f>IF(Main[[#This Row],[Tech Start Date]]&lt;1/1/1990,"",IF(Main[[#This Row],[Class]]="C",WORKDAY(Main[[#This Row],[Tech Start Date]],19),IF(Main[[#This Row],[Class]]="B", WORKDAY(Main[[#This Row],[Tech Start Date]],12),IF(Main[[#This Row],[Class]]="A",WORKDAY(Main[[#This Row],[Tech Start Date]],4),""))))</f>
        <v/>
      </c>
      <c r="O43" s="77" t="str">
        <f>IF(Main[[#This Row],[Tech Start Date]]&lt;1/1/1990,"",IF(Main[[#This Row],[Class]]="C",WORKDAY(Main[[#This Row],[Tech Start Date]],23),IF(Main[[#This Row],[Class]]="B", WORKDAY(Main[[#This Row],[Tech Start Date]],15),IF(Main[[#This Row],[Class]]="A",WORKDAY(Main[[#This Row],[Tech Start Date]],5),""))))</f>
        <v/>
      </c>
      <c r="P43" s="77" t="str">
        <f>IF(Main[[#This Row],[Tech Start Date]]&lt;1/1/1990,"",IF(Main[[#This Row],[Class]]="C",WORKDAY(Main[[#This Row],[Tech Start Date]],28),IF(Main[[#This Row],[Class]]="B", WORKDAY(Main[[#This Row],[Tech Start Date]],19),IF(Main[[#This Row],[Class]]="A",WORKDAY(Main[[#This Row],[Tech Start Date]],9),""))))</f>
        <v/>
      </c>
      <c r="Q43" s="74">
        <v>40945</v>
      </c>
      <c r="R43" s="74"/>
      <c r="S43" s="72" t="s">
        <v>11</v>
      </c>
      <c r="T43" s="80" t="s">
        <v>3419</v>
      </c>
      <c r="U43" s="72" t="s">
        <v>7</v>
      </c>
      <c r="V43" s="72" t="s">
        <v>1942</v>
      </c>
      <c r="W43" s="72" t="s">
        <v>1940</v>
      </c>
      <c r="X43" s="72" t="s">
        <v>2913</v>
      </c>
      <c r="Y43" s="72" t="s">
        <v>3038</v>
      </c>
      <c r="Z43" s="72" t="s">
        <v>4</v>
      </c>
      <c r="AA43" s="147" t="s">
        <v>2913</v>
      </c>
    </row>
    <row r="44" spans="1:32" ht="18.600000000000001" customHeight="1">
      <c r="A44" s="140">
        <f>IF(priority(Main[[#This Row],[Comments]])&lt;&gt;0, priority(Main[[#This Row],[Comments]]),"")</f>
        <v>13</v>
      </c>
      <c r="B44" s="90" t="s">
        <v>3508</v>
      </c>
      <c r="C44" s="72" t="s">
        <v>2386</v>
      </c>
      <c r="D44" s="73" t="s">
        <v>3509</v>
      </c>
      <c r="E44" s="74">
        <v>40939.118807870371</v>
      </c>
      <c r="F44" s="74">
        <v>41030</v>
      </c>
      <c r="G44" s="75" t="str">
        <f>IF(stdProdLT(Main[[#This Row],[Comments]])=0.1,"N/A",IF(stdProdLT(Main[[#This Row],[Comments]])=0,"",stdProdLT(Main[[#This Row],[Comments]])))</f>
        <v/>
      </c>
      <c r="H44" s="76" t="str">
        <f>IF(AND(Main[[#This Row],[In Stock Date]]&lt;&gt;"",Main[[#This Row],[Revised Due Date]]&lt;&gt;""),Main[[#This Row],[In Stock Date]]-Main[[#This Row],[Revised Due Date]],"")</f>
        <v/>
      </c>
      <c r="I44" s="72" t="s">
        <v>4</v>
      </c>
      <c r="J44" s="72" t="s">
        <v>4</v>
      </c>
      <c r="K44" s="72" t="s">
        <v>4</v>
      </c>
      <c r="L44" s="74"/>
      <c r="M44" s="77" t="str">
        <f>IF(Main[[#This Row],[Tech Start Date]]&lt;1/1/1990,"",IF(Main[[#This Row],[Class]]="C",WORKDAY(Main[[#This Row],[Tech Start Date]],9),IF(Main[[#This Row],[Class]]="B", WORKDAY(Main[[#This Row],[Tech Start Date]],6),IF(Main[[#This Row],[Class]]="A",WORKDAY(Main[[#This Row],[Tech Start Date]],2),""))))</f>
        <v/>
      </c>
      <c r="N44" s="77" t="str">
        <f>IF(Main[[#This Row],[Tech Start Date]]&lt;1/1/1990,"",IF(Main[[#This Row],[Class]]="C",WORKDAY(Main[[#This Row],[Tech Start Date]],19),IF(Main[[#This Row],[Class]]="B", WORKDAY(Main[[#This Row],[Tech Start Date]],12),IF(Main[[#This Row],[Class]]="A",WORKDAY(Main[[#This Row],[Tech Start Date]],4),""))))</f>
        <v/>
      </c>
      <c r="O44" s="77" t="str">
        <f>IF(Main[[#This Row],[Tech Start Date]]&lt;1/1/1990,"",IF(Main[[#This Row],[Class]]="C",WORKDAY(Main[[#This Row],[Tech Start Date]],23),IF(Main[[#This Row],[Class]]="B", WORKDAY(Main[[#This Row],[Tech Start Date]],15),IF(Main[[#This Row],[Class]]="A",WORKDAY(Main[[#This Row],[Tech Start Date]],5),""))))</f>
        <v/>
      </c>
      <c r="P44" s="77" t="str">
        <f>IF(Main[[#This Row],[Tech Start Date]]&lt;1/1/1990,"",IF(Main[[#This Row],[Class]]="C",WORKDAY(Main[[#This Row],[Tech Start Date]],28),IF(Main[[#This Row],[Class]]="B", WORKDAY(Main[[#This Row],[Tech Start Date]],19),IF(Main[[#This Row],[Class]]="A",WORKDAY(Main[[#This Row],[Tech Start Date]],9),""))))</f>
        <v/>
      </c>
      <c r="Q44" s="74">
        <v>40890</v>
      </c>
      <c r="R44" s="74"/>
      <c r="S44" s="72" t="s">
        <v>11</v>
      </c>
      <c r="T44" s="80" t="s">
        <v>3730</v>
      </c>
      <c r="U44" s="72" t="s">
        <v>7</v>
      </c>
      <c r="V44" s="72" t="s">
        <v>1942</v>
      </c>
      <c r="W44" s="72" t="s">
        <v>1940</v>
      </c>
      <c r="X44" s="72" t="s">
        <v>2927</v>
      </c>
      <c r="Y44" s="72" t="s">
        <v>4</v>
      </c>
      <c r="Z44" s="72" t="s">
        <v>4</v>
      </c>
      <c r="AA44" s="147" t="s">
        <v>2927</v>
      </c>
    </row>
    <row r="45" spans="1:32" ht="18.600000000000001" customHeight="1">
      <c r="A45" s="140">
        <f>IF(priority(Main[[#This Row],[Comments]])&lt;&gt;0, priority(Main[[#This Row],[Comments]]),"")</f>
        <v>13</v>
      </c>
      <c r="B45" s="90" t="s">
        <v>2801</v>
      </c>
      <c r="C45" s="72" t="s">
        <v>2802</v>
      </c>
      <c r="D45" s="73" t="s">
        <v>2803</v>
      </c>
      <c r="E45" s="74">
        <v>40883.251331018517</v>
      </c>
      <c r="F45" s="74">
        <v>41000</v>
      </c>
      <c r="G45" s="75">
        <f>IF(stdProdLT(Main[[#This Row],[Comments]])=0.1,"N/A",IF(stdProdLT(Main[[#This Row],[Comments]])=0,"",stdProdLT(Main[[#This Row],[Comments]])))</f>
        <v>140</v>
      </c>
      <c r="H45" s="76" t="str">
        <f>IF(AND(Main[[#This Row],[In Stock Date]]&lt;&gt;"",Main[[#This Row],[Revised Due Date]]&lt;&gt;""),Main[[#This Row],[In Stock Date]]-Main[[#This Row],[Revised Due Date]],"")</f>
        <v/>
      </c>
      <c r="I45" s="72" t="s">
        <v>567</v>
      </c>
      <c r="J45" s="72" t="s">
        <v>21</v>
      </c>
      <c r="K45" s="72" t="s">
        <v>4</v>
      </c>
      <c r="L45" s="74"/>
      <c r="M45" s="77" t="str">
        <f>IF(Main[[#This Row],[Tech Start Date]]&lt;1/1/1990,"",IF(Main[[#This Row],[Class]]="C",WORKDAY(Main[[#This Row],[Tech Start Date]],9),IF(Main[[#This Row],[Class]]="B", WORKDAY(Main[[#This Row],[Tech Start Date]],6),IF(Main[[#This Row],[Class]]="A",WORKDAY(Main[[#This Row],[Tech Start Date]],2),""))))</f>
        <v/>
      </c>
      <c r="N45" s="77" t="str">
        <f>IF(Main[[#This Row],[Tech Start Date]]&lt;1/1/1990,"",IF(Main[[#This Row],[Class]]="C",WORKDAY(Main[[#This Row],[Tech Start Date]],19),IF(Main[[#This Row],[Class]]="B", WORKDAY(Main[[#This Row],[Tech Start Date]],12),IF(Main[[#This Row],[Class]]="A",WORKDAY(Main[[#This Row],[Tech Start Date]],4),""))))</f>
        <v/>
      </c>
      <c r="O45" s="77" t="str">
        <f>IF(Main[[#This Row],[Tech Start Date]]&lt;1/1/1990,"",IF(Main[[#This Row],[Class]]="C",WORKDAY(Main[[#This Row],[Tech Start Date]],23),IF(Main[[#This Row],[Class]]="B", WORKDAY(Main[[#This Row],[Tech Start Date]],15),IF(Main[[#This Row],[Class]]="A",WORKDAY(Main[[#This Row],[Tech Start Date]],5),""))))</f>
        <v/>
      </c>
      <c r="P45" s="77" t="str">
        <f>IF(Main[[#This Row],[Tech Start Date]]&lt;1/1/1990,"",IF(Main[[#This Row],[Class]]="C",WORKDAY(Main[[#This Row],[Tech Start Date]],28),IF(Main[[#This Row],[Class]]="B", WORKDAY(Main[[#This Row],[Tech Start Date]],19),IF(Main[[#This Row],[Class]]="A",WORKDAY(Main[[#This Row],[Tech Start Date]],9),""))))</f>
        <v/>
      </c>
      <c r="Q45" s="74">
        <v>40964</v>
      </c>
      <c r="R45" s="74"/>
      <c r="S45" s="72" t="s">
        <v>11</v>
      </c>
      <c r="T45" s="80" t="s">
        <v>2804</v>
      </c>
      <c r="U45" s="72" t="s">
        <v>703</v>
      </c>
      <c r="V45" s="72" t="s">
        <v>1932</v>
      </c>
      <c r="W45" s="72" t="s">
        <v>1940</v>
      </c>
      <c r="X45" s="72" t="s">
        <v>2959</v>
      </c>
      <c r="Y45" s="72" t="s">
        <v>3108</v>
      </c>
      <c r="Z45" s="72" t="s">
        <v>4</v>
      </c>
      <c r="AA45" s="147" t="s">
        <v>2959</v>
      </c>
    </row>
    <row r="46" spans="1:32" ht="18.600000000000001" customHeight="1">
      <c r="A46" s="140">
        <f>IF(priority(Main[[#This Row],[Comments]])&lt;&gt;0, priority(Main[[#This Row],[Comments]]),"")</f>
        <v>13</v>
      </c>
      <c r="B46" s="90" t="s">
        <v>1913</v>
      </c>
      <c r="C46" s="72" t="s">
        <v>826</v>
      </c>
      <c r="D46" s="73" t="s">
        <v>1983</v>
      </c>
      <c r="E46" s="74"/>
      <c r="F46" s="74">
        <v>40767</v>
      </c>
      <c r="G46" s="75" t="str">
        <f>IF(stdProdLT(Main[[#This Row],[Comments]])=0.1,"N/A",IF(stdProdLT(Main[[#This Row],[Comments]])=0,"",stdProdLT(Main[[#This Row],[Comments]])))</f>
        <v/>
      </c>
      <c r="H46" s="76">
        <f>IF(AND(Main[[#This Row],[In Stock Date]]&lt;&gt;"",Main[[#This Row],[Revised Due Date]]&lt;&gt;""),Main[[#This Row],[In Stock Date]]-Main[[#This Row],[Revised Due Date]],"")</f>
        <v>21</v>
      </c>
      <c r="I46" s="72" t="s">
        <v>953</v>
      </c>
      <c r="J46" s="72" t="s">
        <v>28</v>
      </c>
      <c r="K46" s="72" t="s">
        <v>1941</v>
      </c>
      <c r="L46" s="74">
        <v>40704</v>
      </c>
      <c r="M46" s="77">
        <f>IF(Main[[#This Row],[Tech Start Date]]&lt;1/1/1990,"",IF(Main[[#This Row],[Class]]="C",WORKDAY(Main[[#This Row],[Tech Start Date]],9),IF(Main[[#This Row],[Class]]="B", WORKDAY(Main[[#This Row],[Tech Start Date]],6),IF(Main[[#This Row],[Class]]="A",WORKDAY(Main[[#This Row],[Tech Start Date]],2),""))))</f>
        <v>40708</v>
      </c>
      <c r="N46" s="77">
        <f>IF(Main[[#This Row],[Tech Start Date]]&lt;1/1/1990,"",IF(Main[[#This Row],[Class]]="C",WORKDAY(Main[[#This Row],[Tech Start Date]],19),IF(Main[[#This Row],[Class]]="B", WORKDAY(Main[[#This Row],[Tech Start Date]],12),IF(Main[[#This Row],[Class]]="A",WORKDAY(Main[[#This Row],[Tech Start Date]],4),""))))</f>
        <v>40710</v>
      </c>
      <c r="O46" s="77">
        <f>IF(Main[[#This Row],[Tech Start Date]]&lt;1/1/1990,"",IF(Main[[#This Row],[Class]]="C",WORKDAY(Main[[#This Row],[Tech Start Date]],23),IF(Main[[#This Row],[Class]]="B", WORKDAY(Main[[#This Row],[Tech Start Date]],15),IF(Main[[#This Row],[Class]]="A",WORKDAY(Main[[#This Row],[Tech Start Date]],5),""))))</f>
        <v>40711</v>
      </c>
      <c r="P46" s="77">
        <f>IF(Main[[#This Row],[Tech Start Date]]&lt;1/1/1990,"",IF(Main[[#This Row],[Class]]="C",WORKDAY(Main[[#This Row],[Tech Start Date]],28),IF(Main[[#This Row],[Class]]="B", WORKDAY(Main[[#This Row],[Tech Start Date]],19),IF(Main[[#This Row],[Class]]="A",WORKDAY(Main[[#This Row],[Tech Start Date]],9),""))))</f>
        <v>40717</v>
      </c>
      <c r="Q46" s="74"/>
      <c r="R46" s="74">
        <v>40746</v>
      </c>
      <c r="S46" s="72" t="s">
        <v>11</v>
      </c>
      <c r="T46" s="80" t="s">
        <v>2025</v>
      </c>
      <c r="U46" s="72" t="s">
        <v>14</v>
      </c>
      <c r="V46" s="72" t="s">
        <v>1933</v>
      </c>
      <c r="W46" s="72" t="s">
        <v>1940</v>
      </c>
      <c r="X46" s="72" t="s">
        <v>2075</v>
      </c>
      <c r="Y46" s="72" t="s">
        <v>3242</v>
      </c>
      <c r="Z46" s="72" t="s">
        <v>3249</v>
      </c>
      <c r="AA46" s="147" t="s">
        <v>2075</v>
      </c>
    </row>
    <row r="47" spans="1:32" ht="18.600000000000001" customHeight="1">
      <c r="A47" s="140">
        <f>IF(priority(Main[[#This Row],[Comments]])&lt;&gt;0, priority(Main[[#This Row],[Comments]]),"")</f>
        <v>13</v>
      </c>
      <c r="B47" s="90" t="s">
        <v>3264</v>
      </c>
      <c r="C47" s="72" t="s">
        <v>3267</v>
      </c>
      <c r="D47" s="73" t="s">
        <v>3694</v>
      </c>
      <c r="E47" s="74">
        <v>40919.073576388888</v>
      </c>
      <c r="F47" s="74">
        <v>41153</v>
      </c>
      <c r="G47" s="75">
        <f>IF(stdProdLT(Main[[#This Row],[Comments]])=0.1,"N/A",IF(stdProdLT(Main[[#This Row],[Comments]])=0,"",stdProdLT(Main[[#This Row],[Comments]])))</f>
        <v>126</v>
      </c>
      <c r="H47" s="76">
        <f>IF(AND(Main[[#This Row],[In Stock Date]]&lt;&gt;"",Main[[#This Row],[Revised Due Date]]&lt;&gt;""),Main[[#This Row],[In Stock Date]]-Main[[#This Row],[Revised Due Date]],"")</f>
        <v>198</v>
      </c>
      <c r="I47" s="72" t="s">
        <v>923</v>
      </c>
      <c r="J47" s="72" t="s">
        <v>52</v>
      </c>
      <c r="K47" s="72" t="s">
        <v>1939</v>
      </c>
      <c r="L47" s="74">
        <v>40920</v>
      </c>
      <c r="M47" s="77">
        <f>IF(Main[[#This Row],[Tech Start Date]]&lt;1/1/1990,"",IF(Main[[#This Row],[Class]]="C",WORKDAY(Main[[#This Row],[Tech Start Date]],9),IF(Main[[#This Row],[Class]]="B", WORKDAY(Main[[#This Row],[Tech Start Date]],6),IF(Main[[#This Row],[Class]]="A",WORKDAY(Main[[#This Row],[Tech Start Date]],2),""))))</f>
        <v>40928</v>
      </c>
      <c r="N47" s="77">
        <f>IF(Main[[#This Row],[Tech Start Date]]&lt;1/1/1990,"",IF(Main[[#This Row],[Class]]="C",WORKDAY(Main[[#This Row],[Tech Start Date]],19),IF(Main[[#This Row],[Class]]="B", WORKDAY(Main[[#This Row],[Tech Start Date]],12),IF(Main[[#This Row],[Class]]="A",WORKDAY(Main[[#This Row],[Tech Start Date]],4),""))))</f>
        <v>40938</v>
      </c>
      <c r="O47" s="77">
        <f>IF(Main[[#This Row],[Tech Start Date]]&lt;1/1/1990,"",IF(Main[[#This Row],[Class]]="C",WORKDAY(Main[[#This Row],[Tech Start Date]],23),IF(Main[[#This Row],[Class]]="B", WORKDAY(Main[[#This Row],[Tech Start Date]],15),IF(Main[[#This Row],[Class]]="A",WORKDAY(Main[[#This Row],[Tech Start Date]],5),""))))</f>
        <v>40941</v>
      </c>
      <c r="P47" s="77">
        <f>IF(Main[[#This Row],[Tech Start Date]]&lt;1/1/1990,"",IF(Main[[#This Row],[Class]]="C",WORKDAY(Main[[#This Row],[Tech Start Date]],28),IF(Main[[#This Row],[Class]]="B", WORKDAY(Main[[#This Row],[Tech Start Date]],19),IF(Main[[#This Row],[Class]]="A",WORKDAY(Main[[#This Row],[Tech Start Date]],9),""))))</f>
        <v>40947</v>
      </c>
      <c r="Q47" s="74">
        <v>40926</v>
      </c>
      <c r="R47" s="74">
        <v>40955</v>
      </c>
      <c r="S47" s="72" t="s">
        <v>11</v>
      </c>
      <c r="T47" s="80" t="s">
        <v>3336</v>
      </c>
      <c r="U47" s="72" t="s">
        <v>29</v>
      </c>
      <c r="V47" s="72" t="s">
        <v>1932</v>
      </c>
      <c r="W47" s="72" t="s">
        <v>1943</v>
      </c>
      <c r="X47" s="72" t="s">
        <v>2930</v>
      </c>
      <c r="Y47" s="72" t="s">
        <v>4</v>
      </c>
      <c r="Z47" s="72" t="s">
        <v>129</v>
      </c>
      <c r="AA47" s="147" t="s">
        <v>2930</v>
      </c>
    </row>
    <row r="48" spans="1:32" ht="18.600000000000001" customHeight="1">
      <c r="A48" s="140">
        <f>IF(priority(Main[[#This Row],[Comments]])&lt;&gt;0, priority(Main[[#This Row],[Comments]]),"")</f>
        <v>14</v>
      </c>
      <c r="B48" s="90" t="s">
        <v>2812</v>
      </c>
      <c r="C48" s="72" t="s">
        <v>2813</v>
      </c>
      <c r="D48" s="73" t="s">
        <v>2814</v>
      </c>
      <c r="E48" s="74"/>
      <c r="F48" s="74">
        <v>41005</v>
      </c>
      <c r="G48" s="75">
        <f>IF(stdProdLT(Main[[#This Row],[Comments]])=0.1,"N/A",IF(stdProdLT(Main[[#This Row],[Comments]])=0,"",stdProdLT(Main[[#This Row],[Comments]])))</f>
        <v>112</v>
      </c>
      <c r="H48" s="76" t="str">
        <f>IF(AND(Main[[#This Row],[In Stock Date]]&lt;&gt;"",Main[[#This Row],[Revised Due Date]]&lt;&gt;""),Main[[#This Row],[In Stock Date]]-Main[[#This Row],[Revised Due Date]],"")</f>
        <v/>
      </c>
      <c r="I48" s="72" t="s">
        <v>126</v>
      </c>
      <c r="J48" s="72" t="s">
        <v>28</v>
      </c>
      <c r="K48" s="72" t="s">
        <v>1939</v>
      </c>
      <c r="L48" s="74"/>
      <c r="M48" s="77" t="str">
        <f>IF(Main[[#This Row],[Tech Start Date]]&lt;1/1/1990,"",IF(Main[[#This Row],[Class]]="C",WORKDAY(Main[[#This Row],[Tech Start Date]],9),IF(Main[[#This Row],[Class]]="B", WORKDAY(Main[[#This Row],[Tech Start Date]],6),IF(Main[[#This Row],[Class]]="A",WORKDAY(Main[[#This Row],[Tech Start Date]],2),""))))</f>
        <v/>
      </c>
      <c r="N48" s="77" t="str">
        <f>IF(Main[[#This Row],[Tech Start Date]]&lt;1/1/1990,"",IF(Main[[#This Row],[Class]]="C",WORKDAY(Main[[#This Row],[Tech Start Date]],19),IF(Main[[#This Row],[Class]]="B", WORKDAY(Main[[#This Row],[Tech Start Date]],12),IF(Main[[#This Row],[Class]]="A",WORKDAY(Main[[#This Row],[Tech Start Date]],4),""))))</f>
        <v/>
      </c>
      <c r="O48" s="77" t="str">
        <f>IF(Main[[#This Row],[Tech Start Date]]&lt;1/1/1990,"",IF(Main[[#This Row],[Class]]="C",WORKDAY(Main[[#This Row],[Tech Start Date]],23),IF(Main[[#This Row],[Class]]="B", WORKDAY(Main[[#This Row],[Tech Start Date]],15),IF(Main[[#This Row],[Class]]="A",WORKDAY(Main[[#This Row],[Tech Start Date]],5),""))))</f>
        <v/>
      </c>
      <c r="P48" s="77" t="str">
        <f>IF(Main[[#This Row],[Tech Start Date]]&lt;1/1/1990,"",IF(Main[[#This Row],[Class]]="C",WORKDAY(Main[[#This Row],[Tech Start Date]],28),IF(Main[[#This Row],[Class]]="B", WORKDAY(Main[[#This Row],[Tech Start Date]],19),IF(Main[[#This Row],[Class]]="A",WORKDAY(Main[[#This Row],[Tech Start Date]],9),""))))</f>
        <v/>
      </c>
      <c r="Q48" s="74">
        <v>40946</v>
      </c>
      <c r="R48" s="74"/>
      <c r="S48" s="72" t="s">
        <v>11</v>
      </c>
      <c r="T48" s="80" t="s">
        <v>2815</v>
      </c>
      <c r="U48" s="72" t="s">
        <v>14</v>
      </c>
      <c r="V48" s="72" t="s">
        <v>1932</v>
      </c>
      <c r="W48" s="72" t="s">
        <v>1940</v>
      </c>
      <c r="X48" s="72" t="s">
        <v>2941</v>
      </c>
      <c r="Y48" s="72" t="s">
        <v>3085</v>
      </c>
      <c r="Z48" s="72" t="s">
        <v>923</v>
      </c>
      <c r="AA48" s="147" t="s">
        <v>2941</v>
      </c>
    </row>
    <row r="49" spans="1:27" ht="18.600000000000001" customHeight="1">
      <c r="A49" s="140">
        <f>IF(priority(Main[[#This Row],[Comments]])&lt;&gt;0, priority(Main[[#This Row],[Comments]]),"")</f>
        <v>14</v>
      </c>
      <c r="B49" s="90" t="s">
        <v>2244</v>
      </c>
      <c r="C49" s="72" t="s">
        <v>33</v>
      </c>
      <c r="D49" s="73" t="s">
        <v>2245</v>
      </c>
      <c r="E49" s="74">
        <v>40799.635092592594</v>
      </c>
      <c r="F49" s="74">
        <v>41091</v>
      </c>
      <c r="G49" s="75">
        <f>IF(stdProdLT(Main[[#This Row],[Comments]])=0.1,"N/A",IF(stdProdLT(Main[[#This Row],[Comments]])=0,"",stdProdLT(Main[[#This Row],[Comments]])))</f>
        <v>126</v>
      </c>
      <c r="H49" s="76">
        <f>IF(AND(Main[[#This Row],[In Stock Date]]&lt;&gt;"",Main[[#This Row],[Revised Due Date]]&lt;&gt;""),Main[[#This Row],[In Stock Date]]-Main[[#This Row],[Revised Due Date]],"")</f>
        <v>137</v>
      </c>
      <c r="I49" s="72" t="s">
        <v>81</v>
      </c>
      <c r="J49" s="72" t="s">
        <v>21</v>
      </c>
      <c r="K49" s="72" t="s">
        <v>1945</v>
      </c>
      <c r="L49" s="74">
        <v>40813</v>
      </c>
      <c r="M49" s="77">
        <f>IF(Main[[#This Row],[Tech Start Date]]&lt;1/1/1990,"",IF(Main[[#This Row],[Class]]="C",WORKDAY(Main[[#This Row],[Tech Start Date]],9),IF(Main[[#This Row],[Class]]="B", WORKDAY(Main[[#This Row],[Tech Start Date]],6),IF(Main[[#This Row],[Class]]="A",WORKDAY(Main[[#This Row],[Tech Start Date]],2),""))))</f>
        <v>40826</v>
      </c>
      <c r="N49" s="77">
        <f>IF(Main[[#This Row],[Tech Start Date]]&lt;1/1/1990,"",IF(Main[[#This Row],[Class]]="C",WORKDAY(Main[[#This Row],[Tech Start Date]],19),IF(Main[[#This Row],[Class]]="B", WORKDAY(Main[[#This Row],[Tech Start Date]],12),IF(Main[[#This Row],[Class]]="A",WORKDAY(Main[[#This Row],[Tech Start Date]],4),""))))</f>
        <v>40840</v>
      </c>
      <c r="O49" s="77">
        <f>IF(Main[[#This Row],[Tech Start Date]]&lt;1/1/1990,"",IF(Main[[#This Row],[Class]]="C",WORKDAY(Main[[#This Row],[Tech Start Date]],23),IF(Main[[#This Row],[Class]]="B", WORKDAY(Main[[#This Row],[Tech Start Date]],15),IF(Main[[#This Row],[Class]]="A",WORKDAY(Main[[#This Row],[Tech Start Date]],5),""))))</f>
        <v>40844</v>
      </c>
      <c r="P49" s="77">
        <f>IF(Main[[#This Row],[Tech Start Date]]&lt;1/1/1990,"",IF(Main[[#This Row],[Class]]="C",WORKDAY(Main[[#This Row],[Tech Start Date]],28),IF(Main[[#This Row],[Class]]="B", WORKDAY(Main[[#This Row],[Tech Start Date]],19),IF(Main[[#This Row],[Class]]="A",WORKDAY(Main[[#This Row],[Tech Start Date]],9),""))))</f>
        <v>40851</v>
      </c>
      <c r="Q49" s="74">
        <v>40965</v>
      </c>
      <c r="R49" s="74">
        <v>40954</v>
      </c>
      <c r="S49" s="72" t="s">
        <v>11</v>
      </c>
      <c r="T49" s="80" t="s">
        <v>3453</v>
      </c>
      <c r="U49" s="72" t="s">
        <v>29</v>
      </c>
      <c r="V49" s="72" t="s">
        <v>1935</v>
      </c>
      <c r="W49" s="72" t="s">
        <v>1940</v>
      </c>
      <c r="X49" s="72" t="s">
        <v>2975</v>
      </c>
      <c r="Y49" s="72" t="s">
        <v>3190</v>
      </c>
      <c r="Z49" s="72" t="s">
        <v>81</v>
      </c>
      <c r="AA49" s="147" t="s">
        <v>2975</v>
      </c>
    </row>
    <row r="50" spans="1:27" ht="18.600000000000001" customHeight="1">
      <c r="A50" s="140">
        <f>IF(priority(Main[[#This Row],[Comments]])&lt;&gt;0, priority(Main[[#This Row],[Comments]]),"")</f>
        <v>14</v>
      </c>
      <c r="B50" s="90" t="s">
        <v>2628</v>
      </c>
      <c r="C50" s="72" t="s">
        <v>3355</v>
      </c>
      <c r="D50" s="73" t="s">
        <v>3558</v>
      </c>
      <c r="E50" s="74">
        <v>40848.443101851852</v>
      </c>
      <c r="F50" s="74">
        <v>41153</v>
      </c>
      <c r="G50" s="75">
        <f>IF(stdProdLT(Main[[#This Row],[Comments]])=0.1,"N/A",IF(stdProdLT(Main[[#This Row],[Comments]])=0,"",stdProdLT(Main[[#This Row],[Comments]])))</f>
        <v>126</v>
      </c>
      <c r="H50" s="76">
        <f>IF(AND(Main[[#This Row],[In Stock Date]]&lt;&gt;"",Main[[#This Row],[Revised Due Date]]&lt;&gt;""),Main[[#This Row],[In Stock Date]]-Main[[#This Row],[Revised Due Date]],"")</f>
        <v>197</v>
      </c>
      <c r="I50" s="72" t="s">
        <v>923</v>
      </c>
      <c r="J50" s="72" t="s">
        <v>52</v>
      </c>
      <c r="K50" s="72" t="s">
        <v>1939</v>
      </c>
      <c r="L50" s="74">
        <v>40918</v>
      </c>
      <c r="M50" s="77">
        <f>IF(Main[[#This Row],[Tech Start Date]]&lt;1/1/1990,"",IF(Main[[#This Row],[Class]]="C",WORKDAY(Main[[#This Row],[Tech Start Date]],9),IF(Main[[#This Row],[Class]]="B", WORKDAY(Main[[#This Row],[Tech Start Date]],6),IF(Main[[#This Row],[Class]]="A",WORKDAY(Main[[#This Row],[Tech Start Date]],2),""))))</f>
        <v>40926</v>
      </c>
      <c r="N50" s="77">
        <f>IF(Main[[#This Row],[Tech Start Date]]&lt;1/1/1990,"",IF(Main[[#This Row],[Class]]="C",WORKDAY(Main[[#This Row],[Tech Start Date]],19),IF(Main[[#This Row],[Class]]="B", WORKDAY(Main[[#This Row],[Tech Start Date]],12),IF(Main[[#This Row],[Class]]="A",WORKDAY(Main[[#This Row],[Tech Start Date]],4),""))))</f>
        <v>40934</v>
      </c>
      <c r="O50" s="77">
        <f>IF(Main[[#This Row],[Tech Start Date]]&lt;1/1/1990,"",IF(Main[[#This Row],[Class]]="C",WORKDAY(Main[[#This Row],[Tech Start Date]],23),IF(Main[[#This Row],[Class]]="B", WORKDAY(Main[[#This Row],[Tech Start Date]],15),IF(Main[[#This Row],[Class]]="A",WORKDAY(Main[[#This Row],[Tech Start Date]],5),""))))</f>
        <v>40939</v>
      </c>
      <c r="P50" s="77">
        <f>IF(Main[[#This Row],[Tech Start Date]]&lt;1/1/1990,"",IF(Main[[#This Row],[Class]]="C",WORKDAY(Main[[#This Row],[Tech Start Date]],28),IF(Main[[#This Row],[Class]]="B", WORKDAY(Main[[#This Row],[Tech Start Date]],19),IF(Main[[#This Row],[Class]]="A",WORKDAY(Main[[#This Row],[Tech Start Date]],9),""))))</f>
        <v>40945</v>
      </c>
      <c r="Q50" s="74">
        <v>41153</v>
      </c>
      <c r="R50" s="74">
        <v>40956</v>
      </c>
      <c r="S50" s="72" t="s">
        <v>11</v>
      </c>
      <c r="T50" s="80" t="s">
        <v>3473</v>
      </c>
      <c r="U50" s="72" t="s">
        <v>29</v>
      </c>
      <c r="V50" s="72" t="s">
        <v>1932</v>
      </c>
      <c r="W50" s="72" t="s">
        <v>1938</v>
      </c>
      <c r="X50" s="72" t="s">
        <v>2993</v>
      </c>
      <c r="Y50" s="72" t="s">
        <v>3017</v>
      </c>
      <c r="Z50" s="72" t="s">
        <v>129</v>
      </c>
      <c r="AA50" s="147" t="s">
        <v>2993</v>
      </c>
    </row>
    <row r="51" spans="1:27" ht="18.600000000000001" customHeight="1">
      <c r="A51" s="140">
        <f>IF(priority(Main[[#This Row],[Comments]])&lt;&gt;0, priority(Main[[#This Row],[Comments]]),"")</f>
        <v>15</v>
      </c>
      <c r="B51" s="90" t="s">
        <v>2572</v>
      </c>
      <c r="C51" s="72" t="s">
        <v>3355</v>
      </c>
      <c r="D51" s="73" t="s">
        <v>3547</v>
      </c>
      <c r="E51" s="74">
        <v>40848.481932870367</v>
      </c>
      <c r="F51" s="74">
        <v>41153</v>
      </c>
      <c r="G51" s="75">
        <f>IF(stdProdLT(Main[[#This Row],[Comments]])=0.1,"N/A",IF(stdProdLT(Main[[#This Row],[Comments]])=0,"",stdProdLT(Main[[#This Row],[Comments]])))</f>
        <v>126</v>
      </c>
      <c r="H51" s="76">
        <f>IF(AND(Main[[#This Row],[In Stock Date]]&lt;&gt;"",Main[[#This Row],[Revised Due Date]]&lt;&gt;""),Main[[#This Row],[In Stock Date]]-Main[[#This Row],[Revised Due Date]],"")</f>
        <v>197</v>
      </c>
      <c r="I51" s="72" t="s">
        <v>923</v>
      </c>
      <c r="J51" s="72" t="s">
        <v>52</v>
      </c>
      <c r="K51" s="72" t="s">
        <v>1939</v>
      </c>
      <c r="L51" s="74">
        <v>40918</v>
      </c>
      <c r="M51" s="77">
        <f>IF(Main[[#This Row],[Tech Start Date]]&lt;1/1/1990,"",IF(Main[[#This Row],[Class]]="C",WORKDAY(Main[[#This Row],[Tech Start Date]],9),IF(Main[[#This Row],[Class]]="B", WORKDAY(Main[[#This Row],[Tech Start Date]],6),IF(Main[[#This Row],[Class]]="A",WORKDAY(Main[[#This Row],[Tech Start Date]],2),""))))</f>
        <v>40926</v>
      </c>
      <c r="N51" s="77">
        <f>IF(Main[[#This Row],[Tech Start Date]]&lt;1/1/1990,"",IF(Main[[#This Row],[Class]]="C",WORKDAY(Main[[#This Row],[Tech Start Date]],19),IF(Main[[#This Row],[Class]]="B", WORKDAY(Main[[#This Row],[Tech Start Date]],12),IF(Main[[#This Row],[Class]]="A",WORKDAY(Main[[#This Row],[Tech Start Date]],4),""))))</f>
        <v>40934</v>
      </c>
      <c r="O51" s="77">
        <f>IF(Main[[#This Row],[Tech Start Date]]&lt;1/1/1990,"",IF(Main[[#This Row],[Class]]="C",WORKDAY(Main[[#This Row],[Tech Start Date]],23),IF(Main[[#This Row],[Class]]="B", WORKDAY(Main[[#This Row],[Tech Start Date]],15),IF(Main[[#This Row],[Class]]="A",WORKDAY(Main[[#This Row],[Tech Start Date]],5),""))))</f>
        <v>40939</v>
      </c>
      <c r="P51" s="77">
        <f>IF(Main[[#This Row],[Tech Start Date]]&lt;1/1/1990,"",IF(Main[[#This Row],[Class]]="C",WORKDAY(Main[[#This Row],[Tech Start Date]],28),IF(Main[[#This Row],[Class]]="B", WORKDAY(Main[[#This Row],[Tech Start Date]],19),IF(Main[[#This Row],[Class]]="A",WORKDAY(Main[[#This Row],[Tech Start Date]],9),""))))</f>
        <v>40945</v>
      </c>
      <c r="Q51" s="74">
        <v>41153</v>
      </c>
      <c r="R51" s="74">
        <v>40956</v>
      </c>
      <c r="S51" s="72" t="s">
        <v>11</v>
      </c>
      <c r="T51" s="80" t="s">
        <v>3470</v>
      </c>
      <c r="U51" s="72" t="s">
        <v>29</v>
      </c>
      <c r="V51" s="72" t="s">
        <v>1932</v>
      </c>
      <c r="W51" s="72" t="s">
        <v>1938</v>
      </c>
      <c r="X51" s="72" t="s">
        <v>2993</v>
      </c>
      <c r="Y51" s="72" t="s">
        <v>3017</v>
      </c>
      <c r="Z51" s="72" t="s">
        <v>129</v>
      </c>
      <c r="AA51" s="147" t="s">
        <v>2993</v>
      </c>
    </row>
    <row r="52" spans="1:27" ht="18.600000000000001" customHeight="1">
      <c r="A52" s="140">
        <f>IF(priority(Main[[#This Row],[Comments]])&lt;&gt;0, priority(Main[[#This Row],[Comments]]),"")</f>
        <v>15</v>
      </c>
      <c r="B52" s="90" t="s">
        <v>3303</v>
      </c>
      <c r="C52" s="72" t="s">
        <v>3312</v>
      </c>
      <c r="D52" s="73" t="s">
        <v>3304</v>
      </c>
      <c r="E52" s="74">
        <v>40921.041666666664</v>
      </c>
      <c r="F52" s="74">
        <v>41122</v>
      </c>
      <c r="G52" s="75">
        <f>IF(stdProdLT(Main[[#This Row],[Comments]])=0.1,"N/A",IF(stdProdLT(Main[[#This Row],[Comments]])=0,"",stdProdLT(Main[[#This Row],[Comments]])))</f>
        <v>168</v>
      </c>
      <c r="H52" s="76">
        <f>IF(AND(Main[[#This Row],[In Stock Date]]&lt;&gt;"",Main[[#This Row],[Revised Due Date]]&lt;&gt;""),Main[[#This Row],[In Stock Date]]-Main[[#This Row],[Revised Due Date]],"")</f>
        <v>166</v>
      </c>
      <c r="I52" s="72" t="s">
        <v>775</v>
      </c>
      <c r="J52" s="72" t="s">
        <v>21</v>
      </c>
      <c r="K52" s="72" t="s">
        <v>1945</v>
      </c>
      <c r="L52" s="74">
        <v>40924</v>
      </c>
      <c r="M52" s="77">
        <f>IF(Main[[#This Row],[Tech Start Date]]&lt;1/1/1990,"",IF(Main[[#This Row],[Class]]="C",WORKDAY(Main[[#This Row],[Tech Start Date]],9),IF(Main[[#This Row],[Class]]="B", WORKDAY(Main[[#This Row],[Tech Start Date]],6),IF(Main[[#This Row],[Class]]="A",WORKDAY(Main[[#This Row],[Tech Start Date]],2),""))))</f>
        <v>40935</v>
      </c>
      <c r="N52" s="77">
        <f>IF(Main[[#This Row],[Tech Start Date]]&lt;1/1/1990,"",IF(Main[[#This Row],[Class]]="C",WORKDAY(Main[[#This Row],[Tech Start Date]],19),IF(Main[[#This Row],[Class]]="B", WORKDAY(Main[[#This Row],[Tech Start Date]],12),IF(Main[[#This Row],[Class]]="A",WORKDAY(Main[[#This Row],[Tech Start Date]],4),""))))</f>
        <v>40949</v>
      </c>
      <c r="O52" s="77">
        <f>IF(Main[[#This Row],[Tech Start Date]]&lt;1/1/1990,"",IF(Main[[#This Row],[Class]]="C",WORKDAY(Main[[#This Row],[Tech Start Date]],23),IF(Main[[#This Row],[Class]]="B", WORKDAY(Main[[#This Row],[Tech Start Date]],15),IF(Main[[#This Row],[Class]]="A",WORKDAY(Main[[#This Row],[Tech Start Date]],5),""))))</f>
        <v>40955</v>
      </c>
      <c r="P52" s="77">
        <f>IF(Main[[#This Row],[Tech Start Date]]&lt;1/1/1990,"",IF(Main[[#This Row],[Class]]="C",WORKDAY(Main[[#This Row],[Tech Start Date]],28),IF(Main[[#This Row],[Class]]="B", WORKDAY(Main[[#This Row],[Tech Start Date]],19),IF(Main[[#This Row],[Class]]="A",WORKDAY(Main[[#This Row],[Tech Start Date]],9),""))))</f>
        <v>40962</v>
      </c>
      <c r="Q52" s="74">
        <v>40953</v>
      </c>
      <c r="R52" s="74">
        <v>40956</v>
      </c>
      <c r="S52" s="72" t="s">
        <v>11</v>
      </c>
      <c r="T52" s="80" t="s">
        <v>3478</v>
      </c>
      <c r="U52" s="72" t="s">
        <v>29</v>
      </c>
      <c r="V52" s="72" t="s">
        <v>1935</v>
      </c>
      <c r="W52" s="72" t="s">
        <v>1938</v>
      </c>
      <c r="X52" s="72" t="s">
        <v>2932</v>
      </c>
      <c r="Y52" s="72" t="s">
        <v>3066</v>
      </c>
      <c r="Z52" s="72" t="s">
        <v>535</v>
      </c>
      <c r="AA52" s="147" t="s">
        <v>2932</v>
      </c>
    </row>
    <row r="53" spans="1:27" ht="18.600000000000001" customHeight="1">
      <c r="A53" s="140">
        <f>IF(priority(Main[[#This Row],[Comments]])&lt;&gt;0, priority(Main[[#This Row],[Comments]]),"")</f>
        <v>15</v>
      </c>
      <c r="B53" s="90" t="s">
        <v>2837</v>
      </c>
      <c r="C53" s="72" t="s">
        <v>2838</v>
      </c>
      <c r="D53" s="73" t="s">
        <v>3828</v>
      </c>
      <c r="E53" s="74">
        <v>40912.61923611111</v>
      </c>
      <c r="F53" s="74">
        <v>40955</v>
      </c>
      <c r="G53" s="75" t="str">
        <f>IF(stdProdLT(Main[[#This Row],[Comments]])=0.1,"N/A",IF(stdProdLT(Main[[#This Row],[Comments]])=0,"",stdProdLT(Main[[#This Row],[Comments]])))</f>
        <v>N/A</v>
      </c>
      <c r="H53" s="76">
        <f>IF(AND(Main[[#This Row],[In Stock Date]]&lt;&gt;"",Main[[#This Row],[Revised Due Date]]&lt;&gt;""),Main[[#This Row],[In Stock Date]]-Main[[#This Row],[Revised Due Date]],"")</f>
        <v>0</v>
      </c>
      <c r="I53" s="72" t="s">
        <v>952</v>
      </c>
      <c r="J53" s="72" t="s">
        <v>28</v>
      </c>
      <c r="K53" s="72" t="s">
        <v>1939</v>
      </c>
      <c r="L53" s="74">
        <v>40925</v>
      </c>
      <c r="M53" s="77">
        <f>IF(Main[[#This Row],[Tech Start Date]]&lt;1/1/1990,"",IF(Main[[#This Row],[Class]]="C",WORKDAY(Main[[#This Row],[Tech Start Date]],9),IF(Main[[#This Row],[Class]]="B", WORKDAY(Main[[#This Row],[Tech Start Date]],6),IF(Main[[#This Row],[Class]]="A",WORKDAY(Main[[#This Row],[Tech Start Date]],2),""))))</f>
        <v>40933</v>
      </c>
      <c r="N53" s="77">
        <f>IF(Main[[#This Row],[Tech Start Date]]&lt;1/1/1990,"",IF(Main[[#This Row],[Class]]="C",WORKDAY(Main[[#This Row],[Tech Start Date]],19),IF(Main[[#This Row],[Class]]="B", WORKDAY(Main[[#This Row],[Tech Start Date]],12),IF(Main[[#This Row],[Class]]="A",WORKDAY(Main[[#This Row],[Tech Start Date]],4),""))))</f>
        <v>40941</v>
      </c>
      <c r="O53" s="77">
        <f>IF(Main[[#This Row],[Tech Start Date]]&lt;1/1/1990,"",IF(Main[[#This Row],[Class]]="C",WORKDAY(Main[[#This Row],[Tech Start Date]],23),IF(Main[[#This Row],[Class]]="B", WORKDAY(Main[[#This Row],[Tech Start Date]],15),IF(Main[[#This Row],[Class]]="A",WORKDAY(Main[[#This Row],[Tech Start Date]],5),""))))</f>
        <v>40946</v>
      </c>
      <c r="P53" s="77">
        <f>IF(Main[[#This Row],[Tech Start Date]]&lt;1/1/1990,"",IF(Main[[#This Row],[Class]]="C",WORKDAY(Main[[#This Row],[Tech Start Date]],28),IF(Main[[#This Row],[Class]]="B", WORKDAY(Main[[#This Row],[Tech Start Date]],19),IF(Main[[#This Row],[Class]]="A",WORKDAY(Main[[#This Row],[Tech Start Date]],9),""))))</f>
        <v>40952</v>
      </c>
      <c r="Q53" s="74"/>
      <c r="R53" s="74">
        <v>40955</v>
      </c>
      <c r="S53" s="72" t="s">
        <v>11</v>
      </c>
      <c r="T53" s="80" t="s">
        <v>3729</v>
      </c>
      <c r="U53" s="72" t="s">
        <v>29</v>
      </c>
      <c r="V53" s="72" t="s">
        <v>1933</v>
      </c>
      <c r="W53" s="72" t="s">
        <v>1934</v>
      </c>
      <c r="X53" s="72" t="s">
        <v>2899</v>
      </c>
      <c r="Y53" s="72" t="s">
        <v>4</v>
      </c>
      <c r="Z53" s="72" t="s">
        <v>2075</v>
      </c>
      <c r="AA53" s="147" t="s">
        <v>2899</v>
      </c>
    </row>
    <row r="54" spans="1:27" ht="18.600000000000001" customHeight="1">
      <c r="A54" s="140">
        <f>IF(priority(Main[[#This Row],[Comments]])&lt;&gt;0, priority(Main[[#This Row],[Comments]]),"")</f>
        <v>16</v>
      </c>
      <c r="B54" s="90" t="s">
        <v>3301</v>
      </c>
      <c r="C54" s="72" t="s">
        <v>3312</v>
      </c>
      <c r="D54" s="73" t="s">
        <v>3302</v>
      </c>
      <c r="E54" s="74">
        <v>40921.060983796298</v>
      </c>
      <c r="F54" s="74">
        <v>41122</v>
      </c>
      <c r="G54" s="75">
        <f>IF(stdProdLT(Main[[#This Row],[Comments]])=0.1,"N/A",IF(stdProdLT(Main[[#This Row],[Comments]])=0,"",stdProdLT(Main[[#This Row],[Comments]])))</f>
        <v>168</v>
      </c>
      <c r="H54" s="76">
        <f>IF(AND(Main[[#This Row],[In Stock Date]]&lt;&gt;"",Main[[#This Row],[Revised Due Date]]&lt;&gt;""),Main[[#This Row],[In Stock Date]]-Main[[#This Row],[Revised Due Date]],"")</f>
        <v>167</v>
      </c>
      <c r="I54" s="72" t="s">
        <v>494</v>
      </c>
      <c r="J54" s="72" t="s">
        <v>70</v>
      </c>
      <c r="K54" s="72" t="s">
        <v>1945</v>
      </c>
      <c r="L54" s="74">
        <v>40925</v>
      </c>
      <c r="M54" s="77">
        <f>IF(Main[[#This Row],[Tech Start Date]]&lt;1/1/1990,"",IF(Main[[#This Row],[Class]]="C",WORKDAY(Main[[#This Row],[Tech Start Date]],9),IF(Main[[#This Row],[Class]]="B", WORKDAY(Main[[#This Row],[Tech Start Date]],6),IF(Main[[#This Row],[Class]]="A",WORKDAY(Main[[#This Row],[Tech Start Date]],2),""))))</f>
        <v>40938</v>
      </c>
      <c r="N54" s="77">
        <f>IF(Main[[#This Row],[Tech Start Date]]&lt;1/1/1990,"",IF(Main[[#This Row],[Class]]="C",WORKDAY(Main[[#This Row],[Tech Start Date]],19),IF(Main[[#This Row],[Class]]="B", WORKDAY(Main[[#This Row],[Tech Start Date]],12),IF(Main[[#This Row],[Class]]="A",WORKDAY(Main[[#This Row],[Tech Start Date]],4),""))))</f>
        <v>40952</v>
      </c>
      <c r="O54" s="77">
        <f>IF(Main[[#This Row],[Tech Start Date]]&lt;1/1/1990,"",IF(Main[[#This Row],[Class]]="C",WORKDAY(Main[[#This Row],[Tech Start Date]],23),IF(Main[[#This Row],[Class]]="B", WORKDAY(Main[[#This Row],[Tech Start Date]],15),IF(Main[[#This Row],[Class]]="A",WORKDAY(Main[[#This Row],[Tech Start Date]],5),""))))</f>
        <v>40956</v>
      </c>
      <c r="P54" s="77">
        <f>IF(Main[[#This Row],[Tech Start Date]]&lt;1/1/1990,"",IF(Main[[#This Row],[Class]]="C",WORKDAY(Main[[#This Row],[Tech Start Date]],28),IF(Main[[#This Row],[Class]]="B", WORKDAY(Main[[#This Row],[Tech Start Date]],19),IF(Main[[#This Row],[Class]]="A",WORKDAY(Main[[#This Row],[Tech Start Date]],9),""))))</f>
        <v>40963</v>
      </c>
      <c r="Q54" s="74">
        <v>40953</v>
      </c>
      <c r="R54" s="74">
        <v>40955</v>
      </c>
      <c r="S54" s="72" t="s">
        <v>11</v>
      </c>
      <c r="T54" s="80" t="s">
        <v>3485</v>
      </c>
      <c r="U54" s="72" t="s">
        <v>29</v>
      </c>
      <c r="V54" s="72" t="s">
        <v>1935</v>
      </c>
      <c r="W54" s="72" t="s">
        <v>1938</v>
      </c>
      <c r="X54" s="72" t="s">
        <v>2932</v>
      </c>
      <c r="Y54" s="72" t="s">
        <v>3066</v>
      </c>
      <c r="Z54" s="72" t="s">
        <v>535</v>
      </c>
      <c r="AA54" s="147" t="s">
        <v>2932</v>
      </c>
    </row>
    <row r="55" spans="1:27" ht="18.600000000000001" customHeight="1">
      <c r="A55" s="140">
        <f>IF(priority(Main[[#This Row],[Comments]])&lt;&gt;0, priority(Main[[#This Row],[Comments]]),"")</f>
        <v>16.2</v>
      </c>
      <c r="B55" s="90" t="s">
        <v>2434</v>
      </c>
      <c r="C55" s="72" t="s">
        <v>31</v>
      </c>
      <c r="D55" s="73" t="s">
        <v>2435</v>
      </c>
      <c r="E55" s="74"/>
      <c r="F55" s="74">
        <v>41000</v>
      </c>
      <c r="G55" s="75">
        <f>IF(stdProdLT(Main[[#This Row],[Comments]])=0.1,"N/A",IF(stdProdLT(Main[[#This Row],[Comments]])=0,"",stdProdLT(Main[[#This Row],[Comments]])))</f>
        <v>140</v>
      </c>
      <c r="H55" s="76" t="str">
        <f>IF(AND(Main[[#This Row],[In Stock Date]]&lt;&gt;"",Main[[#This Row],[Revised Due Date]]&lt;&gt;""),Main[[#This Row],[In Stock Date]]-Main[[#This Row],[Revised Due Date]],"")</f>
        <v/>
      </c>
      <c r="I55" s="72" t="s">
        <v>4</v>
      </c>
      <c r="J55" s="72" t="s">
        <v>4</v>
      </c>
      <c r="K55" s="72" t="s">
        <v>4</v>
      </c>
      <c r="L55" s="74"/>
      <c r="M55" s="77" t="str">
        <f>IF(Main[[#This Row],[Tech Start Date]]&lt;1/1/1990,"",IF(Main[[#This Row],[Class]]="C",WORKDAY(Main[[#This Row],[Tech Start Date]],9),IF(Main[[#This Row],[Class]]="B", WORKDAY(Main[[#This Row],[Tech Start Date]],6),IF(Main[[#This Row],[Class]]="A",WORKDAY(Main[[#This Row],[Tech Start Date]],2),""))))</f>
        <v/>
      </c>
      <c r="N55" s="77" t="str">
        <f>IF(Main[[#This Row],[Tech Start Date]]&lt;1/1/1990,"",IF(Main[[#This Row],[Class]]="C",WORKDAY(Main[[#This Row],[Tech Start Date]],19),IF(Main[[#This Row],[Class]]="B", WORKDAY(Main[[#This Row],[Tech Start Date]],12),IF(Main[[#This Row],[Class]]="A",WORKDAY(Main[[#This Row],[Tech Start Date]],4),""))))</f>
        <v/>
      </c>
      <c r="O55" s="77" t="str">
        <f>IF(Main[[#This Row],[Tech Start Date]]&lt;1/1/1990,"",IF(Main[[#This Row],[Class]]="C",WORKDAY(Main[[#This Row],[Tech Start Date]],23),IF(Main[[#This Row],[Class]]="B", WORKDAY(Main[[#This Row],[Tech Start Date]],15),IF(Main[[#This Row],[Class]]="A",WORKDAY(Main[[#This Row],[Tech Start Date]],5),""))))</f>
        <v/>
      </c>
      <c r="P55" s="77" t="str">
        <f>IF(Main[[#This Row],[Tech Start Date]]&lt;1/1/1990,"",IF(Main[[#This Row],[Class]]="C",WORKDAY(Main[[#This Row],[Tech Start Date]],28),IF(Main[[#This Row],[Class]]="B", WORKDAY(Main[[#This Row],[Tech Start Date]],19),IF(Main[[#This Row],[Class]]="A",WORKDAY(Main[[#This Row],[Tech Start Date]],9),""))))</f>
        <v/>
      </c>
      <c r="Q55" s="74">
        <v>40916</v>
      </c>
      <c r="R55" s="74"/>
      <c r="S55" s="72" t="s">
        <v>11</v>
      </c>
      <c r="T55" s="80" t="s">
        <v>2436</v>
      </c>
      <c r="U55" s="72" t="s">
        <v>14</v>
      </c>
      <c r="V55" s="72" t="s">
        <v>1942</v>
      </c>
      <c r="W55" s="72" t="s">
        <v>1938</v>
      </c>
      <c r="X55" s="72" t="s">
        <v>2924</v>
      </c>
      <c r="Y55" s="72" t="s">
        <v>3176</v>
      </c>
      <c r="Z55" s="72" t="s">
        <v>4</v>
      </c>
      <c r="AA55" s="147" t="s">
        <v>2924</v>
      </c>
    </row>
    <row r="56" spans="1:27" ht="18.600000000000001" customHeight="1">
      <c r="A56" s="140">
        <f>IF(priority(Main[[#This Row],[Comments]])&lt;&gt;0, priority(Main[[#This Row],[Comments]]),"")</f>
        <v>17</v>
      </c>
      <c r="B56" s="90" t="s">
        <v>1236</v>
      </c>
      <c r="C56" s="72" t="s">
        <v>33</v>
      </c>
      <c r="D56" s="73" t="s">
        <v>330</v>
      </c>
      <c r="E56" s="74"/>
      <c r="F56" s="74">
        <v>40695</v>
      </c>
      <c r="G56" s="75" t="str">
        <f>IF(stdProdLT(Main[[#This Row],[Comments]])=0.1,"N/A",IF(stdProdLT(Main[[#This Row],[Comments]])=0,"",stdProdLT(Main[[#This Row],[Comments]])))</f>
        <v/>
      </c>
      <c r="H56" s="76" t="str">
        <f>IF(AND(Main[[#This Row],[In Stock Date]]&lt;&gt;"",Main[[#This Row],[Revised Due Date]]&lt;&gt;""),Main[[#This Row],[In Stock Date]]-Main[[#This Row],[Revised Due Date]],"")</f>
        <v/>
      </c>
      <c r="I56" s="72" t="s">
        <v>108</v>
      </c>
      <c r="J56" s="72" t="s">
        <v>28</v>
      </c>
      <c r="K56" s="72" t="s">
        <v>4</v>
      </c>
      <c r="L56" s="74"/>
      <c r="M56" s="77" t="str">
        <f>IF(Main[[#This Row],[Tech Start Date]]&lt;1/1/1990,"",IF(Main[[#This Row],[Class]]="C",WORKDAY(Main[[#This Row],[Tech Start Date]],9),IF(Main[[#This Row],[Class]]="B", WORKDAY(Main[[#This Row],[Tech Start Date]],6),IF(Main[[#This Row],[Class]]="A",WORKDAY(Main[[#This Row],[Tech Start Date]],2),""))))</f>
        <v/>
      </c>
      <c r="N56" s="77" t="str">
        <f>IF(Main[[#This Row],[Tech Start Date]]&lt;1/1/1990,"",IF(Main[[#This Row],[Class]]="C",WORKDAY(Main[[#This Row],[Tech Start Date]],19),IF(Main[[#This Row],[Class]]="B", WORKDAY(Main[[#This Row],[Tech Start Date]],12),IF(Main[[#This Row],[Class]]="A",WORKDAY(Main[[#This Row],[Tech Start Date]],4),""))))</f>
        <v/>
      </c>
      <c r="O56" s="77" t="str">
        <f>IF(Main[[#This Row],[Tech Start Date]]&lt;1/1/1990,"",IF(Main[[#This Row],[Class]]="C",WORKDAY(Main[[#This Row],[Tech Start Date]],23),IF(Main[[#This Row],[Class]]="B", WORKDAY(Main[[#This Row],[Tech Start Date]],15),IF(Main[[#This Row],[Class]]="A",WORKDAY(Main[[#This Row],[Tech Start Date]],5),""))))</f>
        <v/>
      </c>
      <c r="P56" s="77" t="str">
        <f>IF(Main[[#This Row],[Tech Start Date]]&lt;1/1/1990,"",IF(Main[[#This Row],[Class]]="C",WORKDAY(Main[[#This Row],[Tech Start Date]],28),IF(Main[[#This Row],[Class]]="B", WORKDAY(Main[[#This Row],[Tech Start Date]],19),IF(Main[[#This Row],[Class]]="A",WORKDAY(Main[[#This Row],[Tech Start Date]],9),""))))</f>
        <v/>
      </c>
      <c r="Q56" s="74">
        <v>40695</v>
      </c>
      <c r="R56" s="74"/>
      <c r="S56" s="72" t="s">
        <v>11</v>
      </c>
      <c r="T56" s="80" t="s">
        <v>331</v>
      </c>
      <c r="U56" s="72" t="s">
        <v>14</v>
      </c>
      <c r="V56" s="72" t="s">
        <v>1933</v>
      </c>
      <c r="W56" s="72" t="s">
        <v>1937</v>
      </c>
      <c r="X56" s="72" t="s">
        <v>2959</v>
      </c>
      <c r="Y56" s="72" t="s">
        <v>3108</v>
      </c>
      <c r="Z56" s="72" t="s">
        <v>3249</v>
      </c>
      <c r="AA56" s="147" t="s">
        <v>2959</v>
      </c>
    </row>
    <row r="57" spans="1:27" ht="18.600000000000001" customHeight="1">
      <c r="A57" s="140">
        <f>IF(priority(Main[[#This Row],[Comments]])&lt;&gt;0, priority(Main[[#This Row],[Comments]]),"")</f>
        <v>17</v>
      </c>
      <c r="B57" s="90" t="s">
        <v>2045</v>
      </c>
      <c r="C57" s="72" t="s">
        <v>2046</v>
      </c>
      <c r="D57" s="73" t="s">
        <v>2161</v>
      </c>
      <c r="E57" s="74"/>
      <c r="F57" s="74">
        <v>40752</v>
      </c>
      <c r="G57" s="75">
        <f>IF(stdProdLT(Main[[#This Row],[Comments]])=0.1,"N/A",IF(stdProdLT(Main[[#This Row],[Comments]])=0,"",stdProdLT(Main[[#This Row],[Comments]])))</f>
        <v>42</v>
      </c>
      <c r="H57" s="76">
        <f>IF(AND(Main[[#This Row],[In Stock Date]]&lt;&gt;"",Main[[#This Row],[Revised Due Date]]&lt;&gt;""),Main[[#This Row],[In Stock Date]]-Main[[#This Row],[Revised Due Date]],"")</f>
        <v>-32</v>
      </c>
      <c r="I57" s="72" t="s">
        <v>968</v>
      </c>
      <c r="J57" s="72" t="s">
        <v>28</v>
      </c>
      <c r="K57" s="72" t="s">
        <v>1939</v>
      </c>
      <c r="L57" s="74">
        <v>40745</v>
      </c>
      <c r="M57" s="77">
        <f>IF(Main[[#This Row],[Tech Start Date]]&lt;1/1/1990,"",IF(Main[[#This Row],[Class]]="C",WORKDAY(Main[[#This Row],[Tech Start Date]],9),IF(Main[[#This Row],[Class]]="B", WORKDAY(Main[[#This Row],[Tech Start Date]],6),IF(Main[[#This Row],[Class]]="A",WORKDAY(Main[[#This Row],[Tech Start Date]],2),""))))</f>
        <v>40753</v>
      </c>
      <c r="N57" s="77">
        <f>IF(Main[[#This Row],[Tech Start Date]]&lt;1/1/1990,"",IF(Main[[#This Row],[Class]]="C",WORKDAY(Main[[#This Row],[Tech Start Date]],19),IF(Main[[#This Row],[Class]]="B", WORKDAY(Main[[#This Row],[Tech Start Date]],12),IF(Main[[#This Row],[Class]]="A",WORKDAY(Main[[#This Row],[Tech Start Date]],4),""))))</f>
        <v>40763</v>
      </c>
      <c r="O57" s="77">
        <f>IF(Main[[#This Row],[Tech Start Date]]&lt;1/1/1990,"",IF(Main[[#This Row],[Class]]="C",WORKDAY(Main[[#This Row],[Tech Start Date]],23),IF(Main[[#This Row],[Class]]="B", WORKDAY(Main[[#This Row],[Tech Start Date]],15),IF(Main[[#This Row],[Class]]="A",WORKDAY(Main[[#This Row],[Tech Start Date]],5),""))))</f>
        <v>40766</v>
      </c>
      <c r="P57" s="77">
        <f>IF(Main[[#This Row],[Tech Start Date]]&lt;1/1/1990,"",IF(Main[[#This Row],[Class]]="C",WORKDAY(Main[[#This Row],[Tech Start Date]],28),IF(Main[[#This Row],[Class]]="B", WORKDAY(Main[[#This Row],[Tech Start Date]],19),IF(Main[[#This Row],[Class]]="A",WORKDAY(Main[[#This Row],[Tech Start Date]],9),""))))</f>
        <v>40772</v>
      </c>
      <c r="Q57" s="74">
        <v>40752</v>
      </c>
      <c r="R57" s="74">
        <v>40784</v>
      </c>
      <c r="S57" s="72" t="s">
        <v>11</v>
      </c>
      <c r="T57" s="80" t="s">
        <v>2162</v>
      </c>
      <c r="U57" s="72" t="s">
        <v>14</v>
      </c>
      <c r="V57" s="72" t="s">
        <v>1933</v>
      </c>
      <c r="W57" s="72" t="s">
        <v>1934</v>
      </c>
      <c r="X57" s="72" t="s">
        <v>2899</v>
      </c>
      <c r="Y57" s="72" t="s">
        <v>3014</v>
      </c>
      <c r="Z57" s="72" t="s">
        <v>2075</v>
      </c>
      <c r="AA57" s="147" t="s">
        <v>2899</v>
      </c>
    </row>
    <row r="58" spans="1:27" ht="18.600000000000001" customHeight="1">
      <c r="A58" s="140">
        <f>IF(priority(Main[[#This Row],[Comments]])&lt;&gt;0, priority(Main[[#This Row],[Comments]]),"")</f>
        <v>17</v>
      </c>
      <c r="B58" s="90" t="s">
        <v>1176</v>
      </c>
      <c r="C58" s="72" t="s">
        <v>1986</v>
      </c>
      <c r="D58" s="73" t="s">
        <v>220</v>
      </c>
      <c r="E58" s="74"/>
      <c r="F58" s="74">
        <v>40724</v>
      </c>
      <c r="G58" s="75" t="str">
        <f>IF(stdProdLT(Main[[#This Row],[Comments]])=0.1,"N/A",IF(stdProdLT(Main[[#This Row],[Comments]])=0,"",stdProdLT(Main[[#This Row],[Comments]])))</f>
        <v/>
      </c>
      <c r="H58" s="76">
        <f>IF(AND(Main[[#This Row],[In Stock Date]]&lt;&gt;"",Main[[#This Row],[Revised Due Date]]&lt;&gt;""),Main[[#This Row],[In Stock Date]]-Main[[#This Row],[Revised Due Date]],"")</f>
        <v>-176</v>
      </c>
      <c r="I58" s="72" t="s">
        <v>954</v>
      </c>
      <c r="J58" s="72" t="s">
        <v>28</v>
      </c>
      <c r="K58" s="72" t="s">
        <v>1939</v>
      </c>
      <c r="L58" s="74">
        <v>40835</v>
      </c>
      <c r="M58" s="77">
        <f>IF(Main[[#This Row],[Tech Start Date]]&lt;1/1/1990,"",IF(Main[[#This Row],[Class]]="C",WORKDAY(Main[[#This Row],[Tech Start Date]],9),IF(Main[[#This Row],[Class]]="B", WORKDAY(Main[[#This Row],[Tech Start Date]],6),IF(Main[[#This Row],[Class]]="A",WORKDAY(Main[[#This Row],[Tech Start Date]],2),""))))</f>
        <v>40843</v>
      </c>
      <c r="N58" s="77">
        <f>IF(Main[[#This Row],[Tech Start Date]]&lt;1/1/1990,"",IF(Main[[#This Row],[Class]]="C",WORKDAY(Main[[#This Row],[Tech Start Date]],19),IF(Main[[#This Row],[Class]]="B", WORKDAY(Main[[#This Row],[Tech Start Date]],12),IF(Main[[#This Row],[Class]]="A",WORKDAY(Main[[#This Row],[Tech Start Date]],4),""))))</f>
        <v>40851</v>
      </c>
      <c r="O58" s="77">
        <f>IF(Main[[#This Row],[Tech Start Date]]&lt;1/1/1990,"",IF(Main[[#This Row],[Class]]="C",WORKDAY(Main[[#This Row],[Tech Start Date]],23),IF(Main[[#This Row],[Class]]="B", WORKDAY(Main[[#This Row],[Tech Start Date]],15),IF(Main[[#This Row],[Class]]="A",WORKDAY(Main[[#This Row],[Tech Start Date]],5),""))))</f>
        <v>40856</v>
      </c>
      <c r="P58" s="77">
        <f>IF(Main[[#This Row],[Tech Start Date]]&lt;1/1/1990,"",IF(Main[[#This Row],[Class]]="C",WORKDAY(Main[[#This Row],[Tech Start Date]],28),IF(Main[[#This Row],[Class]]="B", WORKDAY(Main[[#This Row],[Tech Start Date]],19),IF(Main[[#This Row],[Class]]="A",WORKDAY(Main[[#This Row],[Tech Start Date]],9),""))))</f>
        <v>40862</v>
      </c>
      <c r="Q58" s="74">
        <v>40724</v>
      </c>
      <c r="R58" s="74">
        <v>40900</v>
      </c>
      <c r="S58" s="72" t="s">
        <v>11</v>
      </c>
      <c r="T58" s="80" t="s">
        <v>2881</v>
      </c>
      <c r="U58" s="72" t="s">
        <v>14</v>
      </c>
      <c r="V58" s="72" t="s">
        <v>1933</v>
      </c>
      <c r="W58" s="72" t="s">
        <v>1940</v>
      </c>
      <c r="X58" s="72" t="s">
        <v>2941</v>
      </c>
      <c r="Y58" s="72" t="s">
        <v>3085</v>
      </c>
      <c r="Z58" s="72" t="s">
        <v>2075</v>
      </c>
      <c r="AA58" s="147" t="s">
        <v>2941</v>
      </c>
    </row>
    <row r="59" spans="1:27" ht="18.600000000000001" customHeight="1">
      <c r="A59" s="140">
        <f>IF(priority(Main[[#This Row],[Comments]])&lt;&gt;0, priority(Main[[#This Row],[Comments]]),"")</f>
        <v>17</v>
      </c>
      <c r="B59" s="90" t="s">
        <v>3299</v>
      </c>
      <c r="C59" s="72" t="s">
        <v>3312</v>
      </c>
      <c r="D59" s="73" t="s">
        <v>3300</v>
      </c>
      <c r="E59" s="74">
        <v>40921.084976851853</v>
      </c>
      <c r="F59" s="74">
        <v>41122</v>
      </c>
      <c r="G59" s="75">
        <f>IF(stdProdLT(Main[[#This Row],[Comments]])=0.1,"N/A",IF(stdProdLT(Main[[#This Row],[Comments]])=0,"",stdProdLT(Main[[#This Row],[Comments]])))</f>
        <v>168</v>
      </c>
      <c r="H59" s="76">
        <f>IF(AND(Main[[#This Row],[In Stock Date]]&lt;&gt;"",Main[[#This Row],[Revised Due Date]]&lt;&gt;""),Main[[#This Row],[In Stock Date]]-Main[[#This Row],[Revised Due Date]],"")</f>
        <v>173</v>
      </c>
      <c r="I59" s="72" t="s">
        <v>44</v>
      </c>
      <c r="J59" s="72" t="s">
        <v>28</v>
      </c>
      <c r="K59" s="72" t="s">
        <v>1945</v>
      </c>
      <c r="L59" s="74">
        <v>40925</v>
      </c>
      <c r="M59" s="77">
        <f>IF(Main[[#This Row],[Tech Start Date]]&lt;1/1/1990,"",IF(Main[[#This Row],[Class]]="C",WORKDAY(Main[[#This Row],[Tech Start Date]],9),IF(Main[[#This Row],[Class]]="B", WORKDAY(Main[[#This Row],[Tech Start Date]],6),IF(Main[[#This Row],[Class]]="A",WORKDAY(Main[[#This Row],[Tech Start Date]],2),""))))</f>
        <v>40938</v>
      </c>
      <c r="N59" s="77">
        <f>IF(Main[[#This Row],[Tech Start Date]]&lt;1/1/1990,"",IF(Main[[#This Row],[Class]]="C",WORKDAY(Main[[#This Row],[Tech Start Date]],19),IF(Main[[#This Row],[Class]]="B", WORKDAY(Main[[#This Row],[Tech Start Date]],12),IF(Main[[#This Row],[Class]]="A",WORKDAY(Main[[#This Row],[Tech Start Date]],4),""))))</f>
        <v>40952</v>
      </c>
      <c r="O59" s="77">
        <f>IF(Main[[#This Row],[Tech Start Date]]&lt;1/1/1990,"",IF(Main[[#This Row],[Class]]="C",WORKDAY(Main[[#This Row],[Tech Start Date]],23),IF(Main[[#This Row],[Class]]="B", WORKDAY(Main[[#This Row],[Tech Start Date]],15),IF(Main[[#This Row],[Class]]="A",WORKDAY(Main[[#This Row],[Tech Start Date]],5),""))))</f>
        <v>40956</v>
      </c>
      <c r="P59" s="77">
        <f>IF(Main[[#This Row],[Tech Start Date]]&lt;1/1/1990,"",IF(Main[[#This Row],[Class]]="C",WORKDAY(Main[[#This Row],[Tech Start Date]],28),IF(Main[[#This Row],[Class]]="B", WORKDAY(Main[[#This Row],[Tech Start Date]],19),IF(Main[[#This Row],[Class]]="A",WORKDAY(Main[[#This Row],[Tech Start Date]],9),""))))</f>
        <v>40963</v>
      </c>
      <c r="Q59" s="74">
        <v>40973</v>
      </c>
      <c r="R59" s="74">
        <v>40949</v>
      </c>
      <c r="S59" s="72" t="s">
        <v>11</v>
      </c>
      <c r="T59" s="80" t="s">
        <v>3829</v>
      </c>
      <c r="U59" s="72" t="s">
        <v>29</v>
      </c>
      <c r="V59" s="72" t="s">
        <v>1935</v>
      </c>
      <c r="W59" s="72" t="s">
        <v>1938</v>
      </c>
      <c r="X59" s="72" t="s">
        <v>2932</v>
      </c>
      <c r="Y59" s="72" t="s">
        <v>3066</v>
      </c>
      <c r="Z59" s="72" t="s">
        <v>535</v>
      </c>
      <c r="AA59" s="147" t="s">
        <v>2932</v>
      </c>
    </row>
    <row r="60" spans="1:27" ht="18.600000000000001" customHeight="1">
      <c r="A60" s="140">
        <f>IF(priority(Main[[#This Row],[Comments]])&lt;&gt;0, priority(Main[[#This Row],[Comments]]),"")</f>
        <v>18</v>
      </c>
      <c r="B60" s="90" t="s">
        <v>1247</v>
      </c>
      <c r="C60" s="72" t="s">
        <v>298</v>
      </c>
      <c r="D60" s="73" t="s">
        <v>2339</v>
      </c>
      <c r="E60" s="74">
        <v>40466.671342592592</v>
      </c>
      <c r="F60" s="74"/>
      <c r="G60" s="75" t="str">
        <f>IF(stdProdLT(Main[[#This Row],[Comments]])=0.1,"N/A",IF(stdProdLT(Main[[#This Row],[Comments]])=0,"",stdProdLT(Main[[#This Row],[Comments]])))</f>
        <v/>
      </c>
      <c r="H60" s="76" t="str">
        <f>IF(AND(Main[[#This Row],[In Stock Date]]&lt;&gt;"",Main[[#This Row],[Revised Due Date]]&lt;&gt;""),Main[[#This Row],[In Stock Date]]-Main[[#This Row],[Revised Due Date]],"")</f>
        <v/>
      </c>
      <c r="I60" s="72" t="s">
        <v>4</v>
      </c>
      <c r="J60" s="72" t="s">
        <v>28</v>
      </c>
      <c r="K60" s="81" t="s">
        <v>4</v>
      </c>
      <c r="L60" s="74"/>
      <c r="M60" s="77" t="str">
        <f>IF(Main[[#This Row],[Tech Start Date]]&lt;1/1/1990,"",IF(Main[[#This Row],[Class]]="C",WORKDAY(Main[[#This Row],[Tech Start Date]],9),IF(Main[[#This Row],[Class]]="B", WORKDAY(Main[[#This Row],[Tech Start Date]],6),IF(Main[[#This Row],[Class]]="A",WORKDAY(Main[[#This Row],[Tech Start Date]],2),""))))</f>
        <v/>
      </c>
      <c r="N60" s="77" t="str">
        <f>IF(Main[[#This Row],[Tech Start Date]]&lt;1/1/1990,"",IF(Main[[#This Row],[Class]]="C",WORKDAY(Main[[#This Row],[Tech Start Date]],19),IF(Main[[#This Row],[Class]]="B", WORKDAY(Main[[#This Row],[Tech Start Date]],12),IF(Main[[#This Row],[Class]]="A",WORKDAY(Main[[#This Row],[Tech Start Date]],4),""))))</f>
        <v/>
      </c>
      <c r="O60" s="77" t="str">
        <f>IF(Main[[#This Row],[Tech Start Date]]&lt;1/1/1990,"",IF(Main[[#This Row],[Class]]="C",WORKDAY(Main[[#This Row],[Tech Start Date]],23),IF(Main[[#This Row],[Class]]="B", WORKDAY(Main[[#This Row],[Tech Start Date]],15),IF(Main[[#This Row],[Class]]="A",WORKDAY(Main[[#This Row],[Tech Start Date]],5),""))))</f>
        <v/>
      </c>
      <c r="P60" s="77" t="str">
        <f>IF(Main[[#This Row],[Tech Start Date]]&lt;1/1/1990,"",IF(Main[[#This Row],[Class]]="C",WORKDAY(Main[[#This Row],[Tech Start Date]],28),IF(Main[[#This Row],[Class]]="B", WORKDAY(Main[[#This Row],[Tech Start Date]],19),IF(Main[[#This Row],[Class]]="A",WORKDAY(Main[[#This Row],[Tech Start Date]],9),""))))</f>
        <v/>
      </c>
      <c r="Q60" s="74"/>
      <c r="R60" s="74"/>
      <c r="S60" s="72" t="s">
        <v>6</v>
      </c>
      <c r="T60" s="80" t="s">
        <v>2704</v>
      </c>
      <c r="U60" s="72" t="s">
        <v>7</v>
      </c>
      <c r="V60" s="72" t="s">
        <v>1932</v>
      </c>
      <c r="W60" s="72" t="s">
        <v>1940</v>
      </c>
      <c r="X60" s="72" t="s">
        <v>894</v>
      </c>
      <c r="Y60" s="72" t="s">
        <v>3050</v>
      </c>
      <c r="Z60" s="72" t="s">
        <v>129</v>
      </c>
      <c r="AA60" s="147" t="s">
        <v>894</v>
      </c>
    </row>
    <row r="61" spans="1:27" ht="18.600000000000001" customHeight="1">
      <c r="A61" s="140">
        <f>IF(priority(Main[[#This Row],[Comments]])&lt;&gt;0, priority(Main[[#This Row],[Comments]]),"")</f>
        <v>18</v>
      </c>
      <c r="B61" s="90" t="s">
        <v>2430</v>
      </c>
      <c r="C61" s="72" t="s">
        <v>2431</v>
      </c>
      <c r="D61" s="73" t="s">
        <v>3821</v>
      </c>
      <c r="E61" s="74">
        <v>40864.56318287037</v>
      </c>
      <c r="F61" s="74"/>
      <c r="G61" s="75" t="str">
        <f>IF(stdProdLT(Main[[#This Row],[Comments]])=0.1,"N/A",IF(stdProdLT(Main[[#This Row],[Comments]])=0,"",stdProdLT(Main[[#This Row],[Comments]])))</f>
        <v>N/A</v>
      </c>
      <c r="H61" s="76" t="str">
        <f>IF(AND(Main[[#This Row],[In Stock Date]]&lt;&gt;"",Main[[#This Row],[Revised Due Date]]&lt;&gt;""),Main[[#This Row],[In Stock Date]]-Main[[#This Row],[Revised Due Date]],"")</f>
        <v/>
      </c>
      <c r="I61" s="72" t="s">
        <v>2278</v>
      </c>
      <c r="J61" s="72" t="s">
        <v>28</v>
      </c>
      <c r="K61" s="81" t="s">
        <v>1939</v>
      </c>
      <c r="L61" s="74">
        <v>40878</v>
      </c>
      <c r="M61" s="77">
        <f>IF(Main[[#This Row],[Tech Start Date]]&lt;1/1/1990,"",IF(Main[[#This Row],[Class]]="C",WORKDAY(Main[[#This Row],[Tech Start Date]],9),IF(Main[[#This Row],[Class]]="B", WORKDAY(Main[[#This Row],[Tech Start Date]],6),IF(Main[[#This Row],[Class]]="A",WORKDAY(Main[[#This Row],[Tech Start Date]],2),""))))</f>
        <v>40886</v>
      </c>
      <c r="N61" s="77">
        <f>IF(Main[[#This Row],[Tech Start Date]]&lt;1/1/1990,"",IF(Main[[#This Row],[Class]]="C",WORKDAY(Main[[#This Row],[Tech Start Date]],19),IF(Main[[#This Row],[Class]]="B", WORKDAY(Main[[#This Row],[Tech Start Date]],12),IF(Main[[#This Row],[Class]]="A",WORKDAY(Main[[#This Row],[Tech Start Date]],4),""))))</f>
        <v>40896</v>
      </c>
      <c r="O61" s="77">
        <f>IF(Main[[#This Row],[Tech Start Date]]&lt;1/1/1990,"",IF(Main[[#This Row],[Class]]="C",WORKDAY(Main[[#This Row],[Tech Start Date]],23),IF(Main[[#This Row],[Class]]="B", WORKDAY(Main[[#This Row],[Tech Start Date]],15),IF(Main[[#This Row],[Class]]="A",WORKDAY(Main[[#This Row],[Tech Start Date]],5),""))))</f>
        <v>40899</v>
      </c>
      <c r="P61" s="77">
        <f>IF(Main[[#This Row],[Tech Start Date]]&lt;1/1/1990,"",IF(Main[[#This Row],[Class]]="C",WORKDAY(Main[[#This Row],[Tech Start Date]],28),IF(Main[[#This Row],[Class]]="B", WORKDAY(Main[[#This Row],[Tech Start Date]],19),IF(Main[[#This Row],[Class]]="A",WORKDAY(Main[[#This Row],[Tech Start Date]],9),""))))</f>
        <v>40905</v>
      </c>
      <c r="Q61" s="74"/>
      <c r="R61" s="74">
        <v>40982</v>
      </c>
      <c r="S61" s="72" t="s">
        <v>11</v>
      </c>
      <c r="T61" s="80" t="s">
        <v>3727</v>
      </c>
      <c r="U61" s="72" t="s">
        <v>29</v>
      </c>
      <c r="V61" s="72" t="s">
        <v>1933</v>
      </c>
      <c r="W61" s="72" t="s">
        <v>1934</v>
      </c>
      <c r="X61" s="72" t="s">
        <v>2899</v>
      </c>
      <c r="Y61" s="72" t="s">
        <v>3080</v>
      </c>
      <c r="Z61" s="72" t="s">
        <v>2075</v>
      </c>
      <c r="AA61" s="147" t="s">
        <v>2899</v>
      </c>
    </row>
    <row r="62" spans="1:27" ht="18.600000000000001" customHeight="1">
      <c r="A62" s="140">
        <f>IF(priority(Main[[#This Row],[Comments]])&lt;&gt;0, priority(Main[[#This Row],[Comments]]),"")</f>
        <v>18</v>
      </c>
      <c r="B62" s="90" t="s">
        <v>3305</v>
      </c>
      <c r="C62" s="72" t="s">
        <v>3306</v>
      </c>
      <c r="D62" s="73" t="s">
        <v>3548</v>
      </c>
      <c r="E62" s="74">
        <v>40920.494050925925</v>
      </c>
      <c r="F62" s="74">
        <v>41197</v>
      </c>
      <c r="G62" s="75">
        <f>IF(stdProdLT(Main[[#This Row],[Comments]])=0.1,"N/A",IF(stdProdLT(Main[[#This Row],[Comments]])=0,"",stdProdLT(Main[[#This Row],[Comments]])))</f>
        <v>126</v>
      </c>
      <c r="H62" s="76">
        <f>IF(AND(Main[[#This Row],[In Stock Date]]&lt;&gt;"",Main[[#This Row],[Revised Due Date]]&lt;&gt;""),Main[[#This Row],[In Stock Date]]-Main[[#This Row],[Revised Due Date]],"")</f>
        <v>241</v>
      </c>
      <c r="I62" s="72" t="s">
        <v>923</v>
      </c>
      <c r="J62" s="72" t="s">
        <v>52</v>
      </c>
      <c r="K62" s="72" t="s">
        <v>1939</v>
      </c>
      <c r="L62" s="74">
        <v>40921</v>
      </c>
      <c r="M62" s="77">
        <f>IF(Main[[#This Row],[Tech Start Date]]&lt;1/1/1990,"",IF(Main[[#This Row],[Class]]="C",WORKDAY(Main[[#This Row],[Tech Start Date]],9),IF(Main[[#This Row],[Class]]="B", WORKDAY(Main[[#This Row],[Tech Start Date]],6),IF(Main[[#This Row],[Class]]="A",WORKDAY(Main[[#This Row],[Tech Start Date]],2),""))))</f>
        <v>40931</v>
      </c>
      <c r="N62" s="77">
        <f>IF(Main[[#This Row],[Tech Start Date]]&lt;1/1/1990,"",IF(Main[[#This Row],[Class]]="C",WORKDAY(Main[[#This Row],[Tech Start Date]],19),IF(Main[[#This Row],[Class]]="B", WORKDAY(Main[[#This Row],[Tech Start Date]],12),IF(Main[[#This Row],[Class]]="A",WORKDAY(Main[[#This Row],[Tech Start Date]],4),""))))</f>
        <v>40939</v>
      </c>
      <c r="O62" s="77">
        <f>IF(Main[[#This Row],[Tech Start Date]]&lt;1/1/1990,"",IF(Main[[#This Row],[Class]]="C",WORKDAY(Main[[#This Row],[Tech Start Date]],23),IF(Main[[#This Row],[Class]]="B", WORKDAY(Main[[#This Row],[Tech Start Date]],15),IF(Main[[#This Row],[Class]]="A",WORKDAY(Main[[#This Row],[Tech Start Date]],5),""))))</f>
        <v>40942</v>
      </c>
      <c r="P62" s="77">
        <f>IF(Main[[#This Row],[Tech Start Date]]&lt;1/1/1990,"",IF(Main[[#This Row],[Class]]="C",WORKDAY(Main[[#This Row],[Tech Start Date]],28),IF(Main[[#This Row],[Class]]="B", WORKDAY(Main[[#This Row],[Tech Start Date]],19),IF(Main[[#This Row],[Class]]="A",WORKDAY(Main[[#This Row],[Tech Start Date]],9),""))))</f>
        <v>40948</v>
      </c>
      <c r="Q62" s="74">
        <v>41197</v>
      </c>
      <c r="R62" s="74">
        <v>40956</v>
      </c>
      <c r="S62" s="72" t="s">
        <v>11</v>
      </c>
      <c r="T62" s="80" t="s">
        <v>3474</v>
      </c>
      <c r="U62" s="72" t="s">
        <v>29</v>
      </c>
      <c r="V62" s="72" t="s">
        <v>1932</v>
      </c>
      <c r="W62" s="72" t="s">
        <v>1938</v>
      </c>
      <c r="X62" s="72" t="s">
        <v>2936</v>
      </c>
      <c r="Y62" s="72" t="s">
        <v>3077</v>
      </c>
      <c r="Z62" s="72" t="s">
        <v>129</v>
      </c>
      <c r="AA62" s="147" t="s">
        <v>2936</v>
      </c>
    </row>
    <row r="63" spans="1:27" ht="18.600000000000001" customHeight="1">
      <c r="A63" s="140">
        <f>IF(priority(Main[[#This Row],[Comments]])&lt;&gt;0, priority(Main[[#This Row],[Comments]]),"")</f>
        <v>18</v>
      </c>
      <c r="B63" s="90" t="s">
        <v>3279</v>
      </c>
      <c r="C63" s="72" t="s">
        <v>3312</v>
      </c>
      <c r="D63" s="73" t="s">
        <v>3280</v>
      </c>
      <c r="E63" s="74">
        <v>40920.17900462963</v>
      </c>
      <c r="F63" s="74">
        <v>41122</v>
      </c>
      <c r="G63" s="75">
        <f>IF(stdProdLT(Main[[#This Row],[Comments]])=0.1,"N/A",IF(stdProdLT(Main[[#This Row],[Comments]])=0,"",stdProdLT(Main[[#This Row],[Comments]])))</f>
        <v>168</v>
      </c>
      <c r="H63" s="76">
        <f>IF(AND(Main[[#This Row],[In Stock Date]]&lt;&gt;"",Main[[#This Row],[Revised Due Date]]&lt;&gt;""),Main[[#This Row],[In Stock Date]]-Main[[#This Row],[Revised Due Date]],"")</f>
        <v>174</v>
      </c>
      <c r="I63" s="72" t="s">
        <v>81</v>
      </c>
      <c r="J63" s="72" t="s">
        <v>52</v>
      </c>
      <c r="K63" s="72" t="s">
        <v>1945</v>
      </c>
      <c r="L63" s="74">
        <v>40925</v>
      </c>
      <c r="M63" s="77">
        <f>IF(Main[[#This Row],[Tech Start Date]]&lt;1/1/1990,"",IF(Main[[#This Row],[Class]]="C",WORKDAY(Main[[#This Row],[Tech Start Date]],9),IF(Main[[#This Row],[Class]]="B", WORKDAY(Main[[#This Row],[Tech Start Date]],6),IF(Main[[#This Row],[Class]]="A",WORKDAY(Main[[#This Row],[Tech Start Date]],2),""))))</f>
        <v>40938</v>
      </c>
      <c r="N63" s="77">
        <f>IF(Main[[#This Row],[Tech Start Date]]&lt;1/1/1990,"",IF(Main[[#This Row],[Class]]="C",WORKDAY(Main[[#This Row],[Tech Start Date]],19),IF(Main[[#This Row],[Class]]="B", WORKDAY(Main[[#This Row],[Tech Start Date]],12),IF(Main[[#This Row],[Class]]="A",WORKDAY(Main[[#This Row],[Tech Start Date]],4),""))))</f>
        <v>40952</v>
      </c>
      <c r="O63" s="77">
        <f>IF(Main[[#This Row],[Tech Start Date]]&lt;1/1/1990,"",IF(Main[[#This Row],[Class]]="C",WORKDAY(Main[[#This Row],[Tech Start Date]],23),IF(Main[[#This Row],[Class]]="B", WORKDAY(Main[[#This Row],[Tech Start Date]],15),IF(Main[[#This Row],[Class]]="A",WORKDAY(Main[[#This Row],[Tech Start Date]],5),""))))</f>
        <v>40956</v>
      </c>
      <c r="P63" s="77">
        <f>IF(Main[[#This Row],[Tech Start Date]]&lt;1/1/1990,"",IF(Main[[#This Row],[Class]]="C",WORKDAY(Main[[#This Row],[Tech Start Date]],28),IF(Main[[#This Row],[Class]]="B", WORKDAY(Main[[#This Row],[Tech Start Date]],19),IF(Main[[#This Row],[Class]]="A",WORKDAY(Main[[#This Row],[Tech Start Date]],9),""))))</f>
        <v>40963</v>
      </c>
      <c r="Q63" s="74">
        <v>40953</v>
      </c>
      <c r="R63" s="74">
        <v>40948</v>
      </c>
      <c r="S63" s="72" t="s">
        <v>11</v>
      </c>
      <c r="T63" s="80" t="s">
        <v>3481</v>
      </c>
      <c r="U63" s="72" t="s">
        <v>29</v>
      </c>
      <c r="V63" s="72" t="s">
        <v>1935</v>
      </c>
      <c r="W63" s="72" t="s">
        <v>1938</v>
      </c>
      <c r="X63" s="72" t="s">
        <v>2932</v>
      </c>
      <c r="Y63" s="72" t="s">
        <v>3066</v>
      </c>
      <c r="Z63" s="72" t="s">
        <v>535</v>
      </c>
      <c r="AA63" s="147" t="s">
        <v>2932</v>
      </c>
    </row>
    <row r="64" spans="1:27" ht="18.600000000000001" customHeight="1">
      <c r="A64" s="140">
        <f>IF(priority(Main[[#This Row],[Comments]])&lt;&gt;0, priority(Main[[#This Row],[Comments]]),"")</f>
        <v>19</v>
      </c>
      <c r="B64" s="90" t="s">
        <v>1598</v>
      </c>
      <c r="C64" s="72" t="s">
        <v>122</v>
      </c>
      <c r="D64" s="73" t="s">
        <v>669</v>
      </c>
      <c r="E64" s="74"/>
      <c r="F64" s="74">
        <v>40704</v>
      </c>
      <c r="G64" s="75" t="str">
        <f>IF(stdProdLT(Main[[#This Row],[Comments]])=0.1,"N/A",IF(stdProdLT(Main[[#This Row],[Comments]])=0,"",stdProdLT(Main[[#This Row],[Comments]])))</f>
        <v/>
      </c>
      <c r="H64" s="76" t="str">
        <f>IF(AND(Main[[#This Row],[In Stock Date]]&lt;&gt;"",Main[[#This Row],[Revised Due Date]]&lt;&gt;""),Main[[#This Row],[In Stock Date]]-Main[[#This Row],[Revised Due Date]],"")</f>
        <v/>
      </c>
      <c r="I64" s="72" t="s">
        <v>4</v>
      </c>
      <c r="J64" s="72" t="s">
        <v>28</v>
      </c>
      <c r="K64" s="72" t="s">
        <v>1941</v>
      </c>
      <c r="L64" s="74"/>
      <c r="M64" s="77" t="str">
        <f>IF(Main[[#This Row],[Tech Start Date]]&lt;1/1/1990,"",IF(Main[[#This Row],[Class]]="C",WORKDAY(Main[[#This Row],[Tech Start Date]],9),IF(Main[[#This Row],[Class]]="B", WORKDAY(Main[[#This Row],[Tech Start Date]],6),IF(Main[[#This Row],[Class]]="A",WORKDAY(Main[[#This Row],[Tech Start Date]],2),""))))</f>
        <v/>
      </c>
      <c r="N64" s="77" t="str">
        <f>IF(Main[[#This Row],[Tech Start Date]]&lt;1/1/1990,"",IF(Main[[#This Row],[Class]]="C",WORKDAY(Main[[#This Row],[Tech Start Date]],19),IF(Main[[#This Row],[Class]]="B", WORKDAY(Main[[#This Row],[Tech Start Date]],12),IF(Main[[#This Row],[Class]]="A",WORKDAY(Main[[#This Row],[Tech Start Date]],4),""))))</f>
        <v/>
      </c>
      <c r="O64" s="77" t="str">
        <f>IF(Main[[#This Row],[Tech Start Date]]&lt;1/1/1990,"",IF(Main[[#This Row],[Class]]="C",WORKDAY(Main[[#This Row],[Tech Start Date]],23),IF(Main[[#This Row],[Class]]="B", WORKDAY(Main[[#This Row],[Tech Start Date]],15),IF(Main[[#This Row],[Class]]="A",WORKDAY(Main[[#This Row],[Tech Start Date]],5),""))))</f>
        <v/>
      </c>
      <c r="P64" s="77" t="str">
        <f>IF(Main[[#This Row],[Tech Start Date]]&lt;1/1/1990,"",IF(Main[[#This Row],[Class]]="C",WORKDAY(Main[[#This Row],[Tech Start Date]],28),IF(Main[[#This Row],[Class]]="B", WORKDAY(Main[[#This Row],[Tech Start Date]],19),IF(Main[[#This Row],[Class]]="A",WORKDAY(Main[[#This Row],[Tech Start Date]],9),""))))</f>
        <v/>
      </c>
      <c r="Q64" s="74">
        <v>40704</v>
      </c>
      <c r="R64" s="74"/>
      <c r="S64" s="72" t="s">
        <v>11</v>
      </c>
      <c r="T64" s="80" t="s">
        <v>1999</v>
      </c>
      <c r="U64" s="72" t="s">
        <v>14</v>
      </c>
      <c r="V64" s="72" t="s">
        <v>1932</v>
      </c>
      <c r="W64" s="72" t="s">
        <v>1934</v>
      </c>
      <c r="X64" s="72" t="s">
        <v>2936</v>
      </c>
      <c r="Y64" s="72" t="s">
        <v>3077</v>
      </c>
      <c r="Z64" s="72" t="s">
        <v>129</v>
      </c>
      <c r="AA64" s="147" t="s">
        <v>2936</v>
      </c>
    </row>
    <row r="65" spans="1:27" ht="18.600000000000001" customHeight="1">
      <c r="A65" s="140">
        <f>IF(priority(Main[[#This Row],[Comments]])&lt;&gt;0, priority(Main[[#This Row],[Comments]]),"")</f>
        <v>19</v>
      </c>
      <c r="B65" s="90" t="s">
        <v>2015</v>
      </c>
      <c r="C65" s="72" t="s">
        <v>53</v>
      </c>
      <c r="D65" s="73" t="s">
        <v>3814</v>
      </c>
      <c r="E65" s="74">
        <v>40735.69803240741</v>
      </c>
      <c r="F65" s="74">
        <v>40836</v>
      </c>
      <c r="G65" s="75" t="str">
        <f>IF(stdProdLT(Main[[#This Row],[Comments]])=0.1,"N/A",IF(stdProdLT(Main[[#This Row],[Comments]])=0,"",stdProdLT(Main[[#This Row],[Comments]])))</f>
        <v>N/A</v>
      </c>
      <c r="H65" s="76">
        <f>IF(AND(Main[[#This Row],[In Stock Date]]&lt;&gt;"",Main[[#This Row],[Revised Due Date]]&lt;&gt;""),Main[[#This Row],[In Stock Date]]-Main[[#This Row],[Revised Due Date]],"")</f>
        <v>-116</v>
      </c>
      <c r="I65" s="72" t="s">
        <v>953</v>
      </c>
      <c r="J65" s="72" t="s">
        <v>28</v>
      </c>
      <c r="K65" s="72" t="s">
        <v>1939</v>
      </c>
      <c r="L65" s="74">
        <v>40756</v>
      </c>
      <c r="M65" s="77">
        <f>IF(Main[[#This Row],[Tech Start Date]]&lt;1/1/1990,"",IF(Main[[#This Row],[Class]]="C",WORKDAY(Main[[#This Row],[Tech Start Date]],9),IF(Main[[#This Row],[Class]]="B", WORKDAY(Main[[#This Row],[Tech Start Date]],6),IF(Main[[#This Row],[Class]]="A",WORKDAY(Main[[#This Row],[Tech Start Date]],2),""))))</f>
        <v>40764</v>
      </c>
      <c r="N65" s="77">
        <f>IF(Main[[#This Row],[Tech Start Date]]&lt;1/1/1990,"",IF(Main[[#This Row],[Class]]="C",WORKDAY(Main[[#This Row],[Tech Start Date]],19),IF(Main[[#This Row],[Class]]="B", WORKDAY(Main[[#This Row],[Tech Start Date]],12),IF(Main[[#This Row],[Class]]="A",WORKDAY(Main[[#This Row],[Tech Start Date]],4),""))))</f>
        <v>40772</v>
      </c>
      <c r="O65" s="77">
        <f>IF(Main[[#This Row],[Tech Start Date]]&lt;1/1/1990,"",IF(Main[[#This Row],[Class]]="C",WORKDAY(Main[[#This Row],[Tech Start Date]],23),IF(Main[[#This Row],[Class]]="B", WORKDAY(Main[[#This Row],[Tech Start Date]],15),IF(Main[[#This Row],[Class]]="A",WORKDAY(Main[[#This Row],[Tech Start Date]],5),""))))</f>
        <v>40777</v>
      </c>
      <c r="P65" s="77">
        <f>IF(Main[[#This Row],[Tech Start Date]]&lt;1/1/1990,"",IF(Main[[#This Row],[Class]]="C",WORKDAY(Main[[#This Row],[Tech Start Date]],28),IF(Main[[#This Row],[Class]]="B", WORKDAY(Main[[#This Row],[Tech Start Date]],19),IF(Main[[#This Row],[Class]]="A",WORKDAY(Main[[#This Row],[Tech Start Date]],9),""))))</f>
        <v>40781</v>
      </c>
      <c r="Q65" s="74"/>
      <c r="R65" s="74">
        <v>40952</v>
      </c>
      <c r="S65" s="72" t="s">
        <v>11</v>
      </c>
      <c r="T65" s="80" t="s">
        <v>3724</v>
      </c>
      <c r="U65" s="72" t="s">
        <v>7</v>
      </c>
      <c r="V65" s="72" t="s">
        <v>1933</v>
      </c>
      <c r="W65" s="72" t="s">
        <v>1934</v>
      </c>
      <c r="X65" s="72" t="s">
        <v>2899</v>
      </c>
      <c r="Y65" s="72" t="s">
        <v>3080</v>
      </c>
      <c r="Z65" s="72" t="s">
        <v>2075</v>
      </c>
      <c r="AA65" s="147" t="s">
        <v>3663</v>
      </c>
    </row>
    <row r="66" spans="1:27" ht="18.600000000000001" customHeight="1">
      <c r="A66" s="140">
        <f>IF(priority(Main[[#This Row],[Comments]])&lt;&gt;0, priority(Main[[#This Row],[Comments]]),"")</f>
        <v>19</v>
      </c>
      <c r="B66" s="90" t="s">
        <v>3297</v>
      </c>
      <c r="C66" s="72" t="s">
        <v>3312</v>
      </c>
      <c r="D66" s="73" t="s">
        <v>3298</v>
      </c>
      <c r="E66" s="74">
        <v>40921.094768518517</v>
      </c>
      <c r="F66" s="74">
        <v>41122</v>
      </c>
      <c r="G66" s="75">
        <f>IF(stdProdLT(Main[[#This Row],[Comments]])=0.1,"N/A",IF(stdProdLT(Main[[#This Row],[Comments]])=0,"",stdProdLT(Main[[#This Row],[Comments]])))</f>
        <v>168</v>
      </c>
      <c r="H66" s="76">
        <f>IF(AND(Main[[#This Row],[In Stock Date]]&lt;&gt;"",Main[[#This Row],[Revised Due Date]]&lt;&gt;""),Main[[#This Row],[In Stock Date]]-Main[[#This Row],[Revised Due Date]],"")</f>
        <v>173</v>
      </c>
      <c r="I66" s="72" t="s">
        <v>131</v>
      </c>
      <c r="J66" s="72" t="s">
        <v>1998</v>
      </c>
      <c r="K66" s="81" t="s">
        <v>1945</v>
      </c>
      <c r="L66" s="74">
        <v>40925</v>
      </c>
      <c r="M66" s="77">
        <f>IF(Main[[#This Row],[Tech Start Date]]&lt;1/1/1990,"",IF(Main[[#This Row],[Class]]="C",WORKDAY(Main[[#This Row],[Tech Start Date]],9),IF(Main[[#This Row],[Class]]="B", WORKDAY(Main[[#This Row],[Tech Start Date]],6),IF(Main[[#This Row],[Class]]="A",WORKDAY(Main[[#This Row],[Tech Start Date]],2),""))))</f>
        <v>40938</v>
      </c>
      <c r="N66" s="77">
        <f>IF(Main[[#This Row],[Tech Start Date]]&lt;1/1/1990,"",IF(Main[[#This Row],[Class]]="C",WORKDAY(Main[[#This Row],[Tech Start Date]],19),IF(Main[[#This Row],[Class]]="B", WORKDAY(Main[[#This Row],[Tech Start Date]],12),IF(Main[[#This Row],[Class]]="A",WORKDAY(Main[[#This Row],[Tech Start Date]],4),""))))</f>
        <v>40952</v>
      </c>
      <c r="O66" s="77">
        <f>IF(Main[[#This Row],[Tech Start Date]]&lt;1/1/1990,"",IF(Main[[#This Row],[Class]]="C",WORKDAY(Main[[#This Row],[Tech Start Date]],23),IF(Main[[#This Row],[Class]]="B", WORKDAY(Main[[#This Row],[Tech Start Date]],15),IF(Main[[#This Row],[Class]]="A",WORKDAY(Main[[#This Row],[Tech Start Date]],5),""))))</f>
        <v>40956</v>
      </c>
      <c r="P66" s="77">
        <f>IF(Main[[#This Row],[Tech Start Date]]&lt;1/1/1990,"",IF(Main[[#This Row],[Class]]="C",WORKDAY(Main[[#This Row],[Tech Start Date]],28),IF(Main[[#This Row],[Class]]="B", WORKDAY(Main[[#This Row],[Tech Start Date]],19),IF(Main[[#This Row],[Class]]="A",WORKDAY(Main[[#This Row],[Tech Start Date]],9),""))))</f>
        <v>40963</v>
      </c>
      <c r="Q66" s="74">
        <v>40953</v>
      </c>
      <c r="R66" s="74">
        <v>40949</v>
      </c>
      <c r="S66" s="72" t="s">
        <v>11</v>
      </c>
      <c r="T66" s="80" t="s">
        <v>3483</v>
      </c>
      <c r="U66" s="72" t="s">
        <v>29</v>
      </c>
      <c r="V66" s="72" t="s">
        <v>1935</v>
      </c>
      <c r="W66" s="72" t="s">
        <v>1938</v>
      </c>
      <c r="X66" s="72" t="s">
        <v>2932</v>
      </c>
      <c r="Y66" s="72" t="s">
        <v>3066</v>
      </c>
      <c r="Z66" s="72" t="s">
        <v>535</v>
      </c>
      <c r="AA66" s="147" t="s">
        <v>2932</v>
      </c>
    </row>
    <row r="67" spans="1:27" ht="18.600000000000001" customHeight="1">
      <c r="A67" s="140">
        <f>IF(priority(Main[[#This Row],[Comments]])&lt;&gt;0, priority(Main[[#This Row],[Comments]]),"")</f>
        <v>20</v>
      </c>
      <c r="B67" s="90" t="s">
        <v>1919</v>
      </c>
      <c r="C67" s="72" t="s">
        <v>964</v>
      </c>
      <c r="D67" s="73" t="s">
        <v>2059</v>
      </c>
      <c r="E67" s="74"/>
      <c r="F67" s="74"/>
      <c r="G67" s="75">
        <f>IF(stdProdLT(Main[[#This Row],[Comments]])=0.1,"N/A",IF(stdProdLT(Main[[#This Row],[Comments]])=0,"",stdProdLT(Main[[#This Row],[Comments]])))</f>
        <v>112</v>
      </c>
      <c r="H67" s="76" t="str">
        <f>IF(AND(Main[[#This Row],[In Stock Date]]&lt;&gt;"",Main[[#This Row],[Revised Due Date]]&lt;&gt;""),Main[[#This Row],[In Stock Date]]-Main[[#This Row],[Revised Due Date]],"")</f>
        <v/>
      </c>
      <c r="I67" s="72" t="s">
        <v>50</v>
      </c>
      <c r="J67" s="72" t="s">
        <v>52</v>
      </c>
      <c r="K67" s="72" t="s">
        <v>1945</v>
      </c>
      <c r="L67" s="74"/>
      <c r="M67" s="77" t="str">
        <f>IF(Main[[#This Row],[Tech Start Date]]&lt;1/1/1990,"",IF(Main[[#This Row],[Class]]="C",WORKDAY(Main[[#This Row],[Tech Start Date]],9),IF(Main[[#This Row],[Class]]="B", WORKDAY(Main[[#This Row],[Tech Start Date]],6),IF(Main[[#This Row],[Class]]="A",WORKDAY(Main[[#This Row],[Tech Start Date]],2),""))))</f>
        <v/>
      </c>
      <c r="N67" s="77" t="str">
        <f>IF(Main[[#This Row],[Tech Start Date]]&lt;1/1/1990,"",IF(Main[[#This Row],[Class]]="C",WORKDAY(Main[[#This Row],[Tech Start Date]],19),IF(Main[[#This Row],[Class]]="B", WORKDAY(Main[[#This Row],[Tech Start Date]],12),IF(Main[[#This Row],[Class]]="A",WORKDAY(Main[[#This Row],[Tech Start Date]],4),""))))</f>
        <v/>
      </c>
      <c r="O67" s="77" t="str">
        <f>IF(Main[[#This Row],[Tech Start Date]]&lt;1/1/1990,"",IF(Main[[#This Row],[Class]]="C",WORKDAY(Main[[#This Row],[Tech Start Date]],23),IF(Main[[#This Row],[Class]]="B", WORKDAY(Main[[#This Row],[Tech Start Date]],15),IF(Main[[#This Row],[Class]]="A",WORKDAY(Main[[#This Row],[Tech Start Date]],5),""))))</f>
        <v/>
      </c>
      <c r="P67" s="77" t="str">
        <f>IF(Main[[#This Row],[Tech Start Date]]&lt;1/1/1990,"",IF(Main[[#This Row],[Class]]="C",WORKDAY(Main[[#This Row],[Tech Start Date]],28),IF(Main[[#This Row],[Class]]="B", WORKDAY(Main[[#This Row],[Tech Start Date]],19),IF(Main[[#This Row],[Class]]="A",WORKDAY(Main[[#This Row],[Tech Start Date]],9),""))))</f>
        <v/>
      </c>
      <c r="Q67" s="74">
        <v>40598</v>
      </c>
      <c r="R67" s="74">
        <v>40786</v>
      </c>
      <c r="S67" s="72" t="s">
        <v>11</v>
      </c>
      <c r="T67" s="80" t="s">
        <v>2148</v>
      </c>
      <c r="U67" s="72" t="s">
        <v>14</v>
      </c>
      <c r="V67" s="72" t="s">
        <v>1933</v>
      </c>
      <c r="W67" s="72" t="s">
        <v>1934</v>
      </c>
      <c r="X67" s="72" t="s">
        <v>2899</v>
      </c>
      <c r="Y67" s="72" t="s">
        <v>3014</v>
      </c>
      <c r="Z67" s="72" t="s">
        <v>2075</v>
      </c>
      <c r="AA67" s="147" t="s">
        <v>2899</v>
      </c>
    </row>
    <row r="68" spans="1:27" ht="18.600000000000001" customHeight="1">
      <c r="A68" s="140">
        <f>IF(priority(Main[[#This Row],[Comments]])&lt;&gt;0, priority(Main[[#This Row],[Comments]]),"")</f>
        <v>20</v>
      </c>
      <c r="B68" s="90" t="s">
        <v>1973</v>
      </c>
      <c r="C68" s="72" t="s">
        <v>4</v>
      </c>
      <c r="D68" s="73" t="s">
        <v>2298</v>
      </c>
      <c r="E68" s="74">
        <v>40722.471516203703</v>
      </c>
      <c r="F68" s="74"/>
      <c r="G68" s="75" t="str">
        <f>IF(stdProdLT(Main[[#This Row],[Comments]])=0.1,"N/A",IF(stdProdLT(Main[[#This Row],[Comments]])=0,"",stdProdLT(Main[[#This Row],[Comments]])))</f>
        <v>N/A</v>
      </c>
      <c r="H68" s="76" t="str">
        <f>IF(AND(Main[[#This Row],[In Stock Date]]&lt;&gt;"",Main[[#This Row],[Revised Due Date]]&lt;&gt;""),Main[[#This Row],[In Stock Date]]-Main[[#This Row],[Revised Due Date]],"")</f>
        <v/>
      </c>
      <c r="I68" s="72" t="s">
        <v>923</v>
      </c>
      <c r="J68" s="72" t="s">
        <v>21</v>
      </c>
      <c r="K68" s="72" t="s">
        <v>1941</v>
      </c>
      <c r="L68" s="74"/>
      <c r="M68" s="77" t="str">
        <f>IF(Main[[#This Row],[Tech Start Date]]&lt;1/1/1990,"",IF(Main[[#This Row],[Class]]="C",WORKDAY(Main[[#This Row],[Tech Start Date]],9),IF(Main[[#This Row],[Class]]="B", WORKDAY(Main[[#This Row],[Tech Start Date]],6),IF(Main[[#This Row],[Class]]="A",WORKDAY(Main[[#This Row],[Tech Start Date]],2),""))))</f>
        <v/>
      </c>
      <c r="N68" s="77" t="str">
        <f>IF(Main[[#This Row],[Tech Start Date]]&lt;1/1/1990,"",IF(Main[[#This Row],[Class]]="C",WORKDAY(Main[[#This Row],[Tech Start Date]],19),IF(Main[[#This Row],[Class]]="B", WORKDAY(Main[[#This Row],[Tech Start Date]],12),IF(Main[[#This Row],[Class]]="A",WORKDAY(Main[[#This Row],[Tech Start Date]],4),""))))</f>
        <v/>
      </c>
      <c r="O68" s="77" t="str">
        <f>IF(Main[[#This Row],[Tech Start Date]]&lt;1/1/1990,"",IF(Main[[#This Row],[Class]]="C",WORKDAY(Main[[#This Row],[Tech Start Date]],23),IF(Main[[#This Row],[Class]]="B", WORKDAY(Main[[#This Row],[Tech Start Date]],15),IF(Main[[#This Row],[Class]]="A",WORKDAY(Main[[#This Row],[Tech Start Date]],5),""))))</f>
        <v/>
      </c>
      <c r="P68" s="77" t="str">
        <f>IF(Main[[#This Row],[Tech Start Date]]&lt;1/1/1990,"",IF(Main[[#This Row],[Class]]="C",WORKDAY(Main[[#This Row],[Tech Start Date]],28),IF(Main[[#This Row],[Class]]="B", WORKDAY(Main[[#This Row],[Tech Start Date]],19),IF(Main[[#This Row],[Class]]="A",WORKDAY(Main[[#This Row],[Tech Start Date]],9),""))))</f>
        <v/>
      </c>
      <c r="Q68" s="74">
        <v>40753</v>
      </c>
      <c r="R68" s="74">
        <v>40756</v>
      </c>
      <c r="S68" s="72" t="s">
        <v>6</v>
      </c>
      <c r="T68" s="80" t="s">
        <v>2703</v>
      </c>
      <c r="U68" s="72" t="s">
        <v>29</v>
      </c>
      <c r="V68" s="72" t="s">
        <v>1932</v>
      </c>
      <c r="W68" s="72" t="s">
        <v>1936</v>
      </c>
      <c r="X68" s="72" t="s">
        <v>2902</v>
      </c>
      <c r="Y68" s="72" t="s">
        <v>3016</v>
      </c>
      <c r="Z68" s="72" t="s">
        <v>129</v>
      </c>
      <c r="AA68" s="147" t="s">
        <v>2902</v>
      </c>
    </row>
    <row r="69" spans="1:27" ht="18.600000000000001" customHeight="1">
      <c r="A69" s="140">
        <f>IF(priority(Main[[#This Row],[Comments]])&lt;&gt;0, priority(Main[[#This Row],[Comments]]),"")</f>
        <v>20</v>
      </c>
      <c r="B69" s="90" t="s">
        <v>2319</v>
      </c>
      <c r="C69" s="72" t="s">
        <v>2320</v>
      </c>
      <c r="D69" s="73" t="s">
        <v>2877</v>
      </c>
      <c r="E69" s="74">
        <v>40814.583657407406</v>
      </c>
      <c r="F69" s="74">
        <v>41150</v>
      </c>
      <c r="G69" s="75">
        <f>IF(stdProdLT(Main[[#This Row],[Comments]])=0.1,"N/A",IF(stdProdLT(Main[[#This Row],[Comments]])=0,"",stdProdLT(Main[[#This Row],[Comments]])))</f>
        <v>112</v>
      </c>
      <c r="H69" s="76">
        <f>IF(AND(Main[[#This Row],[In Stock Date]]&lt;&gt;"",Main[[#This Row],[Revised Due Date]]&lt;&gt;""),Main[[#This Row],[In Stock Date]]-Main[[#This Row],[Revised Due Date]],"")</f>
        <v>201</v>
      </c>
      <c r="I69" s="72" t="s">
        <v>567</v>
      </c>
      <c r="J69" s="72" t="s">
        <v>28</v>
      </c>
      <c r="K69" s="72" t="s">
        <v>1945</v>
      </c>
      <c r="L69" s="74">
        <v>40828</v>
      </c>
      <c r="M69" s="77">
        <f>IF(Main[[#This Row],[Tech Start Date]]&lt;1/1/1990,"",IF(Main[[#This Row],[Class]]="C",WORKDAY(Main[[#This Row],[Tech Start Date]],9),IF(Main[[#This Row],[Class]]="B", WORKDAY(Main[[#This Row],[Tech Start Date]],6),IF(Main[[#This Row],[Class]]="A",WORKDAY(Main[[#This Row],[Tech Start Date]],2),""))))</f>
        <v>40841</v>
      </c>
      <c r="N69" s="77">
        <f>IF(Main[[#This Row],[Tech Start Date]]&lt;1/1/1990,"",IF(Main[[#This Row],[Class]]="C",WORKDAY(Main[[#This Row],[Tech Start Date]],19),IF(Main[[#This Row],[Class]]="B", WORKDAY(Main[[#This Row],[Tech Start Date]],12),IF(Main[[#This Row],[Class]]="A",WORKDAY(Main[[#This Row],[Tech Start Date]],4),""))))</f>
        <v>40855</v>
      </c>
      <c r="O69" s="77">
        <f>IF(Main[[#This Row],[Tech Start Date]]&lt;1/1/1990,"",IF(Main[[#This Row],[Class]]="C",WORKDAY(Main[[#This Row],[Tech Start Date]],23),IF(Main[[#This Row],[Class]]="B", WORKDAY(Main[[#This Row],[Tech Start Date]],15),IF(Main[[#This Row],[Class]]="A",WORKDAY(Main[[#This Row],[Tech Start Date]],5),""))))</f>
        <v>40861</v>
      </c>
      <c r="P69" s="77">
        <f>IF(Main[[#This Row],[Tech Start Date]]&lt;1/1/1990,"",IF(Main[[#This Row],[Class]]="C",WORKDAY(Main[[#This Row],[Tech Start Date]],28),IF(Main[[#This Row],[Class]]="B", WORKDAY(Main[[#This Row],[Tech Start Date]],19),IF(Main[[#This Row],[Class]]="A",WORKDAY(Main[[#This Row],[Tech Start Date]],9),""))))</f>
        <v>40868</v>
      </c>
      <c r="Q69" s="74">
        <v>40876</v>
      </c>
      <c r="R69" s="74">
        <v>40949</v>
      </c>
      <c r="S69" s="72" t="s">
        <v>11</v>
      </c>
      <c r="T69" s="80" t="s">
        <v>3454</v>
      </c>
      <c r="U69" s="72" t="s">
        <v>29</v>
      </c>
      <c r="V69" s="72" t="s">
        <v>1932</v>
      </c>
      <c r="W69" s="72" t="s">
        <v>1938</v>
      </c>
      <c r="X69" s="72" t="s">
        <v>3008</v>
      </c>
      <c r="Y69" s="72" t="s">
        <v>4</v>
      </c>
      <c r="Z69" s="72" t="s">
        <v>129</v>
      </c>
      <c r="AA69" s="147" t="s">
        <v>3666</v>
      </c>
    </row>
    <row r="70" spans="1:27" ht="18.600000000000001" customHeight="1">
      <c r="A70" s="140">
        <f>IF(priority(Main[[#This Row],[Comments]])&lt;&gt;0, priority(Main[[#This Row],[Comments]]),"")</f>
        <v>20</v>
      </c>
      <c r="B70" s="90" t="s">
        <v>2689</v>
      </c>
      <c r="C70" s="72" t="s">
        <v>53</v>
      </c>
      <c r="D70" s="73" t="s">
        <v>2690</v>
      </c>
      <c r="E70" s="74"/>
      <c r="F70" s="74"/>
      <c r="G70" s="75" t="str">
        <f>IF(stdProdLT(Main[[#This Row],[Comments]])=0.1,"N/A",IF(stdProdLT(Main[[#This Row],[Comments]])=0,"",stdProdLT(Main[[#This Row],[Comments]])))</f>
        <v>N/A</v>
      </c>
      <c r="H70" s="76" t="str">
        <f>IF(AND(Main[[#This Row],[In Stock Date]]&lt;&gt;"",Main[[#This Row],[Revised Due Date]]&lt;&gt;""),Main[[#This Row],[In Stock Date]]-Main[[#This Row],[Revised Due Date]],"")</f>
        <v/>
      </c>
      <c r="I70" s="72" t="s">
        <v>953</v>
      </c>
      <c r="J70" s="72" t="s">
        <v>28</v>
      </c>
      <c r="K70" s="72" t="s">
        <v>1939</v>
      </c>
      <c r="L70" s="74">
        <v>40854</v>
      </c>
      <c r="M70" s="77">
        <f>IF(Main[[#This Row],[Tech Start Date]]&lt;1/1/1990,"",IF(Main[[#This Row],[Class]]="C",WORKDAY(Main[[#This Row],[Tech Start Date]],9),IF(Main[[#This Row],[Class]]="B", WORKDAY(Main[[#This Row],[Tech Start Date]],6),IF(Main[[#This Row],[Class]]="A",WORKDAY(Main[[#This Row],[Tech Start Date]],2),""))))</f>
        <v>40862</v>
      </c>
      <c r="N70" s="77">
        <f>IF(Main[[#This Row],[Tech Start Date]]&lt;1/1/1990,"",IF(Main[[#This Row],[Class]]="C",WORKDAY(Main[[#This Row],[Tech Start Date]],19),IF(Main[[#This Row],[Class]]="B", WORKDAY(Main[[#This Row],[Tech Start Date]],12),IF(Main[[#This Row],[Class]]="A",WORKDAY(Main[[#This Row],[Tech Start Date]],4),""))))</f>
        <v>40870</v>
      </c>
      <c r="O70" s="77">
        <f>IF(Main[[#This Row],[Tech Start Date]]&lt;1/1/1990,"",IF(Main[[#This Row],[Class]]="C",WORKDAY(Main[[#This Row],[Tech Start Date]],23),IF(Main[[#This Row],[Class]]="B", WORKDAY(Main[[#This Row],[Tech Start Date]],15),IF(Main[[#This Row],[Class]]="A",WORKDAY(Main[[#This Row],[Tech Start Date]],5),""))))</f>
        <v>40875</v>
      </c>
      <c r="P70" s="77">
        <f>IF(Main[[#This Row],[Tech Start Date]]&lt;1/1/1990,"",IF(Main[[#This Row],[Class]]="C",WORKDAY(Main[[#This Row],[Tech Start Date]],28),IF(Main[[#This Row],[Class]]="B", WORKDAY(Main[[#This Row],[Tech Start Date]],19),IF(Main[[#This Row],[Class]]="A",WORKDAY(Main[[#This Row],[Tech Start Date]],9),""))))</f>
        <v>40879</v>
      </c>
      <c r="Q70" s="74">
        <v>40883</v>
      </c>
      <c r="R70" s="74">
        <v>40877</v>
      </c>
      <c r="S70" s="72" t="s">
        <v>11</v>
      </c>
      <c r="T70" s="80" t="s">
        <v>2691</v>
      </c>
      <c r="U70" s="72" t="s">
        <v>14</v>
      </c>
      <c r="V70" s="72" t="s">
        <v>1933</v>
      </c>
      <c r="W70" s="72" t="s">
        <v>1934</v>
      </c>
      <c r="X70" s="72" t="s">
        <v>2899</v>
      </c>
      <c r="Y70" s="72" t="s">
        <v>3080</v>
      </c>
      <c r="Z70" s="72" t="s">
        <v>2075</v>
      </c>
      <c r="AA70" s="147" t="s">
        <v>2899</v>
      </c>
    </row>
    <row r="71" spans="1:27" ht="18.600000000000001" customHeight="1">
      <c r="A71" s="140">
        <f>IF(priority(Main[[#This Row],[Comments]])&lt;&gt;0, priority(Main[[#This Row],[Comments]]),"")</f>
        <v>20</v>
      </c>
      <c r="B71" s="90" t="s">
        <v>3389</v>
      </c>
      <c r="C71" s="72" t="s">
        <v>3307</v>
      </c>
      <c r="D71" s="73" t="s">
        <v>3390</v>
      </c>
      <c r="E71" s="74">
        <v>40935.321921296294</v>
      </c>
      <c r="F71" s="74">
        <v>41153</v>
      </c>
      <c r="G71" s="75">
        <f>IF(stdProdLT(Main[[#This Row],[Comments]])=0.1,"N/A",IF(stdProdLT(Main[[#This Row],[Comments]])=0,"",stdProdLT(Main[[#This Row],[Comments]])))</f>
        <v>168</v>
      </c>
      <c r="H71" s="76">
        <f>IF(AND(Main[[#This Row],[In Stock Date]]&lt;&gt;"",Main[[#This Row],[Revised Due Date]]&lt;&gt;""),Main[[#This Row],[In Stock Date]]-Main[[#This Row],[Revised Due Date]],"")</f>
        <v>170</v>
      </c>
      <c r="I71" s="72" t="s">
        <v>775</v>
      </c>
      <c r="J71" s="72" t="s">
        <v>28</v>
      </c>
      <c r="K71" s="81" t="s">
        <v>1939</v>
      </c>
      <c r="L71" s="74">
        <v>40948</v>
      </c>
      <c r="M71" s="77">
        <f>IF(Main[[#This Row],[Tech Start Date]]&lt;1/1/1990,"",IF(Main[[#This Row],[Class]]="C",WORKDAY(Main[[#This Row],[Tech Start Date]],9),IF(Main[[#This Row],[Class]]="B", WORKDAY(Main[[#This Row],[Tech Start Date]],6),IF(Main[[#This Row],[Class]]="A",WORKDAY(Main[[#This Row],[Tech Start Date]],2),""))))</f>
        <v>40956</v>
      </c>
      <c r="N71" s="77">
        <f>IF(Main[[#This Row],[Tech Start Date]]&lt;1/1/1990,"",IF(Main[[#This Row],[Class]]="C",WORKDAY(Main[[#This Row],[Tech Start Date]],19),IF(Main[[#This Row],[Class]]="B", WORKDAY(Main[[#This Row],[Tech Start Date]],12),IF(Main[[#This Row],[Class]]="A",WORKDAY(Main[[#This Row],[Tech Start Date]],4),""))))</f>
        <v>40966</v>
      </c>
      <c r="O71" s="77">
        <f>IF(Main[[#This Row],[Tech Start Date]]&lt;1/1/1990,"",IF(Main[[#This Row],[Class]]="C",WORKDAY(Main[[#This Row],[Tech Start Date]],23),IF(Main[[#This Row],[Class]]="B", WORKDAY(Main[[#This Row],[Tech Start Date]],15),IF(Main[[#This Row],[Class]]="A",WORKDAY(Main[[#This Row],[Tech Start Date]],5),""))))</f>
        <v>40969</v>
      </c>
      <c r="P71" s="77">
        <f>IF(Main[[#This Row],[Tech Start Date]]&lt;1/1/1990,"",IF(Main[[#This Row],[Class]]="C",WORKDAY(Main[[#This Row],[Tech Start Date]],28),IF(Main[[#This Row],[Class]]="B", WORKDAY(Main[[#This Row],[Tech Start Date]],19),IF(Main[[#This Row],[Class]]="A",WORKDAY(Main[[#This Row],[Tech Start Date]],9),""))))</f>
        <v>40975</v>
      </c>
      <c r="Q71" s="74">
        <v>40983</v>
      </c>
      <c r="R71" s="74">
        <v>40983</v>
      </c>
      <c r="S71" s="72" t="s">
        <v>11</v>
      </c>
      <c r="T71" s="80" t="s">
        <v>3867</v>
      </c>
      <c r="U71" s="72" t="s">
        <v>29</v>
      </c>
      <c r="V71" s="72" t="s">
        <v>1935</v>
      </c>
      <c r="W71" s="72" t="s">
        <v>1938</v>
      </c>
      <c r="X71" s="72" t="s">
        <v>2932</v>
      </c>
      <c r="Y71" s="72" t="s">
        <v>3066</v>
      </c>
      <c r="Z71" s="72" t="s">
        <v>535</v>
      </c>
      <c r="AA71" s="147" t="s">
        <v>2932</v>
      </c>
    </row>
    <row r="72" spans="1:27" ht="18.600000000000001" customHeight="1">
      <c r="A72" s="140">
        <f>IF(priority(Main[[#This Row],[Comments]])&lt;&gt;0, priority(Main[[#This Row],[Comments]]),"")</f>
        <v>21</v>
      </c>
      <c r="B72" s="90" t="s">
        <v>2744</v>
      </c>
      <c r="C72" s="72" t="s">
        <v>2745</v>
      </c>
      <c r="D72" s="73" t="s">
        <v>3342</v>
      </c>
      <c r="E72" s="74">
        <v>40899.118032407408</v>
      </c>
      <c r="F72" s="74">
        <v>41030</v>
      </c>
      <c r="G72" s="75">
        <f>IF(stdProdLT(Main[[#This Row],[Comments]])=0.1,"N/A",IF(stdProdLT(Main[[#This Row],[Comments]])=0,"",stdProdLT(Main[[#This Row],[Comments]])))</f>
        <v>84</v>
      </c>
      <c r="H72" s="76">
        <f>IF(AND(Main[[#This Row],[In Stock Date]]&lt;&gt;"",Main[[#This Row],[Revised Due Date]]&lt;&gt;""),Main[[#This Row],[In Stock Date]]-Main[[#This Row],[Revised Due Date]],"")</f>
        <v>74</v>
      </c>
      <c r="I72" s="72" t="s">
        <v>923</v>
      </c>
      <c r="J72" s="72" t="s">
        <v>52</v>
      </c>
      <c r="K72" s="72" t="s">
        <v>1945</v>
      </c>
      <c r="L72" s="74"/>
      <c r="M72" s="77" t="str">
        <f>IF(Main[[#This Row],[Tech Start Date]]&lt;1/1/1990,"",IF(Main[[#This Row],[Class]]="C",WORKDAY(Main[[#This Row],[Tech Start Date]],9),IF(Main[[#This Row],[Class]]="B", WORKDAY(Main[[#This Row],[Tech Start Date]],6),IF(Main[[#This Row],[Class]]="A",WORKDAY(Main[[#This Row],[Tech Start Date]],2),""))))</f>
        <v/>
      </c>
      <c r="N72" s="77" t="str">
        <f>IF(Main[[#This Row],[Tech Start Date]]&lt;1/1/1990,"",IF(Main[[#This Row],[Class]]="C",WORKDAY(Main[[#This Row],[Tech Start Date]],19),IF(Main[[#This Row],[Class]]="B", WORKDAY(Main[[#This Row],[Tech Start Date]],12),IF(Main[[#This Row],[Class]]="A",WORKDAY(Main[[#This Row],[Tech Start Date]],4),""))))</f>
        <v/>
      </c>
      <c r="O72" s="77" t="str">
        <f>IF(Main[[#This Row],[Tech Start Date]]&lt;1/1/1990,"",IF(Main[[#This Row],[Class]]="C",WORKDAY(Main[[#This Row],[Tech Start Date]],23),IF(Main[[#This Row],[Class]]="B", WORKDAY(Main[[#This Row],[Tech Start Date]],15),IF(Main[[#This Row],[Class]]="A",WORKDAY(Main[[#This Row],[Tech Start Date]],5),""))))</f>
        <v/>
      </c>
      <c r="P72" s="77" t="str">
        <f>IF(Main[[#This Row],[Tech Start Date]]&lt;1/1/1990,"",IF(Main[[#This Row],[Class]]="C",WORKDAY(Main[[#This Row],[Tech Start Date]],28),IF(Main[[#This Row],[Class]]="B", WORKDAY(Main[[#This Row],[Tech Start Date]],19),IF(Main[[#This Row],[Class]]="A",WORKDAY(Main[[#This Row],[Tech Start Date]],9),""))))</f>
        <v/>
      </c>
      <c r="Q72" s="74">
        <v>40960</v>
      </c>
      <c r="R72" s="74">
        <v>40956</v>
      </c>
      <c r="S72" s="72" t="s">
        <v>11</v>
      </c>
      <c r="T72" s="80" t="s">
        <v>3759</v>
      </c>
      <c r="U72" s="72" t="s">
        <v>29</v>
      </c>
      <c r="V72" s="72" t="s">
        <v>1932</v>
      </c>
      <c r="W72" s="72" t="s">
        <v>1938</v>
      </c>
      <c r="X72" s="72" t="s">
        <v>2919</v>
      </c>
      <c r="Y72" s="72" t="s">
        <v>4</v>
      </c>
      <c r="Z72" s="72" t="s">
        <v>923</v>
      </c>
      <c r="AA72" s="147" t="s">
        <v>2919</v>
      </c>
    </row>
    <row r="73" spans="1:27" ht="18.600000000000001" customHeight="1">
      <c r="A73" s="140">
        <f>IF(priority(Main[[#This Row],[Comments]])&lt;&gt;0, priority(Main[[#This Row],[Comments]]),"")</f>
        <v>21</v>
      </c>
      <c r="B73" s="90" t="s">
        <v>1675</v>
      </c>
      <c r="C73" s="72" t="s">
        <v>122</v>
      </c>
      <c r="D73" s="73" t="s">
        <v>2863</v>
      </c>
      <c r="E73" s="74">
        <v>40828.408333333333</v>
      </c>
      <c r="F73" s="74">
        <v>41061</v>
      </c>
      <c r="G73" s="75">
        <f>IF(stdProdLT(Main[[#This Row],[Comments]])=0.1,"N/A",IF(stdProdLT(Main[[#This Row],[Comments]])=0,"",stdProdLT(Main[[#This Row],[Comments]])))</f>
        <v>126</v>
      </c>
      <c r="H73" s="76" t="str">
        <f>IF(AND(Main[[#This Row],[In Stock Date]]&lt;&gt;"",Main[[#This Row],[Revised Due Date]]&lt;&gt;""),Main[[#This Row],[In Stock Date]]-Main[[#This Row],[Revised Due Date]],"")</f>
        <v/>
      </c>
      <c r="I73" s="72" t="s">
        <v>4</v>
      </c>
      <c r="J73" s="72" t="s">
        <v>28</v>
      </c>
      <c r="K73" s="72" t="s">
        <v>1945</v>
      </c>
      <c r="L73" s="74"/>
      <c r="M73" s="77" t="str">
        <f>IF(Main[[#This Row],[Tech Start Date]]&lt;1/1/1990,"",IF(Main[[#This Row],[Class]]="C",WORKDAY(Main[[#This Row],[Tech Start Date]],9),IF(Main[[#This Row],[Class]]="B", WORKDAY(Main[[#This Row],[Tech Start Date]],6),IF(Main[[#This Row],[Class]]="A",WORKDAY(Main[[#This Row],[Tech Start Date]],2),""))))</f>
        <v/>
      </c>
      <c r="N73" s="77" t="str">
        <f>IF(Main[[#This Row],[Tech Start Date]]&lt;1/1/1990,"",IF(Main[[#This Row],[Class]]="C",WORKDAY(Main[[#This Row],[Tech Start Date]],19),IF(Main[[#This Row],[Class]]="B", WORKDAY(Main[[#This Row],[Tech Start Date]],12),IF(Main[[#This Row],[Class]]="A",WORKDAY(Main[[#This Row],[Tech Start Date]],4),""))))</f>
        <v/>
      </c>
      <c r="O73" s="77" t="str">
        <f>IF(Main[[#This Row],[Tech Start Date]]&lt;1/1/1990,"",IF(Main[[#This Row],[Class]]="C",WORKDAY(Main[[#This Row],[Tech Start Date]],23),IF(Main[[#This Row],[Class]]="B", WORKDAY(Main[[#This Row],[Tech Start Date]],15),IF(Main[[#This Row],[Class]]="A",WORKDAY(Main[[#This Row],[Tech Start Date]],5),""))))</f>
        <v/>
      </c>
      <c r="P73" s="77" t="str">
        <f>IF(Main[[#This Row],[Tech Start Date]]&lt;1/1/1990,"",IF(Main[[#This Row],[Class]]="C",WORKDAY(Main[[#This Row],[Tech Start Date]],28),IF(Main[[#This Row],[Class]]="B", WORKDAY(Main[[#This Row],[Tech Start Date]],19),IF(Main[[#This Row],[Class]]="A",WORKDAY(Main[[#This Row],[Tech Start Date]],9),""))))</f>
        <v/>
      </c>
      <c r="Q73" s="74">
        <v>40711</v>
      </c>
      <c r="R73" s="74"/>
      <c r="S73" s="72" t="s">
        <v>11</v>
      </c>
      <c r="T73" s="80" t="s">
        <v>3324</v>
      </c>
      <c r="U73" s="72" t="s">
        <v>703</v>
      </c>
      <c r="V73" s="72" t="s">
        <v>1932</v>
      </c>
      <c r="W73" s="72" t="s">
        <v>1934</v>
      </c>
      <c r="X73" s="72" t="s">
        <v>2936</v>
      </c>
      <c r="Y73" s="72" t="s">
        <v>3223</v>
      </c>
      <c r="Z73" s="72" t="s">
        <v>129</v>
      </c>
      <c r="AA73" s="147" t="s">
        <v>2936</v>
      </c>
    </row>
    <row r="74" spans="1:27" ht="18.600000000000001" customHeight="1">
      <c r="A74" s="140">
        <f>IF(priority(Main[[#This Row],[Comments]])&lt;&gt;0, priority(Main[[#This Row],[Comments]]),"")</f>
        <v>22</v>
      </c>
      <c r="B74" s="90" t="s">
        <v>1697</v>
      </c>
      <c r="C74" s="72" t="s">
        <v>4</v>
      </c>
      <c r="D74" s="73" t="s">
        <v>2337</v>
      </c>
      <c r="E74" s="74">
        <v>40715.570891203701</v>
      </c>
      <c r="F74" s="74"/>
      <c r="G74" s="75" t="str">
        <f>IF(stdProdLT(Main[[#This Row],[Comments]])=0.1,"N/A",IF(stdProdLT(Main[[#This Row],[Comments]])=0,"",stdProdLT(Main[[#This Row],[Comments]])))</f>
        <v>N/A</v>
      </c>
      <c r="H74" s="76" t="str">
        <f>IF(AND(Main[[#This Row],[In Stock Date]]&lt;&gt;"",Main[[#This Row],[Revised Due Date]]&lt;&gt;""),Main[[#This Row],[In Stock Date]]-Main[[#This Row],[Revised Due Date]],"")</f>
        <v/>
      </c>
      <c r="I74" s="72" t="s">
        <v>923</v>
      </c>
      <c r="J74" s="72" t="s">
        <v>52</v>
      </c>
      <c r="K74" s="81" t="s">
        <v>4</v>
      </c>
      <c r="L74" s="74"/>
      <c r="M74" s="77" t="str">
        <f>IF(Main[[#This Row],[Tech Start Date]]&lt;1/1/1990,"",IF(Main[[#This Row],[Class]]="C",WORKDAY(Main[[#This Row],[Tech Start Date]],9),IF(Main[[#This Row],[Class]]="B", WORKDAY(Main[[#This Row],[Tech Start Date]],6),IF(Main[[#This Row],[Class]]="A",WORKDAY(Main[[#This Row],[Tech Start Date]],2),""))))</f>
        <v/>
      </c>
      <c r="N74" s="77" t="str">
        <f>IF(Main[[#This Row],[Tech Start Date]]&lt;1/1/1990,"",IF(Main[[#This Row],[Class]]="C",WORKDAY(Main[[#This Row],[Tech Start Date]],19),IF(Main[[#This Row],[Class]]="B", WORKDAY(Main[[#This Row],[Tech Start Date]],12),IF(Main[[#This Row],[Class]]="A",WORKDAY(Main[[#This Row],[Tech Start Date]],4),""))))</f>
        <v/>
      </c>
      <c r="O74" s="77" t="str">
        <f>IF(Main[[#This Row],[Tech Start Date]]&lt;1/1/1990,"",IF(Main[[#This Row],[Class]]="C",WORKDAY(Main[[#This Row],[Tech Start Date]],23),IF(Main[[#This Row],[Class]]="B", WORKDAY(Main[[#This Row],[Tech Start Date]],15),IF(Main[[#This Row],[Class]]="A",WORKDAY(Main[[#This Row],[Tech Start Date]],5),""))))</f>
        <v/>
      </c>
      <c r="P74" s="77" t="str">
        <f>IF(Main[[#This Row],[Tech Start Date]]&lt;1/1/1990,"",IF(Main[[#This Row],[Class]]="C",WORKDAY(Main[[#This Row],[Tech Start Date]],28),IF(Main[[#This Row],[Class]]="B", WORKDAY(Main[[#This Row],[Tech Start Date]],19),IF(Main[[#This Row],[Class]]="A",WORKDAY(Main[[#This Row],[Tech Start Date]],9),""))))</f>
        <v/>
      </c>
      <c r="Q74" s="74">
        <v>40733</v>
      </c>
      <c r="R74" s="74">
        <v>40756</v>
      </c>
      <c r="S74" s="72" t="s">
        <v>6</v>
      </c>
      <c r="T74" s="80" t="s">
        <v>2604</v>
      </c>
      <c r="U74" s="72" t="s">
        <v>29</v>
      </c>
      <c r="V74" s="72" t="s">
        <v>1932</v>
      </c>
      <c r="W74" s="72" t="s">
        <v>1936</v>
      </c>
      <c r="X74" s="72" t="s">
        <v>2920</v>
      </c>
      <c r="Y74" s="72" t="s">
        <v>3052</v>
      </c>
      <c r="Z74" s="72" t="s">
        <v>4</v>
      </c>
      <c r="AA74" s="147" t="s">
        <v>2920</v>
      </c>
    </row>
    <row r="75" spans="1:27" ht="18.600000000000001" customHeight="1">
      <c r="A75" s="140">
        <f>IF(priority(Main[[#This Row],[Comments]])&lt;&gt;0, priority(Main[[#This Row],[Comments]]),"")</f>
        <v>23</v>
      </c>
      <c r="B75" s="90" t="s">
        <v>2729</v>
      </c>
      <c r="C75" s="72" t="s">
        <v>116</v>
      </c>
      <c r="D75" s="73" t="s">
        <v>2896</v>
      </c>
      <c r="E75" s="74">
        <v>40763.500717592593</v>
      </c>
      <c r="F75" s="74">
        <v>41090</v>
      </c>
      <c r="G75" s="75" t="str">
        <f>IF(stdProdLT(Main[[#This Row],[Comments]])=0.1,"N/A",IF(stdProdLT(Main[[#This Row],[Comments]])=0,"",stdProdLT(Main[[#This Row],[Comments]])))</f>
        <v>N/A</v>
      </c>
      <c r="H75" s="76">
        <f>IF(AND(Main[[#This Row],[In Stock Date]]&lt;&gt;"",Main[[#This Row],[Revised Due Date]]&lt;&gt;""),Main[[#This Row],[In Stock Date]]-Main[[#This Row],[Revised Due Date]],"")</f>
        <v>135</v>
      </c>
      <c r="I75" s="72" t="s">
        <v>900</v>
      </c>
      <c r="J75" s="72" t="s">
        <v>28</v>
      </c>
      <c r="K75" s="72" t="s">
        <v>1945</v>
      </c>
      <c r="L75" s="74">
        <v>40772</v>
      </c>
      <c r="M75" s="77">
        <f>IF(Main[[#This Row],[Tech Start Date]]&lt;1/1/1990,"",IF(Main[[#This Row],[Class]]="C",WORKDAY(Main[[#This Row],[Tech Start Date]],9),IF(Main[[#This Row],[Class]]="B", WORKDAY(Main[[#This Row],[Tech Start Date]],6),IF(Main[[#This Row],[Class]]="A",WORKDAY(Main[[#This Row],[Tech Start Date]],2),""))))</f>
        <v>40785</v>
      </c>
      <c r="N75" s="77">
        <f>IF(Main[[#This Row],[Tech Start Date]]&lt;1/1/1990,"",IF(Main[[#This Row],[Class]]="C",WORKDAY(Main[[#This Row],[Tech Start Date]],19),IF(Main[[#This Row],[Class]]="B", WORKDAY(Main[[#This Row],[Tech Start Date]],12),IF(Main[[#This Row],[Class]]="A",WORKDAY(Main[[#This Row],[Tech Start Date]],4),""))))</f>
        <v>40799</v>
      </c>
      <c r="O75" s="77">
        <f>IF(Main[[#This Row],[Tech Start Date]]&lt;1/1/1990,"",IF(Main[[#This Row],[Class]]="C",WORKDAY(Main[[#This Row],[Tech Start Date]],23),IF(Main[[#This Row],[Class]]="B", WORKDAY(Main[[#This Row],[Tech Start Date]],15),IF(Main[[#This Row],[Class]]="A",WORKDAY(Main[[#This Row],[Tech Start Date]],5),""))))</f>
        <v>40805</v>
      </c>
      <c r="P75" s="77">
        <f>IF(Main[[#This Row],[Tech Start Date]]&lt;1/1/1990,"",IF(Main[[#This Row],[Class]]="C",WORKDAY(Main[[#This Row],[Tech Start Date]],28),IF(Main[[#This Row],[Class]]="B", WORKDAY(Main[[#This Row],[Tech Start Date]],19),IF(Main[[#This Row],[Class]]="A",WORKDAY(Main[[#This Row],[Tech Start Date]],9),""))))</f>
        <v>40812</v>
      </c>
      <c r="Q75" s="74">
        <v>40687</v>
      </c>
      <c r="R75" s="74">
        <v>40955</v>
      </c>
      <c r="S75" s="72" t="s">
        <v>11</v>
      </c>
      <c r="T75" s="80" t="s">
        <v>3450</v>
      </c>
      <c r="U75" s="72" t="s">
        <v>29</v>
      </c>
      <c r="V75" s="72" t="s">
        <v>1932</v>
      </c>
      <c r="W75" s="72" t="s">
        <v>1937</v>
      </c>
      <c r="X75" s="72" t="s">
        <v>2927</v>
      </c>
      <c r="Y75" s="72" t="s">
        <v>3244</v>
      </c>
      <c r="Z75" s="72" t="s">
        <v>888</v>
      </c>
      <c r="AA75" s="147" t="s">
        <v>2927</v>
      </c>
    </row>
    <row r="76" spans="1:27" ht="18.600000000000001" customHeight="1">
      <c r="A76" s="140">
        <f>IF(priority(Main[[#This Row],[Comments]])&lt;&gt;0, priority(Main[[#This Row],[Comments]]),"")</f>
        <v>24</v>
      </c>
      <c r="B76" s="90" t="s">
        <v>1573</v>
      </c>
      <c r="C76" s="72" t="s">
        <v>4</v>
      </c>
      <c r="D76" s="73" t="s">
        <v>2328</v>
      </c>
      <c r="E76" s="74">
        <v>40710.712175925924</v>
      </c>
      <c r="F76" s="74"/>
      <c r="G76" s="75" t="str">
        <f>IF(stdProdLT(Main[[#This Row],[Comments]])=0.1,"N/A",IF(stdProdLT(Main[[#This Row],[Comments]])=0,"",stdProdLT(Main[[#This Row],[Comments]])))</f>
        <v>N/A</v>
      </c>
      <c r="H76" s="76" t="str">
        <f>IF(AND(Main[[#This Row],[In Stock Date]]&lt;&gt;"",Main[[#This Row],[Revised Due Date]]&lt;&gt;""),Main[[#This Row],[In Stock Date]]-Main[[#This Row],[Revised Due Date]],"")</f>
        <v/>
      </c>
      <c r="I76" s="72" t="s">
        <v>923</v>
      </c>
      <c r="J76" s="72" t="s">
        <v>4</v>
      </c>
      <c r="K76" s="72" t="s">
        <v>4</v>
      </c>
      <c r="L76" s="74"/>
      <c r="M76" s="77" t="str">
        <f>IF(Main[[#This Row],[Tech Start Date]]&lt;1/1/1990,"",IF(Main[[#This Row],[Class]]="C",WORKDAY(Main[[#This Row],[Tech Start Date]],9),IF(Main[[#This Row],[Class]]="B", WORKDAY(Main[[#This Row],[Tech Start Date]],6),IF(Main[[#This Row],[Class]]="A",WORKDAY(Main[[#This Row],[Tech Start Date]],2),""))))</f>
        <v/>
      </c>
      <c r="N76" s="77" t="str">
        <f>IF(Main[[#This Row],[Tech Start Date]]&lt;1/1/1990,"",IF(Main[[#This Row],[Class]]="C",WORKDAY(Main[[#This Row],[Tech Start Date]],19),IF(Main[[#This Row],[Class]]="B", WORKDAY(Main[[#This Row],[Tech Start Date]],12),IF(Main[[#This Row],[Class]]="A",WORKDAY(Main[[#This Row],[Tech Start Date]],4),""))))</f>
        <v/>
      </c>
      <c r="O76" s="77" t="str">
        <f>IF(Main[[#This Row],[Tech Start Date]]&lt;1/1/1990,"",IF(Main[[#This Row],[Class]]="C",WORKDAY(Main[[#This Row],[Tech Start Date]],23),IF(Main[[#This Row],[Class]]="B", WORKDAY(Main[[#This Row],[Tech Start Date]],15),IF(Main[[#This Row],[Class]]="A",WORKDAY(Main[[#This Row],[Tech Start Date]],5),""))))</f>
        <v/>
      </c>
      <c r="P76" s="77" t="str">
        <f>IF(Main[[#This Row],[Tech Start Date]]&lt;1/1/1990,"",IF(Main[[#This Row],[Class]]="C",WORKDAY(Main[[#This Row],[Tech Start Date]],28),IF(Main[[#This Row],[Class]]="B", WORKDAY(Main[[#This Row],[Tech Start Date]],19),IF(Main[[#This Row],[Class]]="A",WORKDAY(Main[[#This Row],[Tech Start Date]],9),""))))</f>
        <v/>
      </c>
      <c r="Q76" s="74"/>
      <c r="R76" s="74">
        <v>40756</v>
      </c>
      <c r="S76" s="72" t="s">
        <v>6</v>
      </c>
      <c r="T76" s="80" t="s">
        <v>2290</v>
      </c>
      <c r="U76" s="72" t="s">
        <v>29</v>
      </c>
      <c r="V76" s="72" t="s">
        <v>1932</v>
      </c>
      <c r="W76" s="72" t="s">
        <v>1936</v>
      </c>
      <c r="X76" s="72" t="s">
        <v>2950</v>
      </c>
      <c r="Y76" s="72" t="s">
        <v>3087</v>
      </c>
      <c r="Z76" s="72" t="s">
        <v>4</v>
      </c>
      <c r="AA76" s="147" t="s">
        <v>2950</v>
      </c>
    </row>
    <row r="77" spans="1:27" ht="18.600000000000001" customHeight="1">
      <c r="A77" s="140">
        <f>IF(priority(Main[[#This Row],[Comments]])&lt;&gt;0, priority(Main[[#This Row],[Comments]]),"")</f>
        <v>25</v>
      </c>
      <c r="B77" s="90" t="s">
        <v>3343</v>
      </c>
      <c r="C77" s="72" t="s">
        <v>2840</v>
      </c>
      <c r="D77" s="73" t="s">
        <v>2894</v>
      </c>
      <c r="E77" s="74"/>
      <c r="F77" s="74"/>
      <c r="G77" s="75">
        <f>IF(stdProdLT(Main[[#This Row],[Comments]])=0.1,"N/A",IF(stdProdLT(Main[[#This Row],[Comments]])=0,"",stdProdLT(Main[[#This Row],[Comments]])))</f>
        <v>98</v>
      </c>
      <c r="H77" s="76" t="str">
        <f>IF(AND(Main[[#This Row],[In Stock Date]]&lt;&gt;"",Main[[#This Row],[Revised Due Date]]&lt;&gt;""),Main[[#This Row],[In Stock Date]]-Main[[#This Row],[Revised Due Date]],"")</f>
        <v/>
      </c>
      <c r="I77" s="72" t="s">
        <v>4</v>
      </c>
      <c r="J77" s="72" t="s">
        <v>4</v>
      </c>
      <c r="K77" s="72" t="s">
        <v>4</v>
      </c>
      <c r="L77" s="74"/>
      <c r="M77" s="77" t="str">
        <f>IF(Main[[#This Row],[Tech Start Date]]&lt;1/1/1990,"",IF(Main[[#This Row],[Class]]="C",WORKDAY(Main[[#This Row],[Tech Start Date]],9),IF(Main[[#This Row],[Class]]="B", WORKDAY(Main[[#This Row],[Tech Start Date]],6),IF(Main[[#This Row],[Class]]="A",WORKDAY(Main[[#This Row],[Tech Start Date]],2),""))))</f>
        <v/>
      </c>
      <c r="N77" s="77" t="str">
        <f>IF(Main[[#This Row],[Tech Start Date]]&lt;1/1/1990,"",IF(Main[[#This Row],[Class]]="C",WORKDAY(Main[[#This Row],[Tech Start Date]],19),IF(Main[[#This Row],[Class]]="B", WORKDAY(Main[[#This Row],[Tech Start Date]],12),IF(Main[[#This Row],[Class]]="A",WORKDAY(Main[[#This Row],[Tech Start Date]],4),""))))</f>
        <v/>
      </c>
      <c r="O77" s="77" t="str">
        <f>IF(Main[[#This Row],[Tech Start Date]]&lt;1/1/1990,"",IF(Main[[#This Row],[Class]]="C",WORKDAY(Main[[#This Row],[Tech Start Date]],23),IF(Main[[#This Row],[Class]]="B", WORKDAY(Main[[#This Row],[Tech Start Date]],15),IF(Main[[#This Row],[Class]]="A",WORKDAY(Main[[#This Row],[Tech Start Date]],5),""))))</f>
        <v/>
      </c>
      <c r="P77" s="77" t="str">
        <f>IF(Main[[#This Row],[Tech Start Date]]&lt;1/1/1990,"",IF(Main[[#This Row],[Class]]="C",WORKDAY(Main[[#This Row],[Tech Start Date]],28),IF(Main[[#This Row],[Class]]="B", WORKDAY(Main[[#This Row],[Tech Start Date]],19),IF(Main[[#This Row],[Class]]="A",WORKDAY(Main[[#This Row],[Tech Start Date]],9),""))))</f>
        <v/>
      </c>
      <c r="Q77" s="74">
        <v>40889</v>
      </c>
      <c r="R77" s="74"/>
      <c r="S77" s="72" t="s">
        <v>11</v>
      </c>
      <c r="T77" s="80" t="s">
        <v>3334</v>
      </c>
      <c r="U77" s="72" t="s">
        <v>12</v>
      </c>
      <c r="V77" s="72" t="s">
        <v>1932</v>
      </c>
      <c r="W77" s="72" t="s">
        <v>1938</v>
      </c>
      <c r="X77" s="72" t="s">
        <v>3344</v>
      </c>
      <c r="Y77" s="72" t="s">
        <v>4</v>
      </c>
      <c r="Z77" s="72" t="s">
        <v>4</v>
      </c>
      <c r="AA77" s="147" t="s">
        <v>2938</v>
      </c>
    </row>
    <row r="78" spans="1:27" ht="18.600000000000001" customHeight="1">
      <c r="A78" s="140">
        <f>IF(priority(Main[[#This Row],[Comments]])&lt;&gt;0, priority(Main[[#This Row],[Comments]]),"")</f>
        <v>25</v>
      </c>
      <c r="B78" s="90" t="s">
        <v>2178</v>
      </c>
      <c r="C78" s="72" t="s">
        <v>116</v>
      </c>
      <c r="D78" s="73" t="s">
        <v>2873</v>
      </c>
      <c r="E78" s="74">
        <v>40770.33797453704</v>
      </c>
      <c r="F78" s="74">
        <v>41044</v>
      </c>
      <c r="G78" s="75" t="str">
        <f>IF(stdProdLT(Main[[#This Row],[Comments]])=0.1,"N/A",IF(stdProdLT(Main[[#This Row],[Comments]])=0,"",stdProdLT(Main[[#This Row],[Comments]])))</f>
        <v>N/A</v>
      </c>
      <c r="H78" s="76">
        <f>IF(AND(Main[[#This Row],[In Stock Date]]&lt;&gt;"",Main[[#This Row],[Revised Due Date]]&lt;&gt;""),Main[[#This Row],[In Stock Date]]-Main[[#This Row],[Revised Due Date]],"")</f>
        <v>88</v>
      </c>
      <c r="I78" s="72" t="s">
        <v>949</v>
      </c>
      <c r="J78" s="72" t="s">
        <v>21</v>
      </c>
      <c r="K78" s="72" t="s">
        <v>1945</v>
      </c>
      <c r="L78" s="74">
        <v>40778</v>
      </c>
      <c r="M78" s="77">
        <f>IF(Main[[#This Row],[Tech Start Date]]&lt;1/1/1990,"",IF(Main[[#This Row],[Class]]="C",WORKDAY(Main[[#This Row],[Tech Start Date]],9),IF(Main[[#This Row],[Class]]="B", WORKDAY(Main[[#This Row],[Tech Start Date]],6),IF(Main[[#This Row],[Class]]="A",WORKDAY(Main[[#This Row],[Tech Start Date]],2),""))))</f>
        <v>40791</v>
      </c>
      <c r="N78" s="77">
        <f>IF(Main[[#This Row],[Tech Start Date]]&lt;1/1/1990,"",IF(Main[[#This Row],[Class]]="C",WORKDAY(Main[[#This Row],[Tech Start Date]],19),IF(Main[[#This Row],[Class]]="B", WORKDAY(Main[[#This Row],[Tech Start Date]],12),IF(Main[[#This Row],[Class]]="A",WORKDAY(Main[[#This Row],[Tech Start Date]],4),""))))</f>
        <v>40805</v>
      </c>
      <c r="O78" s="77">
        <f>IF(Main[[#This Row],[Tech Start Date]]&lt;1/1/1990,"",IF(Main[[#This Row],[Class]]="C",WORKDAY(Main[[#This Row],[Tech Start Date]],23),IF(Main[[#This Row],[Class]]="B", WORKDAY(Main[[#This Row],[Tech Start Date]],15),IF(Main[[#This Row],[Class]]="A",WORKDAY(Main[[#This Row],[Tech Start Date]],5),""))))</f>
        <v>40809</v>
      </c>
      <c r="P78" s="77">
        <f>IF(Main[[#This Row],[Tech Start Date]]&lt;1/1/1990,"",IF(Main[[#This Row],[Class]]="C",WORKDAY(Main[[#This Row],[Tech Start Date]],28),IF(Main[[#This Row],[Class]]="B", WORKDAY(Main[[#This Row],[Tech Start Date]],19),IF(Main[[#This Row],[Class]]="A",WORKDAY(Main[[#This Row],[Tech Start Date]],9),""))))</f>
        <v>40816</v>
      </c>
      <c r="Q78" s="74">
        <v>40802</v>
      </c>
      <c r="R78" s="74">
        <v>40956</v>
      </c>
      <c r="S78" s="72" t="s">
        <v>11</v>
      </c>
      <c r="T78" s="80" t="s">
        <v>3451</v>
      </c>
      <c r="U78" s="72" t="s">
        <v>29</v>
      </c>
      <c r="V78" s="72" t="s">
        <v>1932</v>
      </c>
      <c r="W78" s="72" t="s">
        <v>1940</v>
      </c>
      <c r="X78" s="72" t="s">
        <v>2936</v>
      </c>
      <c r="Y78" s="72" t="s">
        <v>3223</v>
      </c>
      <c r="Z78" s="72" t="s">
        <v>129</v>
      </c>
      <c r="AA78" s="147" t="s">
        <v>2936</v>
      </c>
    </row>
    <row r="79" spans="1:27" ht="18.600000000000001" customHeight="1">
      <c r="A79" s="140">
        <f>IF(priority(Main[[#This Row],[Comments]])&lt;&gt;0, priority(Main[[#This Row],[Comments]]),"")</f>
        <v>25</v>
      </c>
      <c r="B79" s="90" t="s">
        <v>2830</v>
      </c>
      <c r="C79" s="72" t="s">
        <v>2029</v>
      </c>
      <c r="D79" s="73" t="s">
        <v>2831</v>
      </c>
      <c r="E79" s="74">
        <v>40914.055902777778</v>
      </c>
      <c r="F79" s="74">
        <v>41153</v>
      </c>
      <c r="G79" s="75">
        <f>IF(stdProdLT(Main[[#This Row],[Comments]])=0.1,"N/A",IF(stdProdLT(Main[[#This Row],[Comments]])=0,"",stdProdLT(Main[[#This Row],[Comments]])))</f>
        <v>168</v>
      </c>
      <c r="H79" s="76">
        <f>IF(AND(Main[[#This Row],[In Stock Date]]&lt;&gt;"",Main[[#This Row],[Revised Due Date]]&lt;&gt;""),Main[[#This Row],[In Stock Date]]-Main[[#This Row],[Revised Due Date]],"")</f>
        <v>192</v>
      </c>
      <c r="I79" s="72" t="s">
        <v>30</v>
      </c>
      <c r="J79" s="72" t="s">
        <v>28</v>
      </c>
      <c r="K79" s="72" t="s">
        <v>1945</v>
      </c>
      <c r="L79" s="74">
        <v>40925</v>
      </c>
      <c r="M79" s="77">
        <f>IF(Main[[#This Row],[Tech Start Date]]&lt;1/1/1990,"",IF(Main[[#This Row],[Class]]="C",WORKDAY(Main[[#This Row],[Tech Start Date]],9),IF(Main[[#This Row],[Class]]="B", WORKDAY(Main[[#This Row],[Tech Start Date]],6),IF(Main[[#This Row],[Class]]="A",WORKDAY(Main[[#This Row],[Tech Start Date]],2),""))))</f>
        <v>40938</v>
      </c>
      <c r="N79" s="77">
        <f>IF(Main[[#This Row],[Tech Start Date]]&lt;1/1/1990,"",IF(Main[[#This Row],[Class]]="C",WORKDAY(Main[[#This Row],[Tech Start Date]],19),IF(Main[[#This Row],[Class]]="B", WORKDAY(Main[[#This Row],[Tech Start Date]],12),IF(Main[[#This Row],[Class]]="A",WORKDAY(Main[[#This Row],[Tech Start Date]],4),""))))</f>
        <v>40952</v>
      </c>
      <c r="O79" s="77">
        <f>IF(Main[[#This Row],[Tech Start Date]]&lt;1/1/1990,"",IF(Main[[#This Row],[Class]]="C",WORKDAY(Main[[#This Row],[Tech Start Date]],23),IF(Main[[#This Row],[Class]]="B", WORKDAY(Main[[#This Row],[Tech Start Date]],15),IF(Main[[#This Row],[Class]]="A",WORKDAY(Main[[#This Row],[Tech Start Date]],5),""))))</f>
        <v>40956</v>
      </c>
      <c r="P79" s="77">
        <f>IF(Main[[#This Row],[Tech Start Date]]&lt;1/1/1990,"",IF(Main[[#This Row],[Class]]="C",WORKDAY(Main[[#This Row],[Tech Start Date]],28),IF(Main[[#This Row],[Class]]="B", WORKDAY(Main[[#This Row],[Tech Start Date]],19),IF(Main[[#This Row],[Class]]="A",WORKDAY(Main[[#This Row],[Tech Start Date]],9),""))))</f>
        <v>40963</v>
      </c>
      <c r="Q79" s="74">
        <v>40984</v>
      </c>
      <c r="R79" s="74">
        <v>40961</v>
      </c>
      <c r="S79" s="72" t="s">
        <v>11</v>
      </c>
      <c r="T79" s="80" t="s">
        <v>3484</v>
      </c>
      <c r="U79" s="72" t="s">
        <v>29</v>
      </c>
      <c r="V79" s="72" t="s">
        <v>1935</v>
      </c>
      <c r="W79" s="72" t="s">
        <v>1938</v>
      </c>
      <c r="X79" s="72" t="s">
        <v>2938</v>
      </c>
      <c r="Y79" s="72" t="s">
        <v>4</v>
      </c>
      <c r="Z79" s="72" t="s">
        <v>535</v>
      </c>
      <c r="AA79" s="147" t="s">
        <v>2938</v>
      </c>
    </row>
    <row r="80" spans="1:27" ht="18.600000000000001" customHeight="1">
      <c r="A80" s="140">
        <f>IF(priority(Main[[#This Row],[Comments]])&lt;&gt;0, priority(Main[[#This Row],[Comments]]),"")</f>
        <v>26</v>
      </c>
      <c r="B80" s="90" t="s">
        <v>1476</v>
      </c>
      <c r="C80" s="72" t="s">
        <v>4</v>
      </c>
      <c r="D80" s="73" t="s">
        <v>2341</v>
      </c>
      <c r="E80" s="74">
        <v>40702.622164351851</v>
      </c>
      <c r="F80" s="74"/>
      <c r="G80" s="75" t="str">
        <f>IF(stdProdLT(Main[[#This Row],[Comments]])=0.1,"N/A",IF(stdProdLT(Main[[#This Row],[Comments]])=0,"",stdProdLT(Main[[#This Row],[Comments]])))</f>
        <v>N/A</v>
      </c>
      <c r="H80" s="76" t="str">
        <f>IF(AND(Main[[#This Row],[In Stock Date]]&lt;&gt;"",Main[[#This Row],[Revised Due Date]]&lt;&gt;""),Main[[#This Row],[In Stock Date]]-Main[[#This Row],[Revised Due Date]],"")</f>
        <v/>
      </c>
      <c r="I80" s="72" t="s">
        <v>923</v>
      </c>
      <c r="J80" s="72" t="s">
        <v>52</v>
      </c>
      <c r="K80" s="72" t="s">
        <v>4</v>
      </c>
      <c r="L80" s="74"/>
      <c r="M80" s="77" t="str">
        <f>IF(Main[[#This Row],[Tech Start Date]]&lt;1/1/1990,"",IF(Main[[#This Row],[Class]]="C",WORKDAY(Main[[#This Row],[Tech Start Date]],9),IF(Main[[#This Row],[Class]]="B", WORKDAY(Main[[#This Row],[Tech Start Date]],6),IF(Main[[#This Row],[Class]]="A",WORKDAY(Main[[#This Row],[Tech Start Date]],2),""))))</f>
        <v/>
      </c>
      <c r="N80" s="77" t="str">
        <f>IF(Main[[#This Row],[Tech Start Date]]&lt;1/1/1990,"",IF(Main[[#This Row],[Class]]="C",WORKDAY(Main[[#This Row],[Tech Start Date]],19),IF(Main[[#This Row],[Class]]="B", WORKDAY(Main[[#This Row],[Tech Start Date]],12),IF(Main[[#This Row],[Class]]="A",WORKDAY(Main[[#This Row],[Tech Start Date]],4),""))))</f>
        <v/>
      </c>
      <c r="O80" s="77" t="str">
        <f>IF(Main[[#This Row],[Tech Start Date]]&lt;1/1/1990,"",IF(Main[[#This Row],[Class]]="C",WORKDAY(Main[[#This Row],[Tech Start Date]],23),IF(Main[[#This Row],[Class]]="B", WORKDAY(Main[[#This Row],[Tech Start Date]],15),IF(Main[[#This Row],[Class]]="A",WORKDAY(Main[[#This Row],[Tech Start Date]],5),""))))</f>
        <v/>
      </c>
      <c r="P80" s="77" t="str">
        <f>IF(Main[[#This Row],[Tech Start Date]]&lt;1/1/1990,"",IF(Main[[#This Row],[Class]]="C",WORKDAY(Main[[#This Row],[Tech Start Date]],28),IF(Main[[#This Row],[Class]]="B", WORKDAY(Main[[#This Row],[Tech Start Date]],19),IF(Main[[#This Row],[Class]]="A",WORKDAY(Main[[#This Row],[Tech Start Date]],9),""))))</f>
        <v/>
      </c>
      <c r="Q80" s="74"/>
      <c r="R80" s="74">
        <v>40756</v>
      </c>
      <c r="S80" s="72" t="s">
        <v>6</v>
      </c>
      <c r="T80" s="80" t="s">
        <v>2289</v>
      </c>
      <c r="U80" s="72" t="s">
        <v>29</v>
      </c>
      <c r="V80" s="72" t="s">
        <v>1932</v>
      </c>
      <c r="W80" s="72" t="s">
        <v>1936</v>
      </c>
      <c r="X80" s="72" t="s">
        <v>923</v>
      </c>
      <c r="Y80" s="72" t="s">
        <v>3144</v>
      </c>
      <c r="Z80" s="72" t="s">
        <v>4</v>
      </c>
      <c r="AA80" s="147" t="s">
        <v>923</v>
      </c>
    </row>
    <row r="81" spans="1:27" ht="18.600000000000001" customHeight="1">
      <c r="A81" s="140">
        <f>IF(priority(Main[[#This Row],[Comments]])&lt;&gt;0, priority(Main[[#This Row],[Comments]]),"")</f>
        <v>26</v>
      </c>
      <c r="B81" s="90" t="s">
        <v>1922</v>
      </c>
      <c r="C81" s="72" t="s">
        <v>966</v>
      </c>
      <c r="D81" s="73" t="s">
        <v>2043</v>
      </c>
      <c r="E81" s="74"/>
      <c r="F81" s="74"/>
      <c r="G81" s="75">
        <f>IF(stdProdLT(Main[[#This Row],[Comments]])=0.1,"N/A",IF(stdProdLT(Main[[#This Row],[Comments]])=0,"",stdProdLT(Main[[#This Row],[Comments]])))</f>
        <v>112</v>
      </c>
      <c r="H81" s="76" t="str">
        <f>IF(AND(Main[[#This Row],[In Stock Date]]&lt;&gt;"",Main[[#This Row],[Revised Due Date]]&lt;&gt;""),Main[[#This Row],[In Stock Date]]-Main[[#This Row],[Revised Due Date]],"")</f>
        <v/>
      </c>
      <c r="I81" s="72" t="s">
        <v>4</v>
      </c>
      <c r="J81" s="72" t="s">
        <v>52</v>
      </c>
      <c r="K81" s="72" t="s">
        <v>1945</v>
      </c>
      <c r="L81" s="74">
        <v>40694</v>
      </c>
      <c r="M81" s="77">
        <f>IF(Main[[#This Row],[Tech Start Date]]&lt;1/1/1990,"",IF(Main[[#This Row],[Class]]="C",WORKDAY(Main[[#This Row],[Tech Start Date]],9),IF(Main[[#This Row],[Class]]="B", WORKDAY(Main[[#This Row],[Tech Start Date]],6),IF(Main[[#This Row],[Class]]="A",WORKDAY(Main[[#This Row],[Tech Start Date]],2),""))))</f>
        <v>40707</v>
      </c>
      <c r="N81" s="77">
        <f>IF(Main[[#This Row],[Tech Start Date]]&lt;1/1/1990,"",IF(Main[[#This Row],[Class]]="C",WORKDAY(Main[[#This Row],[Tech Start Date]],19),IF(Main[[#This Row],[Class]]="B", WORKDAY(Main[[#This Row],[Tech Start Date]],12),IF(Main[[#This Row],[Class]]="A",WORKDAY(Main[[#This Row],[Tech Start Date]],4),""))))</f>
        <v>40721</v>
      </c>
      <c r="O81" s="77">
        <f>IF(Main[[#This Row],[Tech Start Date]]&lt;1/1/1990,"",IF(Main[[#This Row],[Class]]="C",WORKDAY(Main[[#This Row],[Tech Start Date]],23),IF(Main[[#This Row],[Class]]="B", WORKDAY(Main[[#This Row],[Tech Start Date]],15),IF(Main[[#This Row],[Class]]="A",WORKDAY(Main[[#This Row],[Tech Start Date]],5),""))))</f>
        <v>40725</v>
      </c>
      <c r="P81" s="77">
        <f>IF(Main[[#This Row],[Tech Start Date]]&lt;1/1/1990,"",IF(Main[[#This Row],[Class]]="C",WORKDAY(Main[[#This Row],[Tech Start Date]],28),IF(Main[[#This Row],[Class]]="B", WORKDAY(Main[[#This Row],[Tech Start Date]],19),IF(Main[[#This Row],[Class]]="A",WORKDAY(Main[[#This Row],[Tech Start Date]],9),""))))</f>
        <v>40732</v>
      </c>
      <c r="Q81" s="74">
        <v>40723</v>
      </c>
      <c r="R81" s="74">
        <v>40753</v>
      </c>
      <c r="S81" s="72" t="s">
        <v>11</v>
      </c>
      <c r="T81" s="80" t="s">
        <v>2024</v>
      </c>
      <c r="U81" s="72" t="s">
        <v>14</v>
      </c>
      <c r="V81" s="72" t="s">
        <v>1932</v>
      </c>
      <c r="W81" s="72" t="s">
        <v>1934</v>
      </c>
      <c r="X81" s="72" t="s">
        <v>2967</v>
      </c>
      <c r="Y81" s="72" t="s">
        <v>3241</v>
      </c>
      <c r="Z81" s="72" t="s">
        <v>3250</v>
      </c>
      <c r="AA81" s="147" t="s">
        <v>2967</v>
      </c>
    </row>
    <row r="82" spans="1:27" ht="18.600000000000001" customHeight="1">
      <c r="A82" s="140">
        <f>IF(priority(Main[[#This Row],[Comments]])&lt;&gt;0, priority(Main[[#This Row],[Comments]]),"")</f>
        <v>26</v>
      </c>
      <c r="B82" s="90" t="s">
        <v>1450</v>
      </c>
      <c r="C82" s="72" t="s">
        <v>132</v>
      </c>
      <c r="D82" s="73" t="s">
        <v>2026</v>
      </c>
      <c r="E82" s="74"/>
      <c r="F82" s="74">
        <v>40939</v>
      </c>
      <c r="G82" s="75">
        <f>IF(stdProdLT(Main[[#This Row],[Comments]])=0.1,"N/A",IF(stdProdLT(Main[[#This Row],[Comments]])=0,"",stdProdLT(Main[[#This Row],[Comments]])))</f>
        <v>126</v>
      </c>
      <c r="H82" s="76">
        <f>IF(AND(Main[[#This Row],[In Stock Date]]&lt;&gt;"",Main[[#This Row],[Revised Due Date]]&lt;&gt;""),Main[[#This Row],[In Stock Date]]-Main[[#This Row],[Revised Due Date]],"")</f>
        <v>154</v>
      </c>
      <c r="I82" s="72" t="s">
        <v>126</v>
      </c>
      <c r="J82" s="72" t="s">
        <v>28</v>
      </c>
      <c r="K82" s="81" t="s">
        <v>1945</v>
      </c>
      <c r="L82" s="74">
        <v>40736</v>
      </c>
      <c r="M82" s="77">
        <f>IF(Main[[#This Row],[Tech Start Date]]&lt;1/1/1990,"",IF(Main[[#This Row],[Class]]="C",WORKDAY(Main[[#This Row],[Tech Start Date]],9),IF(Main[[#This Row],[Class]]="B", WORKDAY(Main[[#This Row],[Tech Start Date]],6),IF(Main[[#This Row],[Class]]="A",WORKDAY(Main[[#This Row],[Tech Start Date]],2),""))))</f>
        <v>40749</v>
      </c>
      <c r="N82" s="77">
        <f>IF(Main[[#This Row],[Tech Start Date]]&lt;1/1/1990,"",IF(Main[[#This Row],[Class]]="C",WORKDAY(Main[[#This Row],[Tech Start Date]],19),IF(Main[[#This Row],[Class]]="B", WORKDAY(Main[[#This Row],[Tech Start Date]],12),IF(Main[[#This Row],[Class]]="A",WORKDAY(Main[[#This Row],[Tech Start Date]],4),""))))</f>
        <v>40763</v>
      </c>
      <c r="O82" s="77">
        <f>IF(Main[[#This Row],[Tech Start Date]]&lt;1/1/1990,"",IF(Main[[#This Row],[Class]]="C",WORKDAY(Main[[#This Row],[Tech Start Date]],23),IF(Main[[#This Row],[Class]]="B", WORKDAY(Main[[#This Row],[Tech Start Date]],15),IF(Main[[#This Row],[Class]]="A",WORKDAY(Main[[#This Row],[Tech Start Date]],5),""))))</f>
        <v>40767</v>
      </c>
      <c r="P82" s="77">
        <f>IF(Main[[#This Row],[Tech Start Date]]&lt;1/1/1990,"",IF(Main[[#This Row],[Class]]="C",WORKDAY(Main[[#This Row],[Tech Start Date]],28),IF(Main[[#This Row],[Class]]="B", WORKDAY(Main[[#This Row],[Tech Start Date]],19),IF(Main[[#This Row],[Class]]="A",WORKDAY(Main[[#This Row],[Tech Start Date]],9),""))))</f>
        <v>40774</v>
      </c>
      <c r="Q82" s="74">
        <v>40799</v>
      </c>
      <c r="R82" s="74">
        <v>40785</v>
      </c>
      <c r="S82" s="72" t="s">
        <v>11</v>
      </c>
      <c r="T82" s="80" t="s">
        <v>2027</v>
      </c>
      <c r="U82" s="72" t="s">
        <v>14</v>
      </c>
      <c r="V82" s="72" t="s">
        <v>1932</v>
      </c>
      <c r="W82" s="72" t="s">
        <v>1943</v>
      </c>
      <c r="X82" s="72" t="s">
        <v>2936</v>
      </c>
      <c r="Y82" s="72" t="s">
        <v>3223</v>
      </c>
      <c r="Z82" s="72" t="s">
        <v>129</v>
      </c>
      <c r="AA82" s="147" t="s">
        <v>2936</v>
      </c>
    </row>
    <row r="83" spans="1:27" ht="18.600000000000001" customHeight="1">
      <c r="A83" s="140">
        <f>IF(priority(Main[[#This Row],[Comments]])&lt;&gt;0, priority(Main[[#This Row],[Comments]]),"")</f>
        <v>26</v>
      </c>
      <c r="B83" s="90" t="s">
        <v>2698</v>
      </c>
      <c r="C83" s="72" t="s">
        <v>116</v>
      </c>
      <c r="D83" s="73" t="s">
        <v>2884</v>
      </c>
      <c r="E83" s="74">
        <v>40864.570104166669</v>
      </c>
      <c r="F83" s="74">
        <v>41044</v>
      </c>
      <c r="G83" s="75" t="str">
        <f>IF(stdProdLT(Main[[#This Row],[Comments]])=0.1,"N/A",IF(stdProdLT(Main[[#This Row],[Comments]])=0,"",stdProdLT(Main[[#This Row],[Comments]])))</f>
        <v>N/A</v>
      </c>
      <c r="H83" s="76">
        <f>IF(AND(Main[[#This Row],[In Stock Date]]&lt;&gt;"",Main[[#This Row],[Revised Due Date]]&lt;&gt;""),Main[[#This Row],[In Stock Date]]-Main[[#This Row],[Revised Due Date]],"")</f>
        <v>88</v>
      </c>
      <c r="I83" s="72" t="s">
        <v>949</v>
      </c>
      <c r="J83" s="72" t="s">
        <v>21</v>
      </c>
      <c r="K83" s="72" t="s">
        <v>1939</v>
      </c>
      <c r="L83" s="74">
        <v>40869</v>
      </c>
      <c r="M83" s="77">
        <f>IF(Main[[#This Row],[Tech Start Date]]&lt;1/1/1990,"",IF(Main[[#This Row],[Class]]="C",WORKDAY(Main[[#This Row],[Tech Start Date]],9),IF(Main[[#This Row],[Class]]="B", WORKDAY(Main[[#This Row],[Tech Start Date]],6),IF(Main[[#This Row],[Class]]="A",WORKDAY(Main[[#This Row],[Tech Start Date]],2),""))))</f>
        <v>40877</v>
      </c>
      <c r="N83" s="77">
        <f>IF(Main[[#This Row],[Tech Start Date]]&lt;1/1/1990,"",IF(Main[[#This Row],[Class]]="C",WORKDAY(Main[[#This Row],[Tech Start Date]],19),IF(Main[[#This Row],[Class]]="B", WORKDAY(Main[[#This Row],[Tech Start Date]],12),IF(Main[[#This Row],[Class]]="A",WORKDAY(Main[[#This Row],[Tech Start Date]],4),""))))</f>
        <v>40885</v>
      </c>
      <c r="O83" s="77">
        <f>IF(Main[[#This Row],[Tech Start Date]]&lt;1/1/1990,"",IF(Main[[#This Row],[Class]]="C",WORKDAY(Main[[#This Row],[Tech Start Date]],23),IF(Main[[#This Row],[Class]]="B", WORKDAY(Main[[#This Row],[Tech Start Date]],15),IF(Main[[#This Row],[Class]]="A",WORKDAY(Main[[#This Row],[Tech Start Date]],5),""))))</f>
        <v>40890</v>
      </c>
      <c r="P83" s="77">
        <f>IF(Main[[#This Row],[Tech Start Date]]&lt;1/1/1990,"",IF(Main[[#This Row],[Class]]="C",WORKDAY(Main[[#This Row],[Tech Start Date]],28),IF(Main[[#This Row],[Class]]="B", WORKDAY(Main[[#This Row],[Tech Start Date]],19),IF(Main[[#This Row],[Class]]="A",WORKDAY(Main[[#This Row],[Tech Start Date]],9),""))))</f>
        <v>40896</v>
      </c>
      <c r="Q83" s="74">
        <v>40904</v>
      </c>
      <c r="R83" s="74">
        <v>40956</v>
      </c>
      <c r="S83" s="72" t="s">
        <v>11</v>
      </c>
      <c r="T83" s="80" t="s">
        <v>3459</v>
      </c>
      <c r="U83" s="72" t="s">
        <v>29</v>
      </c>
      <c r="V83" s="72" t="s">
        <v>1932</v>
      </c>
      <c r="W83" s="72" t="s">
        <v>1940</v>
      </c>
      <c r="X83" s="72" t="s">
        <v>2936</v>
      </c>
      <c r="Y83" s="72" t="s">
        <v>3223</v>
      </c>
      <c r="Z83" s="72" t="s">
        <v>129</v>
      </c>
      <c r="AA83" s="147" t="s">
        <v>2936</v>
      </c>
    </row>
    <row r="84" spans="1:27" ht="18.600000000000001" customHeight="1">
      <c r="A84" s="140">
        <f>IF(priority(Main[[#This Row],[Comments]])&lt;&gt;0, priority(Main[[#This Row],[Comments]]),"")</f>
        <v>26</v>
      </c>
      <c r="B84" s="90" t="s">
        <v>3275</v>
      </c>
      <c r="C84" s="72" t="s">
        <v>3307</v>
      </c>
      <c r="D84" s="73" t="s">
        <v>3276</v>
      </c>
      <c r="E84" s="74">
        <v>40920.243854166663</v>
      </c>
      <c r="F84" s="74">
        <v>41153</v>
      </c>
      <c r="G84" s="75">
        <f>IF(stdProdLT(Main[[#This Row],[Comments]])=0.1,"N/A",IF(stdProdLT(Main[[#This Row],[Comments]])=0,"",stdProdLT(Main[[#This Row],[Comments]])))</f>
        <v>168</v>
      </c>
      <c r="H84" s="76">
        <f>IF(AND(Main[[#This Row],[In Stock Date]]&lt;&gt;"",Main[[#This Row],[Revised Due Date]]&lt;&gt;""),Main[[#This Row],[In Stock Date]]-Main[[#This Row],[Revised Due Date]],"")</f>
        <v>197</v>
      </c>
      <c r="I84" s="72" t="s">
        <v>131</v>
      </c>
      <c r="J84" s="72" t="s">
        <v>1998</v>
      </c>
      <c r="K84" s="81" t="s">
        <v>1945</v>
      </c>
      <c r="L84" s="74">
        <v>40925</v>
      </c>
      <c r="M84" s="77">
        <f>IF(Main[[#This Row],[Tech Start Date]]&lt;1/1/1990,"",IF(Main[[#This Row],[Class]]="C",WORKDAY(Main[[#This Row],[Tech Start Date]],9),IF(Main[[#This Row],[Class]]="B", WORKDAY(Main[[#This Row],[Tech Start Date]],6),IF(Main[[#This Row],[Class]]="A",WORKDAY(Main[[#This Row],[Tech Start Date]],2),""))))</f>
        <v>40938</v>
      </c>
      <c r="N84" s="77">
        <f>IF(Main[[#This Row],[Tech Start Date]]&lt;1/1/1990,"",IF(Main[[#This Row],[Class]]="C",WORKDAY(Main[[#This Row],[Tech Start Date]],19),IF(Main[[#This Row],[Class]]="B", WORKDAY(Main[[#This Row],[Tech Start Date]],12),IF(Main[[#This Row],[Class]]="A",WORKDAY(Main[[#This Row],[Tech Start Date]],4),""))))</f>
        <v>40952</v>
      </c>
      <c r="O84" s="77">
        <f>IF(Main[[#This Row],[Tech Start Date]]&lt;1/1/1990,"",IF(Main[[#This Row],[Class]]="C",WORKDAY(Main[[#This Row],[Tech Start Date]],23),IF(Main[[#This Row],[Class]]="B", WORKDAY(Main[[#This Row],[Tech Start Date]],15),IF(Main[[#This Row],[Class]]="A",WORKDAY(Main[[#This Row],[Tech Start Date]],5),""))))</f>
        <v>40956</v>
      </c>
      <c r="P84" s="77">
        <f>IF(Main[[#This Row],[Tech Start Date]]&lt;1/1/1990,"",IF(Main[[#This Row],[Class]]="C",WORKDAY(Main[[#This Row],[Tech Start Date]],28),IF(Main[[#This Row],[Class]]="B", WORKDAY(Main[[#This Row],[Tech Start Date]],19),IF(Main[[#This Row],[Class]]="A",WORKDAY(Main[[#This Row],[Tech Start Date]],9),""))))</f>
        <v>40963</v>
      </c>
      <c r="Q84" s="74">
        <v>40984</v>
      </c>
      <c r="R84" s="74">
        <v>40956</v>
      </c>
      <c r="S84" s="72" t="s">
        <v>11</v>
      </c>
      <c r="T84" s="80" t="s">
        <v>3482</v>
      </c>
      <c r="U84" s="72" t="s">
        <v>29</v>
      </c>
      <c r="V84" s="72" t="s">
        <v>1935</v>
      </c>
      <c r="W84" s="72" t="s">
        <v>1943</v>
      </c>
      <c r="X84" s="72" t="s">
        <v>2930</v>
      </c>
      <c r="Y84" s="72" t="s">
        <v>4</v>
      </c>
      <c r="Z84" s="72" t="s">
        <v>535</v>
      </c>
      <c r="AA84" s="147" t="s">
        <v>2930</v>
      </c>
    </row>
    <row r="85" spans="1:27" ht="18.600000000000001" customHeight="1">
      <c r="A85" s="140">
        <f>IF(priority(Main[[#This Row],[Comments]])&lt;&gt;0, priority(Main[[#This Row],[Comments]]),"")</f>
        <v>28</v>
      </c>
      <c r="B85" s="90" t="s">
        <v>1029</v>
      </c>
      <c r="C85" s="72" t="s">
        <v>4</v>
      </c>
      <c r="D85" s="73" t="s">
        <v>2336</v>
      </c>
      <c r="E85" s="74">
        <v>40603.481041666666</v>
      </c>
      <c r="F85" s="74"/>
      <c r="G85" s="75" t="str">
        <f>IF(stdProdLT(Main[[#This Row],[Comments]])=0.1,"N/A",IF(stdProdLT(Main[[#This Row],[Comments]])=0,"",stdProdLT(Main[[#This Row],[Comments]])))</f>
        <v/>
      </c>
      <c r="H85" s="76" t="str">
        <f>IF(AND(Main[[#This Row],[In Stock Date]]&lt;&gt;"",Main[[#This Row],[Revised Due Date]]&lt;&gt;""),Main[[#This Row],[In Stock Date]]-Main[[#This Row],[Revised Due Date]],"")</f>
        <v/>
      </c>
      <c r="I85" s="72" t="s">
        <v>923</v>
      </c>
      <c r="J85" s="72" t="s">
        <v>52</v>
      </c>
      <c r="K85" s="72" t="s">
        <v>1941</v>
      </c>
      <c r="L85" s="74"/>
      <c r="M85" s="77" t="str">
        <f>IF(Main[[#This Row],[Tech Start Date]]&lt;1/1/1990,"",IF(Main[[#This Row],[Class]]="C",WORKDAY(Main[[#This Row],[Tech Start Date]],9),IF(Main[[#This Row],[Class]]="B", WORKDAY(Main[[#This Row],[Tech Start Date]],6),IF(Main[[#This Row],[Class]]="A",WORKDAY(Main[[#This Row],[Tech Start Date]],2),""))))</f>
        <v/>
      </c>
      <c r="N85" s="77" t="str">
        <f>IF(Main[[#This Row],[Tech Start Date]]&lt;1/1/1990,"",IF(Main[[#This Row],[Class]]="C",WORKDAY(Main[[#This Row],[Tech Start Date]],19),IF(Main[[#This Row],[Class]]="B", WORKDAY(Main[[#This Row],[Tech Start Date]],12),IF(Main[[#This Row],[Class]]="A",WORKDAY(Main[[#This Row],[Tech Start Date]],4),""))))</f>
        <v/>
      </c>
      <c r="O85" s="77" t="str">
        <f>IF(Main[[#This Row],[Tech Start Date]]&lt;1/1/1990,"",IF(Main[[#This Row],[Class]]="C",WORKDAY(Main[[#This Row],[Tech Start Date]],23),IF(Main[[#This Row],[Class]]="B", WORKDAY(Main[[#This Row],[Tech Start Date]],15),IF(Main[[#This Row],[Class]]="A",WORKDAY(Main[[#This Row],[Tech Start Date]],5),""))))</f>
        <v/>
      </c>
      <c r="P85" s="77" t="str">
        <f>IF(Main[[#This Row],[Tech Start Date]]&lt;1/1/1990,"",IF(Main[[#This Row],[Class]]="C",WORKDAY(Main[[#This Row],[Tech Start Date]],28),IF(Main[[#This Row],[Class]]="B", WORKDAY(Main[[#This Row],[Tech Start Date]],19),IF(Main[[#This Row],[Class]]="A",WORKDAY(Main[[#This Row],[Tech Start Date]],9),""))))</f>
        <v/>
      </c>
      <c r="Q85" s="74">
        <v>40637</v>
      </c>
      <c r="R85" s="74"/>
      <c r="S85" s="72" t="s">
        <v>6</v>
      </c>
      <c r="T85" s="80" t="s">
        <v>2702</v>
      </c>
      <c r="U85" s="72" t="s">
        <v>29</v>
      </c>
      <c r="V85" s="72" t="s">
        <v>1932</v>
      </c>
      <c r="W85" s="72" t="s">
        <v>1934</v>
      </c>
      <c r="X85" s="72" t="s">
        <v>2906</v>
      </c>
      <c r="Y85" s="72" t="s">
        <v>3025</v>
      </c>
      <c r="Z85" s="72" t="s">
        <v>129</v>
      </c>
      <c r="AA85" s="147" t="s">
        <v>2906</v>
      </c>
    </row>
    <row r="86" spans="1:27" ht="18.600000000000001" customHeight="1">
      <c r="A86" s="140">
        <f>IF(priority(Main[[#This Row],[Comments]])&lt;&gt;0, priority(Main[[#This Row],[Comments]]),"")</f>
        <v>29</v>
      </c>
      <c r="B86" s="90" t="s">
        <v>3337</v>
      </c>
      <c r="C86" s="72" t="s">
        <v>3308</v>
      </c>
      <c r="D86" s="73" t="s">
        <v>3338</v>
      </c>
      <c r="E86" s="74">
        <v>40925.100439814814</v>
      </c>
      <c r="F86" s="74">
        <v>41153</v>
      </c>
      <c r="G86" s="75">
        <f>IF(stdProdLT(Main[[#This Row],[Comments]])=0.1,"N/A",IF(stdProdLT(Main[[#This Row],[Comments]])=0,"",stdProdLT(Main[[#This Row],[Comments]])))</f>
        <v>140</v>
      </c>
      <c r="H86" s="76">
        <f>IF(AND(Main[[#This Row],[In Stock Date]]&lt;&gt;"",Main[[#This Row],[Revised Due Date]]&lt;&gt;""),Main[[#This Row],[In Stock Date]]-Main[[#This Row],[Revised Due Date]],"")</f>
        <v>194</v>
      </c>
      <c r="I86" s="72" t="s">
        <v>242</v>
      </c>
      <c r="J86" s="72" t="s">
        <v>70</v>
      </c>
      <c r="K86" s="72" t="s">
        <v>1939</v>
      </c>
      <c r="L86" s="74">
        <v>40925</v>
      </c>
      <c r="M86" s="77">
        <f>IF(Main[[#This Row],[Tech Start Date]]&lt;1/1/1990,"",IF(Main[[#This Row],[Class]]="C",WORKDAY(Main[[#This Row],[Tech Start Date]],9),IF(Main[[#This Row],[Class]]="B", WORKDAY(Main[[#This Row],[Tech Start Date]],6),IF(Main[[#This Row],[Class]]="A",WORKDAY(Main[[#This Row],[Tech Start Date]],2),""))))</f>
        <v>40933</v>
      </c>
      <c r="N86" s="77">
        <f>IF(Main[[#This Row],[Tech Start Date]]&lt;1/1/1990,"",IF(Main[[#This Row],[Class]]="C",WORKDAY(Main[[#This Row],[Tech Start Date]],19),IF(Main[[#This Row],[Class]]="B", WORKDAY(Main[[#This Row],[Tech Start Date]],12),IF(Main[[#This Row],[Class]]="A",WORKDAY(Main[[#This Row],[Tech Start Date]],4),""))))</f>
        <v>40941</v>
      </c>
      <c r="O86" s="77">
        <f>IF(Main[[#This Row],[Tech Start Date]]&lt;1/1/1990,"",IF(Main[[#This Row],[Class]]="C",WORKDAY(Main[[#This Row],[Tech Start Date]],23),IF(Main[[#This Row],[Class]]="B", WORKDAY(Main[[#This Row],[Tech Start Date]],15),IF(Main[[#This Row],[Class]]="A",WORKDAY(Main[[#This Row],[Tech Start Date]],5),""))))</f>
        <v>40946</v>
      </c>
      <c r="P86" s="77">
        <f>IF(Main[[#This Row],[Tech Start Date]]&lt;1/1/1990,"",IF(Main[[#This Row],[Class]]="C",WORKDAY(Main[[#This Row],[Tech Start Date]],28),IF(Main[[#This Row],[Class]]="B", WORKDAY(Main[[#This Row],[Tech Start Date]],19),IF(Main[[#This Row],[Class]]="A",WORKDAY(Main[[#This Row],[Tech Start Date]],9),""))))</f>
        <v>40952</v>
      </c>
      <c r="Q86" s="74">
        <v>41011</v>
      </c>
      <c r="R86" s="74">
        <v>40959</v>
      </c>
      <c r="S86" s="72" t="s">
        <v>11</v>
      </c>
      <c r="T86" s="80" t="s">
        <v>3479</v>
      </c>
      <c r="U86" s="72" t="s">
        <v>29</v>
      </c>
      <c r="V86" s="72" t="s">
        <v>1942</v>
      </c>
      <c r="W86" s="72" t="s">
        <v>1938</v>
      </c>
      <c r="X86" s="72" t="s">
        <v>2932</v>
      </c>
      <c r="Y86" s="72" t="s">
        <v>3066</v>
      </c>
      <c r="Z86" s="72" t="s">
        <v>535</v>
      </c>
      <c r="AA86" s="147" t="s">
        <v>2932</v>
      </c>
    </row>
    <row r="87" spans="1:27" ht="18.600000000000001" customHeight="1">
      <c r="A87" s="140">
        <f>IF(priority(Main[[#This Row],[Comments]])&lt;&gt;0, priority(Main[[#This Row],[Comments]]),"")</f>
        <v>30</v>
      </c>
      <c r="B87" s="90" t="s">
        <v>1589</v>
      </c>
      <c r="C87" s="72" t="s">
        <v>1986</v>
      </c>
      <c r="D87" s="73" t="s">
        <v>661</v>
      </c>
      <c r="E87" s="74"/>
      <c r="F87" s="74"/>
      <c r="G87" s="75">
        <f>IF(stdProdLT(Main[[#This Row],[Comments]])=0.1,"N/A",IF(stdProdLT(Main[[#This Row],[Comments]])=0,"",stdProdLT(Main[[#This Row],[Comments]])))</f>
        <v>126</v>
      </c>
      <c r="H87" s="76" t="str">
        <f>IF(AND(Main[[#This Row],[In Stock Date]]&lt;&gt;"",Main[[#This Row],[Revised Due Date]]&lt;&gt;""),Main[[#This Row],[In Stock Date]]-Main[[#This Row],[Revised Due Date]],"")</f>
        <v/>
      </c>
      <c r="I87" s="72" t="s">
        <v>4</v>
      </c>
      <c r="J87" s="72" t="s">
        <v>4</v>
      </c>
      <c r="K87" s="72" t="s">
        <v>4</v>
      </c>
      <c r="L87" s="74"/>
      <c r="M87" s="77" t="str">
        <f>IF(Main[[#This Row],[Tech Start Date]]&lt;1/1/1990,"",IF(Main[[#This Row],[Class]]="C",WORKDAY(Main[[#This Row],[Tech Start Date]],9),IF(Main[[#This Row],[Class]]="B", WORKDAY(Main[[#This Row],[Tech Start Date]],6),IF(Main[[#This Row],[Class]]="A",WORKDAY(Main[[#This Row],[Tech Start Date]],2),""))))</f>
        <v/>
      </c>
      <c r="N87" s="77" t="str">
        <f>IF(Main[[#This Row],[Tech Start Date]]&lt;1/1/1990,"",IF(Main[[#This Row],[Class]]="C",WORKDAY(Main[[#This Row],[Tech Start Date]],19),IF(Main[[#This Row],[Class]]="B", WORKDAY(Main[[#This Row],[Tech Start Date]],12),IF(Main[[#This Row],[Class]]="A",WORKDAY(Main[[#This Row],[Tech Start Date]],4),""))))</f>
        <v/>
      </c>
      <c r="O87" s="77" t="str">
        <f>IF(Main[[#This Row],[Tech Start Date]]&lt;1/1/1990,"",IF(Main[[#This Row],[Class]]="C",WORKDAY(Main[[#This Row],[Tech Start Date]],23),IF(Main[[#This Row],[Class]]="B", WORKDAY(Main[[#This Row],[Tech Start Date]],15),IF(Main[[#This Row],[Class]]="A",WORKDAY(Main[[#This Row],[Tech Start Date]],5),""))))</f>
        <v/>
      </c>
      <c r="P87" s="77" t="str">
        <f>IF(Main[[#This Row],[Tech Start Date]]&lt;1/1/1990,"",IF(Main[[#This Row],[Class]]="C",WORKDAY(Main[[#This Row],[Tech Start Date]],28),IF(Main[[#This Row],[Class]]="B", WORKDAY(Main[[#This Row],[Tech Start Date]],19),IF(Main[[#This Row],[Class]]="A",WORKDAY(Main[[#This Row],[Tech Start Date]],9),""))))</f>
        <v/>
      </c>
      <c r="Q87" s="74">
        <v>40710</v>
      </c>
      <c r="R87" s="74">
        <v>40778</v>
      </c>
      <c r="S87" s="72" t="s">
        <v>11</v>
      </c>
      <c r="T87" s="80" t="s">
        <v>1987</v>
      </c>
      <c r="U87" s="72" t="s">
        <v>14</v>
      </c>
      <c r="V87" s="72" t="s">
        <v>1932</v>
      </c>
      <c r="W87" s="72" t="s">
        <v>1934</v>
      </c>
      <c r="X87" s="72" t="s">
        <v>2941</v>
      </c>
      <c r="Y87" s="72" t="s">
        <v>3085</v>
      </c>
      <c r="Z87" s="72" t="s">
        <v>4</v>
      </c>
      <c r="AA87" s="147" t="s">
        <v>2941</v>
      </c>
    </row>
    <row r="88" spans="1:27" ht="18.600000000000001" customHeight="1">
      <c r="A88" s="140">
        <f>IF(priority(Main[[#This Row],[Comments]])&lt;&gt;0, priority(Main[[#This Row],[Comments]]),"")</f>
        <v>30</v>
      </c>
      <c r="B88" s="90" t="s">
        <v>1042</v>
      </c>
      <c r="C88" s="72" t="s">
        <v>37</v>
      </c>
      <c r="D88" s="73" t="s">
        <v>2335</v>
      </c>
      <c r="E88" s="74">
        <v>40578.593101851853</v>
      </c>
      <c r="F88" s="74">
        <v>40603</v>
      </c>
      <c r="G88" s="75" t="str">
        <f>IF(stdProdLT(Main[[#This Row],[Comments]])=0.1,"N/A",IF(stdProdLT(Main[[#This Row],[Comments]])=0,"",stdProdLT(Main[[#This Row],[Comments]])))</f>
        <v/>
      </c>
      <c r="H88" s="76" t="str">
        <f>IF(AND(Main[[#This Row],[In Stock Date]]&lt;&gt;"",Main[[#This Row],[Revised Due Date]]&lt;&gt;""),Main[[#This Row],[In Stock Date]]-Main[[#This Row],[Revised Due Date]],"")</f>
        <v/>
      </c>
      <c r="I88" s="72" t="s">
        <v>50</v>
      </c>
      <c r="J88" s="72" t="s">
        <v>51</v>
      </c>
      <c r="K88" s="72" t="s">
        <v>1941</v>
      </c>
      <c r="L88" s="74"/>
      <c r="M88" s="77" t="str">
        <f>IF(Main[[#This Row],[Tech Start Date]]&lt;1/1/1990,"",IF(Main[[#This Row],[Class]]="C",WORKDAY(Main[[#This Row],[Tech Start Date]],9),IF(Main[[#This Row],[Class]]="B", WORKDAY(Main[[#This Row],[Tech Start Date]],6),IF(Main[[#This Row],[Class]]="A",WORKDAY(Main[[#This Row],[Tech Start Date]],2),""))))</f>
        <v/>
      </c>
      <c r="N88" s="77" t="str">
        <f>IF(Main[[#This Row],[Tech Start Date]]&lt;1/1/1990,"",IF(Main[[#This Row],[Class]]="C",WORKDAY(Main[[#This Row],[Tech Start Date]],19),IF(Main[[#This Row],[Class]]="B", WORKDAY(Main[[#This Row],[Tech Start Date]],12),IF(Main[[#This Row],[Class]]="A",WORKDAY(Main[[#This Row],[Tech Start Date]],4),""))))</f>
        <v/>
      </c>
      <c r="O88" s="77" t="str">
        <f>IF(Main[[#This Row],[Tech Start Date]]&lt;1/1/1990,"",IF(Main[[#This Row],[Class]]="C",WORKDAY(Main[[#This Row],[Tech Start Date]],23),IF(Main[[#This Row],[Class]]="B", WORKDAY(Main[[#This Row],[Tech Start Date]],15),IF(Main[[#This Row],[Class]]="A",WORKDAY(Main[[#This Row],[Tech Start Date]],5),""))))</f>
        <v/>
      </c>
      <c r="P88" s="77" t="str">
        <f>IF(Main[[#This Row],[Tech Start Date]]&lt;1/1/1990,"",IF(Main[[#This Row],[Class]]="C",WORKDAY(Main[[#This Row],[Tech Start Date]],28),IF(Main[[#This Row],[Class]]="B", WORKDAY(Main[[#This Row],[Tech Start Date]],19),IF(Main[[#This Row],[Class]]="A",WORKDAY(Main[[#This Row],[Tech Start Date]],9),""))))</f>
        <v/>
      </c>
      <c r="Q88" s="74">
        <v>40603</v>
      </c>
      <c r="R88" s="74"/>
      <c r="S88" s="72" t="s">
        <v>6</v>
      </c>
      <c r="T88" s="80" t="s">
        <v>2297</v>
      </c>
      <c r="U88" s="72" t="s">
        <v>29</v>
      </c>
      <c r="V88" s="72" t="s">
        <v>1932</v>
      </c>
      <c r="W88" s="72" t="s">
        <v>1943</v>
      </c>
      <c r="X88" s="72" t="s">
        <v>894</v>
      </c>
      <c r="Y88" s="72" t="s">
        <v>3050</v>
      </c>
      <c r="Z88" s="72" t="s">
        <v>129</v>
      </c>
      <c r="AA88" s="147" t="s">
        <v>894</v>
      </c>
    </row>
    <row r="89" spans="1:27" ht="18.600000000000001" customHeight="1">
      <c r="A89" s="140">
        <f>IF(priority(Main[[#This Row],[Comments]])&lt;&gt;0, priority(Main[[#This Row],[Comments]]),"")</f>
        <v>30</v>
      </c>
      <c r="B89" s="90" t="s">
        <v>1976</v>
      </c>
      <c r="C89" s="72" t="s">
        <v>116</v>
      </c>
      <c r="D89" s="73" t="s">
        <v>2657</v>
      </c>
      <c r="E89" s="74">
        <v>40722.573900462965</v>
      </c>
      <c r="F89" s="74">
        <v>41379</v>
      </c>
      <c r="G89" s="75" t="str">
        <f>IF(stdProdLT(Main[[#This Row],[Comments]])=0.1,"N/A",IF(stdProdLT(Main[[#This Row],[Comments]])=0,"",stdProdLT(Main[[#This Row],[Comments]])))</f>
        <v>N/A</v>
      </c>
      <c r="H89" s="76">
        <f>IF(AND(Main[[#This Row],[In Stock Date]]&lt;&gt;"",Main[[#This Row],[Revised Due Date]]&lt;&gt;""),Main[[#This Row],[In Stock Date]]-Main[[#This Row],[Revised Due Date]],"")</f>
        <v>410</v>
      </c>
      <c r="I89" s="72" t="s">
        <v>81</v>
      </c>
      <c r="J89" s="72" t="s">
        <v>21</v>
      </c>
      <c r="K89" s="72" t="s">
        <v>1945</v>
      </c>
      <c r="L89" s="74">
        <v>40767</v>
      </c>
      <c r="M89" s="77">
        <f>IF(Main[[#This Row],[Tech Start Date]]&lt;1/1/1990,"",IF(Main[[#This Row],[Class]]="C",WORKDAY(Main[[#This Row],[Tech Start Date]],9),IF(Main[[#This Row],[Class]]="B", WORKDAY(Main[[#This Row],[Tech Start Date]],6),IF(Main[[#This Row],[Class]]="A",WORKDAY(Main[[#This Row],[Tech Start Date]],2),""))))</f>
        <v>40780</v>
      </c>
      <c r="N89" s="77">
        <f>IF(Main[[#This Row],[Tech Start Date]]&lt;1/1/1990,"",IF(Main[[#This Row],[Class]]="C",WORKDAY(Main[[#This Row],[Tech Start Date]],19),IF(Main[[#This Row],[Class]]="B", WORKDAY(Main[[#This Row],[Tech Start Date]],12),IF(Main[[#This Row],[Class]]="A",WORKDAY(Main[[#This Row],[Tech Start Date]],4),""))))</f>
        <v>40794</v>
      </c>
      <c r="O89" s="77">
        <f>IF(Main[[#This Row],[Tech Start Date]]&lt;1/1/1990,"",IF(Main[[#This Row],[Class]]="C",WORKDAY(Main[[#This Row],[Tech Start Date]],23),IF(Main[[#This Row],[Class]]="B", WORKDAY(Main[[#This Row],[Tech Start Date]],15),IF(Main[[#This Row],[Class]]="A",WORKDAY(Main[[#This Row],[Tech Start Date]],5),""))))</f>
        <v>40800</v>
      </c>
      <c r="P89" s="77">
        <f>IF(Main[[#This Row],[Tech Start Date]]&lt;1/1/1990,"",IF(Main[[#This Row],[Class]]="C",WORKDAY(Main[[#This Row],[Tech Start Date]],28),IF(Main[[#This Row],[Class]]="B", WORKDAY(Main[[#This Row],[Tech Start Date]],19),IF(Main[[#This Row],[Class]]="A",WORKDAY(Main[[#This Row],[Tech Start Date]],9),""))))</f>
        <v>40807</v>
      </c>
      <c r="Q89" s="74">
        <v>41061</v>
      </c>
      <c r="R89" s="74">
        <v>40969</v>
      </c>
      <c r="S89" s="72" t="s">
        <v>11</v>
      </c>
      <c r="T89" s="80" t="s">
        <v>3446</v>
      </c>
      <c r="U89" s="72" t="s">
        <v>29</v>
      </c>
      <c r="V89" s="72" t="s">
        <v>1935</v>
      </c>
      <c r="W89" s="72" t="s">
        <v>1937</v>
      </c>
      <c r="X89" s="72" t="s">
        <v>2975</v>
      </c>
      <c r="Y89" s="72" t="s">
        <v>3190</v>
      </c>
      <c r="Z89" s="72" t="s">
        <v>81</v>
      </c>
      <c r="AA89" s="147" t="s">
        <v>2975</v>
      </c>
    </row>
    <row r="90" spans="1:27" ht="18.600000000000001" customHeight="1">
      <c r="A90" s="140">
        <f>IF(priority(Main[[#This Row],[Comments]])&lt;&gt;0, priority(Main[[#This Row],[Comments]]),"")</f>
        <v>31</v>
      </c>
      <c r="B90" s="90" t="s">
        <v>1978</v>
      </c>
      <c r="C90" s="72" t="s">
        <v>116</v>
      </c>
      <c r="D90" s="73" t="s">
        <v>2166</v>
      </c>
      <c r="E90" s="74">
        <v>40722.571018518516</v>
      </c>
      <c r="F90" s="74">
        <v>41379</v>
      </c>
      <c r="G90" s="75" t="str">
        <f>IF(stdProdLT(Main[[#This Row],[Comments]])=0.1,"N/A",IF(stdProdLT(Main[[#This Row],[Comments]])=0,"",stdProdLT(Main[[#This Row],[Comments]])))</f>
        <v>N/A</v>
      </c>
      <c r="H90" s="76">
        <f>IF(AND(Main[[#This Row],[In Stock Date]]&lt;&gt;"",Main[[#This Row],[Revised Due Date]]&lt;&gt;""),Main[[#This Row],[In Stock Date]]-Main[[#This Row],[Revised Due Date]],"")</f>
        <v>410</v>
      </c>
      <c r="I90" s="72" t="s">
        <v>81</v>
      </c>
      <c r="J90" s="72" t="s">
        <v>21</v>
      </c>
      <c r="K90" s="72" t="s">
        <v>1945</v>
      </c>
      <c r="L90" s="74">
        <v>40767</v>
      </c>
      <c r="M90" s="77">
        <f>IF(Main[[#This Row],[Tech Start Date]]&lt;1/1/1990,"",IF(Main[[#This Row],[Class]]="C",WORKDAY(Main[[#This Row],[Tech Start Date]],9),IF(Main[[#This Row],[Class]]="B", WORKDAY(Main[[#This Row],[Tech Start Date]],6),IF(Main[[#This Row],[Class]]="A",WORKDAY(Main[[#This Row],[Tech Start Date]],2),""))))</f>
        <v>40780</v>
      </c>
      <c r="N90" s="77">
        <f>IF(Main[[#This Row],[Tech Start Date]]&lt;1/1/1990,"",IF(Main[[#This Row],[Class]]="C",WORKDAY(Main[[#This Row],[Tech Start Date]],19),IF(Main[[#This Row],[Class]]="B", WORKDAY(Main[[#This Row],[Tech Start Date]],12),IF(Main[[#This Row],[Class]]="A",WORKDAY(Main[[#This Row],[Tech Start Date]],4),""))))</f>
        <v>40794</v>
      </c>
      <c r="O90" s="77">
        <f>IF(Main[[#This Row],[Tech Start Date]]&lt;1/1/1990,"",IF(Main[[#This Row],[Class]]="C",WORKDAY(Main[[#This Row],[Tech Start Date]],23),IF(Main[[#This Row],[Class]]="B", WORKDAY(Main[[#This Row],[Tech Start Date]],15),IF(Main[[#This Row],[Class]]="A",WORKDAY(Main[[#This Row],[Tech Start Date]],5),""))))</f>
        <v>40800</v>
      </c>
      <c r="P90" s="77">
        <f>IF(Main[[#This Row],[Tech Start Date]]&lt;1/1/1990,"",IF(Main[[#This Row],[Class]]="C",WORKDAY(Main[[#This Row],[Tech Start Date]],28),IF(Main[[#This Row],[Class]]="B", WORKDAY(Main[[#This Row],[Tech Start Date]],19),IF(Main[[#This Row],[Class]]="A",WORKDAY(Main[[#This Row],[Tech Start Date]],9),""))))</f>
        <v>40807</v>
      </c>
      <c r="Q90" s="74">
        <v>41061</v>
      </c>
      <c r="R90" s="74">
        <v>40969</v>
      </c>
      <c r="S90" s="72" t="s">
        <v>11</v>
      </c>
      <c r="T90" s="80" t="s">
        <v>3447</v>
      </c>
      <c r="U90" s="72" t="s">
        <v>29</v>
      </c>
      <c r="V90" s="72" t="s">
        <v>1935</v>
      </c>
      <c r="W90" s="72" t="s">
        <v>1937</v>
      </c>
      <c r="X90" s="72" t="s">
        <v>2975</v>
      </c>
      <c r="Y90" s="72" t="s">
        <v>3190</v>
      </c>
      <c r="Z90" s="72" t="s">
        <v>81</v>
      </c>
      <c r="AA90" s="147" t="s">
        <v>2975</v>
      </c>
    </row>
    <row r="91" spans="1:27" ht="18.600000000000001" customHeight="1">
      <c r="A91" s="140">
        <f>IF(priority(Main[[#This Row],[Comments]])&lt;&gt;0, priority(Main[[#This Row],[Comments]]),"")</f>
        <v>32</v>
      </c>
      <c r="B91" s="90" t="s">
        <v>1086</v>
      </c>
      <c r="C91" s="72" t="s">
        <v>116</v>
      </c>
      <c r="D91" s="73" t="s">
        <v>117</v>
      </c>
      <c r="E91" s="74"/>
      <c r="F91" s="74"/>
      <c r="G91" s="75" t="str">
        <f>IF(stdProdLT(Main[[#This Row],[Comments]])=0.1,"N/A",IF(stdProdLT(Main[[#This Row],[Comments]])=0,"",stdProdLT(Main[[#This Row],[Comments]])))</f>
        <v/>
      </c>
      <c r="H91" s="76" t="str">
        <f>IF(AND(Main[[#This Row],[In Stock Date]]&lt;&gt;"",Main[[#This Row],[Revised Due Date]]&lt;&gt;""),Main[[#This Row],[In Stock Date]]-Main[[#This Row],[Revised Due Date]],"")</f>
        <v/>
      </c>
      <c r="I91" s="72" t="s">
        <v>4</v>
      </c>
      <c r="J91" s="72" t="s">
        <v>4</v>
      </c>
      <c r="K91" s="72" t="s">
        <v>4</v>
      </c>
      <c r="L91" s="74"/>
      <c r="M91" s="77" t="str">
        <f>IF(Main[[#This Row],[Tech Start Date]]&lt;1/1/1990,"",IF(Main[[#This Row],[Class]]="C",WORKDAY(Main[[#This Row],[Tech Start Date]],9),IF(Main[[#This Row],[Class]]="B", WORKDAY(Main[[#This Row],[Tech Start Date]],6),IF(Main[[#This Row],[Class]]="A",WORKDAY(Main[[#This Row],[Tech Start Date]],2),""))))</f>
        <v/>
      </c>
      <c r="N91" s="77" t="str">
        <f>IF(Main[[#This Row],[Tech Start Date]]&lt;1/1/1990,"",IF(Main[[#This Row],[Class]]="C",WORKDAY(Main[[#This Row],[Tech Start Date]],19),IF(Main[[#This Row],[Class]]="B", WORKDAY(Main[[#This Row],[Tech Start Date]],12),IF(Main[[#This Row],[Class]]="A",WORKDAY(Main[[#This Row],[Tech Start Date]],4),""))))</f>
        <v/>
      </c>
      <c r="O91" s="77" t="str">
        <f>IF(Main[[#This Row],[Tech Start Date]]&lt;1/1/1990,"",IF(Main[[#This Row],[Class]]="C",WORKDAY(Main[[#This Row],[Tech Start Date]],23),IF(Main[[#This Row],[Class]]="B", WORKDAY(Main[[#This Row],[Tech Start Date]],15),IF(Main[[#This Row],[Class]]="A",WORKDAY(Main[[#This Row],[Tech Start Date]],5),""))))</f>
        <v/>
      </c>
      <c r="P91" s="77" t="str">
        <f>IF(Main[[#This Row],[Tech Start Date]]&lt;1/1/1990,"",IF(Main[[#This Row],[Class]]="C",WORKDAY(Main[[#This Row],[Tech Start Date]],28),IF(Main[[#This Row],[Class]]="B", WORKDAY(Main[[#This Row],[Tech Start Date]],19),IF(Main[[#This Row],[Class]]="A",WORKDAY(Main[[#This Row],[Tech Start Date]],9),""))))</f>
        <v/>
      </c>
      <c r="Q91" s="74">
        <v>40786</v>
      </c>
      <c r="R91" s="74"/>
      <c r="S91" s="72" t="s">
        <v>11</v>
      </c>
      <c r="T91" s="80" t="s">
        <v>118</v>
      </c>
      <c r="U91" s="72" t="s">
        <v>14</v>
      </c>
      <c r="V91" s="72" t="s">
        <v>1932</v>
      </c>
      <c r="W91" s="72" t="s">
        <v>1937</v>
      </c>
      <c r="X91" s="72" t="s">
        <v>2923</v>
      </c>
      <c r="Y91" s="72" t="s">
        <v>3057</v>
      </c>
      <c r="Z91" s="72" t="s">
        <v>4</v>
      </c>
      <c r="AA91" s="147" t="s">
        <v>2923</v>
      </c>
    </row>
    <row r="92" spans="1:27" ht="18.600000000000001" customHeight="1">
      <c r="A92" s="140">
        <f>IF(priority(Main[[#This Row],[Comments]])&lt;&gt;0, priority(Main[[#This Row],[Comments]]),"")</f>
        <v>32</v>
      </c>
      <c r="B92" s="90" t="s">
        <v>1078</v>
      </c>
      <c r="C92" s="72" t="s">
        <v>4</v>
      </c>
      <c r="D92" s="73" t="s">
        <v>2338</v>
      </c>
      <c r="E92" s="74">
        <v>40591.506215277775</v>
      </c>
      <c r="F92" s="74"/>
      <c r="G92" s="75" t="str">
        <f>IF(stdProdLT(Main[[#This Row],[Comments]])=0.1,"N/A",IF(stdProdLT(Main[[#This Row],[Comments]])=0,"",stdProdLT(Main[[#This Row],[Comments]])))</f>
        <v/>
      </c>
      <c r="H92" s="76" t="str">
        <f>IF(AND(Main[[#This Row],[In Stock Date]]&lt;&gt;"",Main[[#This Row],[Revised Due Date]]&lt;&gt;""),Main[[#This Row],[In Stock Date]]-Main[[#This Row],[Revised Due Date]],"")</f>
        <v/>
      </c>
      <c r="I92" s="72" t="s">
        <v>923</v>
      </c>
      <c r="J92" s="72" t="s">
        <v>52</v>
      </c>
      <c r="K92" s="81" t="s">
        <v>1941</v>
      </c>
      <c r="L92" s="74"/>
      <c r="M92" s="77" t="str">
        <f>IF(Main[[#This Row],[Tech Start Date]]&lt;1/1/1990,"",IF(Main[[#This Row],[Class]]="C",WORKDAY(Main[[#This Row],[Tech Start Date]],9),IF(Main[[#This Row],[Class]]="B", WORKDAY(Main[[#This Row],[Tech Start Date]],6),IF(Main[[#This Row],[Class]]="A",WORKDAY(Main[[#This Row],[Tech Start Date]],2),""))))</f>
        <v/>
      </c>
      <c r="N92" s="77" t="str">
        <f>IF(Main[[#This Row],[Tech Start Date]]&lt;1/1/1990,"",IF(Main[[#This Row],[Class]]="C",WORKDAY(Main[[#This Row],[Tech Start Date]],19),IF(Main[[#This Row],[Class]]="B", WORKDAY(Main[[#This Row],[Tech Start Date]],12),IF(Main[[#This Row],[Class]]="A",WORKDAY(Main[[#This Row],[Tech Start Date]],4),""))))</f>
        <v/>
      </c>
      <c r="O92" s="77" t="str">
        <f>IF(Main[[#This Row],[Tech Start Date]]&lt;1/1/1990,"",IF(Main[[#This Row],[Class]]="C",WORKDAY(Main[[#This Row],[Tech Start Date]],23),IF(Main[[#This Row],[Class]]="B", WORKDAY(Main[[#This Row],[Tech Start Date]],15),IF(Main[[#This Row],[Class]]="A",WORKDAY(Main[[#This Row],[Tech Start Date]],5),""))))</f>
        <v/>
      </c>
      <c r="P92" s="77" t="str">
        <f>IF(Main[[#This Row],[Tech Start Date]]&lt;1/1/1990,"",IF(Main[[#This Row],[Class]]="C",WORKDAY(Main[[#This Row],[Tech Start Date]],28),IF(Main[[#This Row],[Class]]="B", WORKDAY(Main[[#This Row],[Tech Start Date]],19),IF(Main[[#This Row],[Class]]="A",WORKDAY(Main[[#This Row],[Tech Start Date]],9),""))))</f>
        <v/>
      </c>
      <c r="Q92" s="74">
        <v>40605</v>
      </c>
      <c r="R92" s="74"/>
      <c r="S92" s="72" t="s">
        <v>6</v>
      </c>
      <c r="T92" s="80" t="s">
        <v>118</v>
      </c>
      <c r="U92" s="72" t="s">
        <v>29</v>
      </c>
      <c r="V92" s="72" t="s">
        <v>1932</v>
      </c>
      <c r="W92" s="72" t="s">
        <v>1934</v>
      </c>
      <c r="X92" s="72" t="s">
        <v>2984</v>
      </c>
      <c r="Y92" s="72" t="s">
        <v>3161</v>
      </c>
      <c r="Z92" s="72" t="s">
        <v>129</v>
      </c>
      <c r="AA92" s="147" t="s">
        <v>2984</v>
      </c>
    </row>
    <row r="93" spans="1:27" ht="18.600000000000001" customHeight="1">
      <c r="A93" s="140">
        <f>IF(priority(Main[[#This Row],[Comments]])&lt;&gt;0, priority(Main[[#This Row],[Comments]]),"")</f>
        <v>32</v>
      </c>
      <c r="B93" s="90" t="s">
        <v>1979</v>
      </c>
      <c r="C93" s="72" t="s">
        <v>116</v>
      </c>
      <c r="D93" s="73" t="s">
        <v>2167</v>
      </c>
      <c r="E93" s="74">
        <v>40722.572418981479</v>
      </c>
      <c r="F93" s="74">
        <v>41379</v>
      </c>
      <c r="G93" s="75" t="str">
        <f>IF(stdProdLT(Main[[#This Row],[Comments]])=0.1,"N/A",IF(stdProdLT(Main[[#This Row],[Comments]])=0,"",stdProdLT(Main[[#This Row],[Comments]])))</f>
        <v>N/A</v>
      </c>
      <c r="H93" s="76">
        <f>IF(AND(Main[[#This Row],[In Stock Date]]&lt;&gt;"",Main[[#This Row],[Revised Due Date]]&lt;&gt;""),Main[[#This Row],[In Stock Date]]-Main[[#This Row],[Revised Due Date]],"")</f>
        <v>410</v>
      </c>
      <c r="I93" s="72" t="s">
        <v>81</v>
      </c>
      <c r="J93" s="72" t="s">
        <v>21</v>
      </c>
      <c r="K93" s="72" t="s">
        <v>1945</v>
      </c>
      <c r="L93" s="74">
        <v>40767</v>
      </c>
      <c r="M93" s="77">
        <f>IF(Main[[#This Row],[Tech Start Date]]&lt;1/1/1990,"",IF(Main[[#This Row],[Class]]="C",WORKDAY(Main[[#This Row],[Tech Start Date]],9),IF(Main[[#This Row],[Class]]="B", WORKDAY(Main[[#This Row],[Tech Start Date]],6),IF(Main[[#This Row],[Class]]="A",WORKDAY(Main[[#This Row],[Tech Start Date]],2),""))))</f>
        <v>40780</v>
      </c>
      <c r="N93" s="77">
        <f>IF(Main[[#This Row],[Tech Start Date]]&lt;1/1/1990,"",IF(Main[[#This Row],[Class]]="C",WORKDAY(Main[[#This Row],[Tech Start Date]],19),IF(Main[[#This Row],[Class]]="B", WORKDAY(Main[[#This Row],[Tech Start Date]],12),IF(Main[[#This Row],[Class]]="A",WORKDAY(Main[[#This Row],[Tech Start Date]],4),""))))</f>
        <v>40794</v>
      </c>
      <c r="O93" s="77">
        <f>IF(Main[[#This Row],[Tech Start Date]]&lt;1/1/1990,"",IF(Main[[#This Row],[Class]]="C",WORKDAY(Main[[#This Row],[Tech Start Date]],23),IF(Main[[#This Row],[Class]]="B", WORKDAY(Main[[#This Row],[Tech Start Date]],15),IF(Main[[#This Row],[Class]]="A",WORKDAY(Main[[#This Row],[Tech Start Date]],5),""))))</f>
        <v>40800</v>
      </c>
      <c r="P93" s="77">
        <f>IF(Main[[#This Row],[Tech Start Date]]&lt;1/1/1990,"",IF(Main[[#This Row],[Class]]="C",WORKDAY(Main[[#This Row],[Tech Start Date]],28),IF(Main[[#This Row],[Class]]="B", WORKDAY(Main[[#This Row],[Tech Start Date]],19),IF(Main[[#This Row],[Class]]="A",WORKDAY(Main[[#This Row],[Tech Start Date]],9),""))))</f>
        <v>40807</v>
      </c>
      <c r="Q93" s="74">
        <v>41061</v>
      </c>
      <c r="R93" s="74">
        <v>40969</v>
      </c>
      <c r="S93" s="72" t="s">
        <v>11</v>
      </c>
      <c r="T93" s="80" t="s">
        <v>3448</v>
      </c>
      <c r="U93" s="72" t="s">
        <v>29</v>
      </c>
      <c r="V93" s="72" t="s">
        <v>1935</v>
      </c>
      <c r="W93" s="72" t="s">
        <v>1937</v>
      </c>
      <c r="X93" s="72" t="s">
        <v>2975</v>
      </c>
      <c r="Y93" s="72" t="s">
        <v>3190</v>
      </c>
      <c r="Z93" s="72" t="s">
        <v>81</v>
      </c>
      <c r="AA93" s="147" t="s">
        <v>2975</v>
      </c>
    </row>
    <row r="94" spans="1:27" ht="18.600000000000001" customHeight="1">
      <c r="A94" s="140">
        <f>IF(priority(Main[[#This Row],[Comments]])&lt;&gt;0, priority(Main[[#This Row],[Comments]]),"")</f>
        <v>32.1</v>
      </c>
      <c r="B94" s="90" t="s">
        <v>2197</v>
      </c>
      <c r="C94" s="72" t="s">
        <v>2198</v>
      </c>
      <c r="D94" s="73" t="s">
        <v>2199</v>
      </c>
      <c r="E94" s="74"/>
      <c r="F94" s="74">
        <v>40795</v>
      </c>
      <c r="G94" s="75">
        <f>IF(stdProdLT(Main[[#This Row],[Comments]])=0.1,"N/A",IF(stdProdLT(Main[[#This Row],[Comments]])=0,"",stdProdLT(Main[[#This Row],[Comments]])))</f>
        <v>21</v>
      </c>
      <c r="H94" s="76" t="str">
        <f>IF(AND(Main[[#This Row],[In Stock Date]]&lt;&gt;"",Main[[#This Row],[Revised Due Date]]&lt;&gt;""),Main[[#This Row],[In Stock Date]]-Main[[#This Row],[Revised Due Date]],"")</f>
        <v/>
      </c>
      <c r="I94" s="72" t="s">
        <v>4</v>
      </c>
      <c r="J94" s="72" t="s">
        <v>4</v>
      </c>
      <c r="K94" s="81" t="s">
        <v>4</v>
      </c>
      <c r="L94" s="74"/>
      <c r="M94" s="77" t="str">
        <f>IF(Main[[#This Row],[Tech Start Date]]&lt;1/1/1990,"",IF(Main[[#This Row],[Class]]="C",WORKDAY(Main[[#This Row],[Tech Start Date]],9),IF(Main[[#This Row],[Class]]="B", WORKDAY(Main[[#This Row],[Tech Start Date]],6),IF(Main[[#This Row],[Class]]="A",WORKDAY(Main[[#This Row],[Tech Start Date]],2),""))))</f>
        <v/>
      </c>
      <c r="N94" s="77" t="str">
        <f>IF(Main[[#This Row],[Tech Start Date]]&lt;1/1/1990,"",IF(Main[[#This Row],[Class]]="C",WORKDAY(Main[[#This Row],[Tech Start Date]],19),IF(Main[[#This Row],[Class]]="B", WORKDAY(Main[[#This Row],[Tech Start Date]],12),IF(Main[[#This Row],[Class]]="A",WORKDAY(Main[[#This Row],[Tech Start Date]],4),""))))</f>
        <v/>
      </c>
      <c r="O94" s="77" t="str">
        <f>IF(Main[[#This Row],[Tech Start Date]]&lt;1/1/1990,"",IF(Main[[#This Row],[Class]]="C",WORKDAY(Main[[#This Row],[Tech Start Date]],23),IF(Main[[#This Row],[Class]]="B", WORKDAY(Main[[#This Row],[Tech Start Date]],15),IF(Main[[#This Row],[Class]]="A",WORKDAY(Main[[#This Row],[Tech Start Date]],5),""))))</f>
        <v/>
      </c>
      <c r="P94" s="77" t="str">
        <f>IF(Main[[#This Row],[Tech Start Date]]&lt;1/1/1990,"",IF(Main[[#This Row],[Class]]="C",WORKDAY(Main[[#This Row],[Tech Start Date]],28),IF(Main[[#This Row],[Class]]="B", WORKDAY(Main[[#This Row],[Tech Start Date]],19),IF(Main[[#This Row],[Class]]="A",WORKDAY(Main[[#This Row],[Tech Start Date]],9),""))))</f>
        <v/>
      </c>
      <c r="Q94" s="74">
        <v>40795</v>
      </c>
      <c r="R94" s="74"/>
      <c r="S94" s="72" t="s">
        <v>11</v>
      </c>
      <c r="T94" s="80" t="s">
        <v>2251</v>
      </c>
      <c r="U94" s="72" t="s">
        <v>14</v>
      </c>
      <c r="V94" s="72" t="s">
        <v>1932</v>
      </c>
      <c r="W94" s="72" t="s">
        <v>1937</v>
      </c>
      <c r="X94" s="72" t="s">
        <v>2913</v>
      </c>
      <c r="Y94" s="72" t="s">
        <v>3038</v>
      </c>
      <c r="Z94" s="72" t="s">
        <v>4</v>
      </c>
      <c r="AA94" s="147" t="s">
        <v>2913</v>
      </c>
    </row>
    <row r="95" spans="1:27" ht="18.600000000000001" customHeight="1">
      <c r="A95" s="140">
        <f>IF(priority(Main[[#This Row],[Comments]])&lt;&gt;0, priority(Main[[#This Row],[Comments]]),"")</f>
        <v>33</v>
      </c>
      <c r="B95" s="90" t="s">
        <v>1235</v>
      </c>
      <c r="C95" s="72" t="s">
        <v>116</v>
      </c>
      <c r="D95" s="73" t="s">
        <v>328</v>
      </c>
      <c r="E95" s="74"/>
      <c r="F95" s="74"/>
      <c r="G95" s="75" t="str">
        <f>IF(stdProdLT(Main[[#This Row],[Comments]])=0.1,"N/A",IF(stdProdLT(Main[[#This Row],[Comments]])=0,"",stdProdLT(Main[[#This Row],[Comments]])))</f>
        <v/>
      </c>
      <c r="H95" s="76" t="str">
        <f>IF(AND(Main[[#This Row],[In Stock Date]]&lt;&gt;"",Main[[#This Row],[Revised Due Date]]&lt;&gt;""),Main[[#This Row],[In Stock Date]]-Main[[#This Row],[Revised Due Date]],"")</f>
        <v/>
      </c>
      <c r="I95" s="72" t="s">
        <v>4</v>
      </c>
      <c r="J95" s="72" t="s">
        <v>4</v>
      </c>
      <c r="K95" s="72" t="s">
        <v>4</v>
      </c>
      <c r="L95" s="74"/>
      <c r="M95" s="77" t="str">
        <f>IF(Main[[#This Row],[Tech Start Date]]&lt;1/1/1990,"",IF(Main[[#This Row],[Class]]="C",WORKDAY(Main[[#This Row],[Tech Start Date]],9),IF(Main[[#This Row],[Class]]="B", WORKDAY(Main[[#This Row],[Tech Start Date]],6),IF(Main[[#This Row],[Class]]="A",WORKDAY(Main[[#This Row],[Tech Start Date]],2),""))))</f>
        <v/>
      </c>
      <c r="N95" s="77" t="str">
        <f>IF(Main[[#This Row],[Tech Start Date]]&lt;1/1/1990,"",IF(Main[[#This Row],[Class]]="C",WORKDAY(Main[[#This Row],[Tech Start Date]],19),IF(Main[[#This Row],[Class]]="B", WORKDAY(Main[[#This Row],[Tech Start Date]],12),IF(Main[[#This Row],[Class]]="A",WORKDAY(Main[[#This Row],[Tech Start Date]],4),""))))</f>
        <v/>
      </c>
      <c r="O95" s="77" t="str">
        <f>IF(Main[[#This Row],[Tech Start Date]]&lt;1/1/1990,"",IF(Main[[#This Row],[Class]]="C",WORKDAY(Main[[#This Row],[Tech Start Date]],23),IF(Main[[#This Row],[Class]]="B", WORKDAY(Main[[#This Row],[Tech Start Date]],15),IF(Main[[#This Row],[Class]]="A",WORKDAY(Main[[#This Row],[Tech Start Date]],5),""))))</f>
        <v/>
      </c>
      <c r="P95" s="77" t="str">
        <f>IF(Main[[#This Row],[Tech Start Date]]&lt;1/1/1990,"",IF(Main[[#This Row],[Class]]="C",WORKDAY(Main[[#This Row],[Tech Start Date]],28),IF(Main[[#This Row],[Class]]="B", WORKDAY(Main[[#This Row],[Tech Start Date]],19),IF(Main[[#This Row],[Class]]="A",WORKDAY(Main[[#This Row],[Tech Start Date]],9),""))))</f>
        <v/>
      </c>
      <c r="Q95" s="74"/>
      <c r="R95" s="74"/>
      <c r="S95" s="72" t="s">
        <v>11</v>
      </c>
      <c r="T95" s="80" t="s">
        <v>329</v>
      </c>
      <c r="U95" s="72" t="s">
        <v>14</v>
      </c>
      <c r="V95" s="72" t="s">
        <v>1932</v>
      </c>
      <c r="W95" s="72" t="s">
        <v>1937</v>
      </c>
      <c r="X95" s="72" t="s">
        <v>2923</v>
      </c>
      <c r="Y95" s="72" t="s">
        <v>3057</v>
      </c>
      <c r="Z95" s="72" t="s">
        <v>4</v>
      </c>
      <c r="AA95" s="147" t="s">
        <v>2923</v>
      </c>
    </row>
    <row r="96" spans="1:27" ht="18.600000000000001" customHeight="1">
      <c r="A96" s="140">
        <f>IF(priority(Main[[#This Row],[Comments]])&lt;&gt;0, priority(Main[[#This Row],[Comments]]),"")</f>
        <v>33</v>
      </c>
      <c r="B96" s="90" t="s">
        <v>1092</v>
      </c>
      <c r="C96" s="72" t="s">
        <v>122</v>
      </c>
      <c r="D96" s="73" t="s">
        <v>123</v>
      </c>
      <c r="E96" s="74">
        <v>40534.411678240744</v>
      </c>
      <c r="F96" s="74">
        <v>40541</v>
      </c>
      <c r="G96" s="75" t="str">
        <f>IF(stdProdLT(Main[[#This Row],[Comments]])=0.1,"N/A",IF(stdProdLT(Main[[#This Row],[Comments]])=0,"",stdProdLT(Main[[#This Row],[Comments]])))</f>
        <v/>
      </c>
      <c r="H96" s="76" t="str">
        <f>IF(AND(Main[[#This Row],[In Stock Date]]&lt;&gt;"",Main[[#This Row],[Revised Due Date]]&lt;&gt;""),Main[[#This Row],[In Stock Date]]-Main[[#This Row],[Revised Due Date]],"")</f>
        <v/>
      </c>
      <c r="I96" s="72" t="s">
        <v>4</v>
      </c>
      <c r="J96" s="72" t="s">
        <v>28</v>
      </c>
      <c r="K96" s="72" t="s">
        <v>1941</v>
      </c>
      <c r="L96" s="74"/>
      <c r="M96" s="77" t="str">
        <f>IF(Main[[#This Row],[Tech Start Date]]&lt;1/1/1990,"",IF(Main[[#This Row],[Class]]="C",WORKDAY(Main[[#This Row],[Tech Start Date]],9),IF(Main[[#This Row],[Class]]="B", WORKDAY(Main[[#This Row],[Tech Start Date]],6),IF(Main[[#This Row],[Class]]="A",WORKDAY(Main[[#This Row],[Tech Start Date]],2),""))))</f>
        <v/>
      </c>
      <c r="N96" s="77" t="str">
        <f>IF(Main[[#This Row],[Tech Start Date]]&lt;1/1/1990,"",IF(Main[[#This Row],[Class]]="C",WORKDAY(Main[[#This Row],[Tech Start Date]],19),IF(Main[[#This Row],[Class]]="B", WORKDAY(Main[[#This Row],[Tech Start Date]],12),IF(Main[[#This Row],[Class]]="A",WORKDAY(Main[[#This Row],[Tech Start Date]],4),""))))</f>
        <v/>
      </c>
      <c r="O96" s="77" t="str">
        <f>IF(Main[[#This Row],[Tech Start Date]]&lt;1/1/1990,"",IF(Main[[#This Row],[Class]]="C",WORKDAY(Main[[#This Row],[Tech Start Date]],23),IF(Main[[#This Row],[Class]]="B", WORKDAY(Main[[#This Row],[Tech Start Date]],15),IF(Main[[#This Row],[Class]]="A",WORKDAY(Main[[#This Row],[Tech Start Date]],5),""))))</f>
        <v/>
      </c>
      <c r="P96" s="77" t="str">
        <f>IF(Main[[#This Row],[Tech Start Date]]&lt;1/1/1990,"",IF(Main[[#This Row],[Class]]="C",WORKDAY(Main[[#This Row],[Tech Start Date]],28),IF(Main[[#This Row],[Class]]="B", WORKDAY(Main[[#This Row],[Tech Start Date]],19),IF(Main[[#This Row],[Class]]="A",WORKDAY(Main[[#This Row],[Tech Start Date]],9),""))))</f>
        <v/>
      </c>
      <c r="Q96" s="74">
        <v>40541</v>
      </c>
      <c r="R96" s="74"/>
      <c r="S96" s="72" t="s">
        <v>6</v>
      </c>
      <c r="T96" s="80" t="s">
        <v>329</v>
      </c>
      <c r="U96" s="72" t="s">
        <v>7</v>
      </c>
      <c r="V96" s="72" t="s">
        <v>1932</v>
      </c>
      <c r="W96" s="72" t="s">
        <v>1936</v>
      </c>
      <c r="X96" s="72" t="s">
        <v>2901</v>
      </c>
      <c r="Y96" s="72" t="s">
        <v>3219</v>
      </c>
      <c r="Z96" s="72" t="s">
        <v>129</v>
      </c>
      <c r="AA96" s="147" t="s">
        <v>2901</v>
      </c>
    </row>
    <row r="97" spans="1:27" ht="18.600000000000001" customHeight="1">
      <c r="A97" s="140">
        <f>IF(priority(Main[[#This Row],[Comments]])&lt;&gt;0, priority(Main[[#This Row],[Comments]]),"")</f>
        <v>33</v>
      </c>
      <c r="B97" s="90" t="s">
        <v>1977</v>
      </c>
      <c r="C97" s="72" t="s">
        <v>116</v>
      </c>
      <c r="D97" s="73" t="s">
        <v>2658</v>
      </c>
      <c r="E97" s="74">
        <v>40722.573182870372</v>
      </c>
      <c r="F97" s="74">
        <v>41379</v>
      </c>
      <c r="G97" s="75" t="str">
        <f>IF(stdProdLT(Main[[#This Row],[Comments]])=0.1,"N/A",IF(stdProdLT(Main[[#This Row],[Comments]])=0,"",stdProdLT(Main[[#This Row],[Comments]])))</f>
        <v>N/A</v>
      </c>
      <c r="H97" s="76">
        <f>IF(AND(Main[[#This Row],[In Stock Date]]&lt;&gt;"",Main[[#This Row],[Revised Due Date]]&lt;&gt;""),Main[[#This Row],[In Stock Date]]-Main[[#This Row],[Revised Due Date]],"")</f>
        <v>410</v>
      </c>
      <c r="I97" s="72" t="s">
        <v>81</v>
      </c>
      <c r="J97" s="72" t="s">
        <v>21</v>
      </c>
      <c r="K97" s="72" t="s">
        <v>1945</v>
      </c>
      <c r="L97" s="74">
        <v>40767</v>
      </c>
      <c r="M97" s="77">
        <f>IF(Main[[#This Row],[Tech Start Date]]&lt;1/1/1990,"",IF(Main[[#This Row],[Class]]="C",WORKDAY(Main[[#This Row],[Tech Start Date]],9),IF(Main[[#This Row],[Class]]="B", WORKDAY(Main[[#This Row],[Tech Start Date]],6),IF(Main[[#This Row],[Class]]="A",WORKDAY(Main[[#This Row],[Tech Start Date]],2),""))))</f>
        <v>40780</v>
      </c>
      <c r="N97" s="77">
        <f>IF(Main[[#This Row],[Tech Start Date]]&lt;1/1/1990,"",IF(Main[[#This Row],[Class]]="C",WORKDAY(Main[[#This Row],[Tech Start Date]],19),IF(Main[[#This Row],[Class]]="B", WORKDAY(Main[[#This Row],[Tech Start Date]],12),IF(Main[[#This Row],[Class]]="A",WORKDAY(Main[[#This Row],[Tech Start Date]],4),""))))</f>
        <v>40794</v>
      </c>
      <c r="O97" s="77">
        <f>IF(Main[[#This Row],[Tech Start Date]]&lt;1/1/1990,"",IF(Main[[#This Row],[Class]]="C",WORKDAY(Main[[#This Row],[Tech Start Date]],23),IF(Main[[#This Row],[Class]]="B", WORKDAY(Main[[#This Row],[Tech Start Date]],15),IF(Main[[#This Row],[Class]]="A",WORKDAY(Main[[#This Row],[Tech Start Date]],5),""))))</f>
        <v>40800</v>
      </c>
      <c r="P97" s="77">
        <f>IF(Main[[#This Row],[Tech Start Date]]&lt;1/1/1990,"",IF(Main[[#This Row],[Class]]="C",WORKDAY(Main[[#This Row],[Tech Start Date]],28),IF(Main[[#This Row],[Class]]="B", WORKDAY(Main[[#This Row],[Tech Start Date]],19),IF(Main[[#This Row],[Class]]="A",WORKDAY(Main[[#This Row],[Tech Start Date]],9),""))))</f>
        <v>40807</v>
      </c>
      <c r="Q97" s="74">
        <v>41061</v>
      </c>
      <c r="R97" s="74">
        <v>40969</v>
      </c>
      <c r="S97" s="72" t="s">
        <v>11</v>
      </c>
      <c r="T97" s="80" t="s">
        <v>3449</v>
      </c>
      <c r="U97" s="72" t="s">
        <v>29</v>
      </c>
      <c r="V97" s="72" t="s">
        <v>1935</v>
      </c>
      <c r="W97" s="72" t="s">
        <v>1937</v>
      </c>
      <c r="X97" s="72" t="s">
        <v>2975</v>
      </c>
      <c r="Y97" s="72" t="s">
        <v>3190</v>
      </c>
      <c r="Z97" s="72" t="s">
        <v>81</v>
      </c>
      <c r="AA97" s="147" t="s">
        <v>2975</v>
      </c>
    </row>
    <row r="98" spans="1:27" ht="18.600000000000001" customHeight="1">
      <c r="A98" s="140">
        <f>IF(priority(Main[[#This Row],[Comments]])&lt;&gt;0, priority(Main[[#This Row],[Comments]]),"")</f>
        <v>34</v>
      </c>
      <c r="B98" s="90" t="s">
        <v>1114</v>
      </c>
      <c r="C98" s="72" t="s">
        <v>4</v>
      </c>
      <c r="D98" s="73" t="s">
        <v>2326</v>
      </c>
      <c r="E98" s="74">
        <v>40561.117199074077</v>
      </c>
      <c r="F98" s="74">
        <v>40592</v>
      </c>
      <c r="G98" s="75" t="str">
        <f>IF(stdProdLT(Main[[#This Row],[Comments]])=0.1,"N/A",IF(stdProdLT(Main[[#This Row],[Comments]])=0,"",stdProdLT(Main[[#This Row],[Comments]])))</f>
        <v/>
      </c>
      <c r="H98" s="76" t="str">
        <f>IF(AND(Main[[#This Row],[In Stock Date]]&lt;&gt;"",Main[[#This Row],[Revised Due Date]]&lt;&gt;""),Main[[#This Row],[In Stock Date]]-Main[[#This Row],[Revised Due Date]],"")</f>
        <v/>
      </c>
      <c r="I98" s="72" t="s">
        <v>923</v>
      </c>
      <c r="J98" s="72" t="s">
        <v>21</v>
      </c>
      <c r="K98" s="72" t="s">
        <v>1939</v>
      </c>
      <c r="L98" s="74"/>
      <c r="M98" s="77" t="str">
        <f>IF(Main[[#This Row],[Tech Start Date]]&lt;1/1/1990,"",IF(Main[[#This Row],[Class]]="C",WORKDAY(Main[[#This Row],[Tech Start Date]],9),IF(Main[[#This Row],[Class]]="B", WORKDAY(Main[[#This Row],[Tech Start Date]],6),IF(Main[[#This Row],[Class]]="A",WORKDAY(Main[[#This Row],[Tech Start Date]],2),""))))</f>
        <v/>
      </c>
      <c r="N98" s="77" t="str">
        <f>IF(Main[[#This Row],[Tech Start Date]]&lt;1/1/1990,"",IF(Main[[#This Row],[Class]]="C",WORKDAY(Main[[#This Row],[Tech Start Date]],19),IF(Main[[#This Row],[Class]]="B", WORKDAY(Main[[#This Row],[Tech Start Date]],12),IF(Main[[#This Row],[Class]]="A",WORKDAY(Main[[#This Row],[Tech Start Date]],4),""))))</f>
        <v/>
      </c>
      <c r="O98" s="77" t="str">
        <f>IF(Main[[#This Row],[Tech Start Date]]&lt;1/1/1990,"",IF(Main[[#This Row],[Class]]="C",WORKDAY(Main[[#This Row],[Tech Start Date]],23),IF(Main[[#This Row],[Class]]="B", WORKDAY(Main[[#This Row],[Tech Start Date]],15),IF(Main[[#This Row],[Class]]="A",WORKDAY(Main[[#This Row],[Tech Start Date]],5),""))))</f>
        <v/>
      </c>
      <c r="P98" s="77" t="str">
        <f>IF(Main[[#This Row],[Tech Start Date]]&lt;1/1/1990,"",IF(Main[[#This Row],[Class]]="C",WORKDAY(Main[[#This Row],[Tech Start Date]],28),IF(Main[[#This Row],[Class]]="B", WORKDAY(Main[[#This Row],[Tech Start Date]],19),IF(Main[[#This Row],[Class]]="A",WORKDAY(Main[[#This Row],[Tech Start Date]],9),""))))</f>
        <v/>
      </c>
      <c r="Q98" s="74">
        <v>40592</v>
      </c>
      <c r="R98" s="74"/>
      <c r="S98" s="72" t="s">
        <v>6</v>
      </c>
      <c r="T98" s="80" t="s">
        <v>2051</v>
      </c>
      <c r="U98" s="72" t="s">
        <v>29</v>
      </c>
      <c r="V98" s="72" t="s">
        <v>1932</v>
      </c>
      <c r="W98" s="72" t="s">
        <v>1934</v>
      </c>
      <c r="X98" s="72" t="s">
        <v>2987</v>
      </c>
      <c r="Y98" s="72" t="s">
        <v>3170</v>
      </c>
      <c r="Z98" s="72" t="s">
        <v>129</v>
      </c>
      <c r="AA98" s="147" t="s">
        <v>2987</v>
      </c>
    </row>
    <row r="99" spans="1:27" ht="18.600000000000001" customHeight="1">
      <c r="A99" s="140">
        <f>IF(priority(Main[[#This Row],[Comments]])&lt;&gt;0, priority(Main[[#This Row],[Comments]]),"")</f>
        <v>34</v>
      </c>
      <c r="B99" s="90" t="s">
        <v>1907</v>
      </c>
      <c r="C99" s="72" t="s">
        <v>116</v>
      </c>
      <c r="D99" s="73" t="s">
        <v>2159</v>
      </c>
      <c r="E99" s="74">
        <v>40606.548784722225</v>
      </c>
      <c r="F99" s="74">
        <v>41258</v>
      </c>
      <c r="G99" s="75">
        <f>IF(stdProdLT(Main[[#This Row],[Comments]])=0.1,"N/A",IF(stdProdLT(Main[[#This Row],[Comments]])=0,"",stdProdLT(Main[[#This Row],[Comments]])))</f>
        <v>154</v>
      </c>
      <c r="H99" s="76">
        <f>IF(AND(Main[[#This Row],[In Stock Date]]&lt;&gt;"",Main[[#This Row],[Revised Due Date]]&lt;&gt;""),Main[[#This Row],[In Stock Date]]-Main[[#This Row],[Revised Due Date]],"")</f>
        <v>289</v>
      </c>
      <c r="I99" s="72" t="s">
        <v>420</v>
      </c>
      <c r="J99" s="72" t="s">
        <v>2651</v>
      </c>
      <c r="K99" s="72" t="s">
        <v>1945</v>
      </c>
      <c r="L99" s="74">
        <v>40623</v>
      </c>
      <c r="M99" s="77">
        <f>IF(Main[[#This Row],[Tech Start Date]]&lt;1/1/1990,"",IF(Main[[#This Row],[Class]]="C",WORKDAY(Main[[#This Row],[Tech Start Date]],9),IF(Main[[#This Row],[Class]]="B", WORKDAY(Main[[#This Row],[Tech Start Date]],6),IF(Main[[#This Row],[Class]]="A",WORKDAY(Main[[#This Row],[Tech Start Date]],2),""))))</f>
        <v>40634</v>
      </c>
      <c r="N99" s="77">
        <f>IF(Main[[#This Row],[Tech Start Date]]&lt;1/1/1990,"",IF(Main[[#This Row],[Class]]="C",WORKDAY(Main[[#This Row],[Tech Start Date]],19),IF(Main[[#This Row],[Class]]="B", WORKDAY(Main[[#This Row],[Tech Start Date]],12),IF(Main[[#This Row],[Class]]="A",WORKDAY(Main[[#This Row],[Tech Start Date]],4),""))))</f>
        <v>40648</v>
      </c>
      <c r="O99" s="77">
        <f>IF(Main[[#This Row],[Tech Start Date]]&lt;1/1/1990,"",IF(Main[[#This Row],[Class]]="C",WORKDAY(Main[[#This Row],[Tech Start Date]],23),IF(Main[[#This Row],[Class]]="B", WORKDAY(Main[[#This Row],[Tech Start Date]],15),IF(Main[[#This Row],[Class]]="A",WORKDAY(Main[[#This Row],[Tech Start Date]],5),""))))</f>
        <v>40654</v>
      </c>
      <c r="P99" s="77">
        <f>IF(Main[[#This Row],[Tech Start Date]]&lt;1/1/1990,"",IF(Main[[#This Row],[Class]]="C",WORKDAY(Main[[#This Row],[Tech Start Date]],28),IF(Main[[#This Row],[Class]]="B", WORKDAY(Main[[#This Row],[Tech Start Date]],19),IF(Main[[#This Row],[Class]]="A",WORKDAY(Main[[#This Row],[Tech Start Date]],9),""))))</f>
        <v>40661</v>
      </c>
      <c r="Q99" s="74">
        <v>41082</v>
      </c>
      <c r="R99" s="74">
        <v>40969</v>
      </c>
      <c r="S99" s="72" t="s">
        <v>11</v>
      </c>
      <c r="T99" s="80" t="s">
        <v>3443</v>
      </c>
      <c r="U99" s="72" t="s">
        <v>29</v>
      </c>
      <c r="V99" s="72" t="s">
        <v>1935</v>
      </c>
      <c r="W99" s="72" t="s">
        <v>1937</v>
      </c>
      <c r="X99" s="72" t="s">
        <v>2928</v>
      </c>
      <c r="Y99" s="72" t="s">
        <v>3064</v>
      </c>
      <c r="Z99" s="72" t="s">
        <v>905</v>
      </c>
      <c r="AA99" s="147" t="s">
        <v>2928</v>
      </c>
    </row>
    <row r="100" spans="1:27" ht="18.600000000000001" customHeight="1">
      <c r="A100" s="140">
        <f>IF(priority(Main[[#This Row],[Comments]])&lt;&gt;0, priority(Main[[#This Row],[Comments]]),"")</f>
        <v>35</v>
      </c>
      <c r="B100" s="90" t="s">
        <v>2682</v>
      </c>
      <c r="C100" s="72" t="s">
        <v>2683</v>
      </c>
      <c r="D100" s="73" t="s">
        <v>2684</v>
      </c>
      <c r="E100" s="74">
        <v>40848.70516203704</v>
      </c>
      <c r="F100" s="74">
        <v>40969</v>
      </c>
      <c r="G100" s="75" t="str">
        <f>IF(stdProdLT(Main[[#This Row],[Comments]])=0.1,"N/A",IF(stdProdLT(Main[[#This Row],[Comments]])=0,"",stdProdLT(Main[[#This Row],[Comments]])))</f>
        <v>N/A</v>
      </c>
      <c r="H100" s="76">
        <f>IF(AND(Main[[#This Row],[In Stock Date]]&lt;&gt;"",Main[[#This Row],[Revised Due Date]]&lt;&gt;""),Main[[#This Row],[In Stock Date]]-Main[[#This Row],[Revised Due Date]],"")</f>
        <v>13</v>
      </c>
      <c r="I100" s="72" t="s">
        <v>69</v>
      </c>
      <c r="J100" s="72" t="s">
        <v>28</v>
      </c>
      <c r="K100" s="72" t="s">
        <v>1941</v>
      </c>
      <c r="L100" s="74">
        <v>40849</v>
      </c>
      <c r="M100" s="77">
        <f>IF(Main[[#This Row],[Tech Start Date]]&lt;1/1/1990,"",IF(Main[[#This Row],[Class]]="C",WORKDAY(Main[[#This Row],[Tech Start Date]],9),IF(Main[[#This Row],[Class]]="B", WORKDAY(Main[[#This Row],[Tech Start Date]],6),IF(Main[[#This Row],[Class]]="A",WORKDAY(Main[[#This Row],[Tech Start Date]],2),""))))</f>
        <v>40851</v>
      </c>
      <c r="N100" s="77">
        <f>IF(Main[[#This Row],[Tech Start Date]]&lt;1/1/1990,"",IF(Main[[#This Row],[Class]]="C",WORKDAY(Main[[#This Row],[Tech Start Date]],19),IF(Main[[#This Row],[Class]]="B", WORKDAY(Main[[#This Row],[Tech Start Date]],12),IF(Main[[#This Row],[Class]]="A",WORKDAY(Main[[#This Row],[Tech Start Date]],4),""))))</f>
        <v>40855</v>
      </c>
      <c r="O100" s="77">
        <f>IF(Main[[#This Row],[Tech Start Date]]&lt;1/1/1990,"",IF(Main[[#This Row],[Class]]="C",WORKDAY(Main[[#This Row],[Tech Start Date]],23),IF(Main[[#This Row],[Class]]="B", WORKDAY(Main[[#This Row],[Tech Start Date]],15),IF(Main[[#This Row],[Class]]="A",WORKDAY(Main[[#This Row],[Tech Start Date]],5),""))))</f>
        <v>40856</v>
      </c>
      <c r="P100" s="77">
        <f>IF(Main[[#This Row],[Tech Start Date]]&lt;1/1/1990,"",IF(Main[[#This Row],[Class]]="C",WORKDAY(Main[[#This Row],[Tech Start Date]],28),IF(Main[[#This Row],[Class]]="B", WORKDAY(Main[[#This Row],[Tech Start Date]],19),IF(Main[[#This Row],[Class]]="A",WORKDAY(Main[[#This Row],[Tech Start Date]],9),""))))</f>
        <v>40862</v>
      </c>
      <c r="Q100" s="74"/>
      <c r="R100" s="74">
        <v>40956</v>
      </c>
      <c r="S100" s="72" t="s">
        <v>11</v>
      </c>
      <c r="T100" s="80" t="s">
        <v>3456</v>
      </c>
      <c r="U100" s="72" t="s">
        <v>29</v>
      </c>
      <c r="V100" s="72" t="s">
        <v>1942</v>
      </c>
      <c r="W100" s="72" t="s">
        <v>1936</v>
      </c>
      <c r="X100" s="72" t="s">
        <v>2925</v>
      </c>
      <c r="Y100" s="72" t="s">
        <v>3058</v>
      </c>
      <c r="Z100" s="72" t="s">
        <v>2949</v>
      </c>
      <c r="AA100" s="147" t="s">
        <v>2925</v>
      </c>
    </row>
    <row r="101" spans="1:27" ht="18.600000000000001" customHeight="1">
      <c r="A101" s="140">
        <f>IF(priority(Main[[#This Row],[Comments]])&lt;&gt;0, priority(Main[[#This Row],[Comments]]),"")</f>
        <v>36</v>
      </c>
      <c r="B101" s="90" t="s">
        <v>1222</v>
      </c>
      <c r="C101" s="72" t="s">
        <v>4</v>
      </c>
      <c r="D101" s="73" t="s">
        <v>271</v>
      </c>
      <c r="E101" s="74">
        <v>40681.617800925924</v>
      </c>
      <c r="F101" s="74"/>
      <c r="G101" s="75" t="str">
        <f>IF(stdProdLT(Main[[#This Row],[Comments]])=0.1,"N/A",IF(stdProdLT(Main[[#This Row],[Comments]])=0,"",stdProdLT(Main[[#This Row],[Comments]])))</f>
        <v/>
      </c>
      <c r="H101" s="76" t="str">
        <f>IF(AND(Main[[#This Row],[In Stock Date]]&lt;&gt;"",Main[[#This Row],[Revised Due Date]]&lt;&gt;""),Main[[#This Row],[In Stock Date]]-Main[[#This Row],[Revised Due Date]],"")</f>
        <v/>
      </c>
      <c r="I101" s="72" t="s">
        <v>4</v>
      </c>
      <c r="J101" s="72" t="s">
        <v>21</v>
      </c>
      <c r="K101" s="72" t="s">
        <v>4</v>
      </c>
      <c r="L101" s="74"/>
      <c r="M101" s="77" t="str">
        <f>IF(Main[[#This Row],[Tech Start Date]]&lt;1/1/1990,"",IF(Main[[#This Row],[Class]]="C",WORKDAY(Main[[#This Row],[Tech Start Date]],9),IF(Main[[#This Row],[Class]]="B", WORKDAY(Main[[#This Row],[Tech Start Date]],6),IF(Main[[#This Row],[Class]]="A",WORKDAY(Main[[#This Row],[Tech Start Date]],2),""))))</f>
        <v/>
      </c>
      <c r="N101" s="77" t="str">
        <f>IF(Main[[#This Row],[Tech Start Date]]&lt;1/1/1990,"",IF(Main[[#This Row],[Class]]="C",WORKDAY(Main[[#This Row],[Tech Start Date]],19),IF(Main[[#This Row],[Class]]="B", WORKDAY(Main[[#This Row],[Tech Start Date]],12),IF(Main[[#This Row],[Class]]="A",WORKDAY(Main[[#This Row],[Tech Start Date]],4),""))))</f>
        <v/>
      </c>
      <c r="O101" s="77" t="str">
        <f>IF(Main[[#This Row],[Tech Start Date]]&lt;1/1/1990,"",IF(Main[[#This Row],[Class]]="C",WORKDAY(Main[[#This Row],[Tech Start Date]],23),IF(Main[[#This Row],[Class]]="B", WORKDAY(Main[[#This Row],[Tech Start Date]],15),IF(Main[[#This Row],[Class]]="A",WORKDAY(Main[[#This Row],[Tech Start Date]],5),""))))</f>
        <v/>
      </c>
      <c r="P101" s="77" t="str">
        <f>IF(Main[[#This Row],[Tech Start Date]]&lt;1/1/1990,"",IF(Main[[#This Row],[Class]]="C",WORKDAY(Main[[#This Row],[Tech Start Date]],28),IF(Main[[#This Row],[Class]]="B", WORKDAY(Main[[#This Row],[Tech Start Date]],19),IF(Main[[#This Row],[Class]]="A",WORKDAY(Main[[#This Row],[Tech Start Date]],9),""))))</f>
        <v/>
      </c>
      <c r="Q101" s="74">
        <v>40710</v>
      </c>
      <c r="R101" s="74"/>
      <c r="S101" s="72" t="s">
        <v>6</v>
      </c>
      <c r="T101" s="80" t="s">
        <v>2299</v>
      </c>
      <c r="U101" s="72" t="s">
        <v>539</v>
      </c>
      <c r="V101" s="72" t="s">
        <v>1932</v>
      </c>
      <c r="W101" s="72" t="s">
        <v>1943</v>
      </c>
      <c r="X101" s="72" t="s">
        <v>982</v>
      </c>
      <c r="Y101" s="72" t="s">
        <v>3184</v>
      </c>
      <c r="Z101" s="72" t="s">
        <v>4</v>
      </c>
      <c r="AA101" s="147" t="s">
        <v>982</v>
      </c>
    </row>
    <row r="102" spans="1:27" ht="18.600000000000001" customHeight="1">
      <c r="A102" s="140">
        <f>IF(priority(Main[[#This Row],[Comments]])&lt;&gt;0, priority(Main[[#This Row],[Comments]]),"")</f>
        <v>37</v>
      </c>
      <c r="B102" s="90" t="s">
        <v>1186</v>
      </c>
      <c r="C102" s="72" t="s">
        <v>4</v>
      </c>
      <c r="D102" s="73" t="s">
        <v>230</v>
      </c>
      <c r="E102" s="74">
        <v>40567.332951388889</v>
      </c>
      <c r="F102" s="74">
        <v>40602</v>
      </c>
      <c r="G102" s="75" t="str">
        <f>IF(stdProdLT(Main[[#This Row],[Comments]])=0.1,"N/A",IF(stdProdLT(Main[[#This Row],[Comments]])=0,"",stdProdLT(Main[[#This Row],[Comments]])))</f>
        <v/>
      </c>
      <c r="H102" s="76" t="str">
        <f>IF(AND(Main[[#This Row],[In Stock Date]]&lt;&gt;"",Main[[#This Row],[Revised Due Date]]&lt;&gt;""),Main[[#This Row],[In Stock Date]]-Main[[#This Row],[Revised Due Date]],"")</f>
        <v/>
      </c>
      <c r="I102" s="72" t="s">
        <v>923</v>
      </c>
      <c r="J102" s="72" t="s">
        <v>52</v>
      </c>
      <c r="K102" s="72" t="s">
        <v>1941</v>
      </c>
      <c r="L102" s="74"/>
      <c r="M102" s="77" t="str">
        <f>IF(Main[[#This Row],[Tech Start Date]]&lt;1/1/1990,"",IF(Main[[#This Row],[Class]]="C",WORKDAY(Main[[#This Row],[Tech Start Date]],9),IF(Main[[#This Row],[Class]]="B", WORKDAY(Main[[#This Row],[Tech Start Date]],6),IF(Main[[#This Row],[Class]]="A",WORKDAY(Main[[#This Row],[Tech Start Date]],2),""))))</f>
        <v/>
      </c>
      <c r="N102" s="77" t="str">
        <f>IF(Main[[#This Row],[Tech Start Date]]&lt;1/1/1990,"",IF(Main[[#This Row],[Class]]="C",WORKDAY(Main[[#This Row],[Tech Start Date]],19),IF(Main[[#This Row],[Class]]="B", WORKDAY(Main[[#This Row],[Tech Start Date]],12),IF(Main[[#This Row],[Class]]="A",WORKDAY(Main[[#This Row],[Tech Start Date]],4),""))))</f>
        <v/>
      </c>
      <c r="O102" s="77" t="str">
        <f>IF(Main[[#This Row],[Tech Start Date]]&lt;1/1/1990,"",IF(Main[[#This Row],[Class]]="C",WORKDAY(Main[[#This Row],[Tech Start Date]],23),IF(Main[[#This Row],[Class]]="B", WORKDAY(Main[[#This Row],[Tech Start Date]],15),IF(Main[[#This Row],[Class]]="A",WORKDAY(Main[[#This Row],[Tech Start Date]],5),""))))</f>
        <v/>
      </c>
      <c r="P102" s="77" t="str">
        <f>IF(Main[[#This Row],[Tech Start Date]]&lt;1/1/1990,"",IF(Main[[#This Row],[Class]]="C",WORKDAY(Main[[#This Row],[Tech Start Date]],28),IF(Main[[#This Row],[Class]]="B", WORKDAY(Main[[#This Row],[Tech Start Date]],19),IF(Main[[#This Row],[Class]]="A",WORKDAY(Main[[#This Row],[Tech Start Date]],9),""))))</f>
        <v/>
      </c>
      <c r="Q102" s="74">
        <v>40602</v>
      </c>
      <c r="R102" s="74"/>
      <c r="S102" s="72" t="s">
        <v>6</v>
      </c>
      <c r="T102" s="80" t="s">
        <v>2052</v>
      </c>
      <c r="U102" s="72" t="s">
        <v>29</v>
      </c>
      <c r="V102" s="72" t="s">
        <v>1932</v>
      </c>
      <c r="W102" s="72" t="s">
        <v>1934</v>
      </c>
      <c r="X102" s="72" t="s">
        <v>126</v>
      </c>
      <c r="Y102" s="72" t="s">
        <v>3139</v>
      </c>
      <c r="Z102" s="72" t="s">
        <v>129</v>
      </c>
      <c r="AA102" s="147" t="s">
        <v>126</v>
      </c>
    </row>
    <row r="103" spans="1:27" ht="18.600000000000001" customHeight="1">
      <c r="A103" s="140">
        <f>IF(priority(Main[[#This Row],[Comments]])&lt;&gt;0, priority(Main[[#This Row],[Comments]]),"")</f>
        <v>38</v>
      </c>
      <c r="B103" s="90" t="s">
        <v>1240</v>
      </c>
      <c r="C103" s="72" t="s">
        <v>4</v>
      </c>
      <c r="D103" s="73" t="s">
        <v>2396</v>
      </c>
      <c r="E103" s="74">
        <v>40337.30976851852</v>
      </c>
      <c r="F103" s="74"/>
      <c r="G103" s="75" t="str">
        <f>IF(stdProdLT(Main[[#This Row],[Comments]])=0.1,"N/A",IF(stdProdLT(Main[[#This Row],[Comments]])=0,"",stdProdLT(Main[[#This Row],[Comments]])))</f>
        <v/>
      </c>
      <c r="H103" s="76" t="str">
        <f>IF(AND(Main[[#This Row],[In Stock Date]]&lt;&gt;"",Main[[#This Row],[Revised Due Date]]&lt;&gt;""),Main[[#This Row],[In Stock Date]]-Main[[#This Row],[Revised Due Date]],"")</f>
        <v/>
      </c>
      <c r="I103" s="72" t="s">
        <v>923</v>
      </c>
      <c r="J103" s="72" t="s">
        <v>52</v>
      </c>
      <c r="K103" s="72" t="s">
        <v>4</v>
      </c>
      <c r="L103" s="74"/>
      <c r="M103" s="77" t="str">
        <f>IF(Main[[#This Row],[Tech Start Date]]&lt;1/1/1990,"",IF(Main[[#This Row],[Class]]="C",WORKDAY(Main[[#This Row],[Tech Start Date]],9),IF(Main[[#This Row],[Class]]="B", WORKDAY(Main[[#This Row],[Tech Start Date]],6),IF(Main[[#This Row],[Class]]="A",WORKDAY(Main[[#This Row],[Tech Start Date]],2),""))))</f>
        <v/>
      </c>
      <c r="N103" s="77" t="str">
        <f>IF(Main[[#This Row],[Tech Start Date]]&lt;1/1/1990,"",IF(Main[[#This Row],[Class]]="C",WORKDAY(Main[[#This Row],[Tech Start Date]],19),IF(Main[[#This Row],[Class]]="B", WORKDAY(Main[[#This Row],[Tech Start Date]],12),IF(Main[[#This Row],[Class]]="A",WORKDAY(Main[[#This Row],[Tech Start Date]],4),""))))</f>
        <v/>
      </c>
      <c r="O103" s="77" t="str">
        <f>IF(Main[[#This Row],[Tech Start Date]]&lt;1/1/1990,"",IF(Main[[#This Row],[Class]]="C",WORKDAY(Main[[#This Row],[Tech Start Date]],23),IF(Main[[#This Row],[Class]]="B", WORKDAY(Main[[#This Row],[Tech Start Date]],15),IF(Main[[#This Row],[Class]]="A",WORKDAY(Main[[#This Row],[Tech Start Date]],5),""))))</f>
        <v/>
      </c>
      <c r="P103" s="77" t="str">
        <f>IF(Main[[#This Row],[Tech Start Date]]&lt;1/1/1990,"",IF(Main[[#This Row],[Class]]="C",WORKDAY(Main[[#This Row],[Tech Start Date]],28),IF(Main[[#This Row],[Class]]="B", WORKDAY(Main[[#This Row],[Tech Start Date]],19),IF(Main[[#This Row],[Class]]="A",WORKDAY(Main[[#This Row],[Tech Start Date]],9),""))))</f>
        <v/>
      </c>
      <c r="Q103" s="74">
        <v>40344</v>
      </c>
      <c r="R103" s="74"/>
      <c r="S103" s="72" t="s">
        <v>6</v>
      </c>
      <c r="T103" s="80" t="s">
        <v>2053</v>
      </c>
      <c r="U103" s="72" t="s">
        <v>29</v>
      </c>
      <c r="V103" s="72" t="s">
        <v>1932</v>
      </c>
      <c r="W103" s="72" t="s">
        <v>1936</v>
      </c>
      <c r="X103" s="72" t="s">
        <v>2950</v>
      </c>
      <c r="Y103" s="72" t="s">
        <v>3087</v>
      </c>
      <c r="Z103" s="72" t="s">
        <v>129</v>
      </c>
      <c r="AA103" s="147" t="s">
        <v>2950</v>
      </c>
    </row>
    <row r="104" spans="1:27" ht="18.600000000000001" customHeight="1">
      <c r="A104" s="140">
        <f>IF(priority(Main[[#This Row],[Comments]])&lt;&gt;0, priority(Main[[#This Row],[Comments]]),"")</f>
        <v>39</v>
      </c>
      <c r="B104" s="90" t="s">
        <v>1417</v>
      </c>
      <c r="C104" s="72" t="s">
        <v>37</v>
      </c>
      <c r="D104" s="73" t="s">
        <v>490</v>
      </c>
      <c r="E104" s="74">
        <v>40682.478391203702</v>
      </c>
      <c r="F104" s="74"/>
      <c r="G104" s="75" t="str">
        <f>IF(stdProdLT(Main[[#This Row],[Comments]])=0.1,"N/A",IF(stdProdLT(Main[[#This Row],[Comments]])=0,"",stdProdLT(Main[[#This Row],[Comments]])))</f>
        <v/>
      </c>
      <c r="H104" s="76" t="str">
        <f>IF(AND(Main[[#This Row],[In Stock Date]]&lt;&gt;"",Main[[#This Row],[Revised Due Date]]&lt;&gt;""),Main[[#This Row],[In Stock Date]]-Main[[#This Row],[Revised Due Date]],"")</f>
        <v/>
      </c>
      <c r="I104" s="72" t="s">
        <v>4</v>
      </c>
      <c r="J104" s="72" t="s">
        <v>21</v>
      </c>
      <c r="K104" s="72" t="s">
        <v>4</v>
      </c>
      <c r="L104" s="74"/>
      <c r="M104" s="77" t="str">
        <f>IF(Main[[#This Row],[Tech Start Date]]&lt;1/1/1990,"",IF(Main[[#This Row],[Class]]="C",WORKDAY(Main[[#This Row],[Tech Start Date]],9),IF(Main[[#This Row],[Class]]="B", WORKDAY(Main[[#This Row],[Tech Start Date]],6),IF(Main[[#This Row],[Class]]="A",WORKDAY(Main[[#This Row],[Tech Start Date]],2),""))))</f>
        <v/>
      </c>
      <c r="N104" s="77" t="str">
        <f>IF(Main[[#This Row],[Tech Start Date]]&lt;1/1/1990,"",IF(Main[[#This Row],[Class]]="C",WORKDAY(Main[[#This Row],[Tech Start Date]],19),IF(Main[[#This Row],[Class]]="B", WORKDAY(Main[[#This Row],[Tech Start Date]],12),IF(Main[[#This Row],[Class]]="A",WORKDAY(Main[[#This Row],[Tech Start Date]],4),""))))</f>
        <v/>
      </c>
      <c r="O104" s="77" t="str">
        <f>IF(Main[[#This Row],[Tech Start Date]]&lt;1/1/1990,"",IF(Main[[#This Row],[Class]]="C",WORKDAY(Main[[#This Row],[Tech Start Date]],23),IF(Main[[#This Row],[Class]]="B", WORKDAY(Main[[#This Row],[Tech Start Date]],15),IF(Main[[#This Row],[Class]]="A",WORKDAY(Main[[#This Row],[Tech Start Date]],5),""))))</f>
        <v/>
      </c>
      <c r="P104" s="77" t="str">
        <f>IF(Main[[#This Row],[Tech Start Date]]&lt;1/1/1990,"",IF(Main[[#This Row],[Class]]="C",WORKDAY(Main[[#This Row],[Tech Start Date]],28),IF(Main[[#This Row],[Class]]="B", WORKDAY(Main[[#This Row],[Tech Start Date]],19),IF(Main[[#This Row],[Class]]="A",WORKDAY(Main[[#This Row],[Tech Start Date]],9),""))))</f>
        <v/>
      </c>
      <c r="Q104" s="74">
        <v>40696</v>
      </c>
      <c r="R104" s="74"/>
      <c r="S104" s="72" t="s">
        <v>6</v>
      </c>
      <c r="T104" s="80" t="s">
        <v>2054</v>
      </c>
      <c r="U104" s="72" t="s">
        <v>539</v>
      </c>
      <c r="V104" s="72" t="s">
        <v>1932</v>
      </c>
      <c r="W104" s="72" t="s">
        <v>1943</v>
      </c>
      <c r="X104" s="72" t="s">
        <v>982</v>
      </c>
      <c r="Y104" s="72" t="s">
        <v>3184</v>
      </c>
      <c r="Z104" s="72" t="s">
        <v>4</v>
      </c>
      <c r="AA104" s="147" t="s">
        <v>982</v>
      </c>
    </row>
    <row r="105" spans="1:27" ht="18.600000000000001" customHeight="1">
      <c r="A105" s="140">
        <f>IF(priority(Main[[#This Row],[Comments]])&lt;&gt;0, priority(Main[[#This Row],[Comments]]),"")</f>
        <v>40</v>
      </c>
      <c r="B105" s="90" t="s">
        <v>1456</v>
      </c>
      <c r="C105" s="72" t="s">
        <v>4</v>
      </c>
      <c r="D105" s="73" t="s">
        <v>536</v>
      </c>
      <c r="E105" s="74">
        <v>40358.575729166667</v>
      </c>
      <c r="F105" s="74"/>
      <c r="G105" s="75" t="str">
        <f>IF(stdProdLT(Main[[#This Row],[Comments]])=0.1,"N/A",IF(stdProdLT(Main[[#This Row],[Comments]])=0,"",stdProdLT(Main[[#This Row],[Comments]])))</f>
        <v/>
      </c>
      <c r="H105" s="76" t="str">
        <f>IF(AND(Main[[#This Row],[In Stock Date]]&lt;&gt;"",Main[[#This Row],[Revised Due Date]]&lt;&gt;""),Main[[#This Row],[In Stock Date]]-Main[[#This Row],[Revised Due Date]],"")</f>
        <v/>
      </c>
      <c r="I105" s="72" t="s">
        <v>4</v>
      </c>
      <c r="J105" s="72" t="s">
        <v>21</v>
      </c>
      <c r="K105" s="81" t="s">
        <v>4</v>
      </c>
      <c r="L105" s="74"/>
      <c r="M105" s="77" t="str">
        <f>IF(Main[[#This Row],[Tech Start Date]]&lt;1/1/1990,"",IF(Main[[#This Row],[Class]]="C",WORKDAY(Main[[#This Row],[Tech Start Date]],9),IF(Main[[#This Row],[Class]]="B", WORKDAY(Main[[#This Row],[Tech Start Date]],6),IF(Main[[#This Row],[Class]]="A",WORKDAY(Main[[#This Row],[Tech Start Date]],2),""))))</f>
        <v/>
      </c>
      <c r="N105" s="77" t="str">
        <f>IF(Main[[#This Row],[Tech Start Date]]&lt;1/1/1990,"",IF(Main[[#This Row],[Class]]="C",WORKDAY(Main[[#This Row],[Tech Start Date]],19),IF(Main[[#This Row],[Class]]="B", WORKDAY(Main[[#This Row],[Tech Start Date]],12),IF(Main[[#This Row],[Class]]="A",WORKDAY(Main[[#This Row],[Tech Start Date]],4),""))))</f>
        <v/>
      </c>
      <c r="O105" s="77" t="str">
        <f>IF(Main[[#This Row],[Tech Start Date]]&lt;1/1/1990,"",IF(Main[[#This Row],[Class]]="C",WORKDAY(Main[[#This Row],[Tech Start Date]],23),IF(Main[[#This Row],[Class]]="B", WORKDAY(Main[[#This Row],[Tech Start Date]],15),IF(Main[[#This Row],[Class]]="A",WORKDAY(Main[[#This Row],[Tech Start Date]],5),""))))</f>
        <v/>
      </c>
      <c r="P105" s="77" t="str">
        <f>IF(Main[[#This Row],[Tech Start Date]]&lt;1/1/1990,"",IF(Main[[#This Row],[Class]]="C",WORKDAY(Main[[#This Row],[Tech Start Date]],28),IF(Main[[#This Row],[Class]]="B", WORKDAY(Main[[#This Row],[Tech Start Date]],19),IF(Main[[#This Row],[Class]]="A",WORKDAY(Main[[#This Row],[Tech Start Date]],9),""))))</f>
        <v/>
      </c>
      <c r="Q105" s="74">
        <v>40389</v>
      </c>
      <c r="R105" s="74"/>
      <c r="S105" s="72" t="s">
        <v>6</v>
      </c>
      <c r="T105" s="80" t="s">
        <v>2055</v>
      </c>
      <c r="U105" s="72" t="s">
        <v>7</v>
      </c>
      <c r="V105" s="72" t="s">
        <v>1932</v>
      </c>
      <c r="W105" s="72" t="s">
        <v>1936</v>
      </c>
      <c r="X105" s="72" t="s">
        <v>2903</v>
      </c>
      <c r="Y105" s="72" t="s">
        <v>3019</v>
      </c>
      <c r="Z105" s="72" t="s">
        <v>129</v>
      </c>
      <c r="AA105" s="147" t="s">
        <v>2903</v>
      </c>
    </row>
    <row r="106" spans="1:27" ht="18.600000000000001" customHeight="1">
      <c r="A106" s="140">
        <f>IF(priority(Main[[#This Row],[Comments]])&lt;&gt;0, priority(Main[[#This Row],[Comments]]),"")</f>
        <v>41</v>
      </c>
      <c r="B106" s="90" t="s">
        <v>2019</v>
      </c>
      <c r="C106" s="72" t="s">
        <v>4</v>
      </c>
      <c r="D106" s="73" t="s">
        <v>2020</v>
      </c>
      <c r="E106" s="74">
        <v>40738.567210648151</v>
      </c>
      <c r="F106" s="74"/>
      <c r="G106" s="75" t="str">
        <f>IF(stdProdLT(Main[[#This Row],[Comments]])=0.1,"N/A",IF(stdProdLT(Main[[#This Row],[Comments]])=0,"",stdProdLT(Main[[#This Row],[Comments]])))</f>
        <v/>
      </c>
      <c r="H106" s="76" t="str">
        <f>IF(AND(Main[[#This Row],[In Stock Date]]&lt;&gt;"",Main[[#This Row],[Revised Due Date]]&lt;&gt;""),Main[[#This Row],[In Stock Date]]-Main[[#This Row],[Revised Due Date]],"")</f>
        <v/>
      </c>
      <c r="I106" s="72" t="s">
        <v>923</v>
      </c>
      <c r="J106" s="72" t="s">
        <v>52</v>
      </c>
      <c r="K106" s="72" t="s">
        <v>4</v>
      </c>
      <c r="L106" s="74"/>
      <c r="M106" s="77" t="str">
        <f>IF(Main[[#This Row],[Tech Start Date]]&lt;1/1/1990,"",IF(Main[[#This Row],[Class]]="C",WORKDAY(Main[[#This Row],[Tech Start Date]],9),IF(Main[[#This Row],[Class]]="B", WORKDAY(Main[[#This Row],[Tech Start Date]],6),IF(Main[[#This Row],[Class]]="A",WORKDAY(Main[[#This Row],[Tech Start Date]],2),""))))</f>
        <v/>
      </c>
      <c r="N106" s="77" t="str">
        <f>IF(Main[[#This Row],[Tech Start Date]]&lt;1/1/1990,"",IF(Main[[#This Row],[Class]]="C",WORKDAY(Main[[#This Row],[Tech Start Date]],19),IF(Main[[#This Row],[Class]]="B", WORKDAY(Main[[#This Row],[Tech Start Date]],12),IF(Main[[#This Row],[Class]]="A",WORKDAY(Main[[#This Row],[Tech Start Date]],4),""))))</f>
        <v/>
      </c>
      <c r="O106" s="77" t="str">
        <f>IF(Main[[#This Row],[Tech Start Date]]&lt;1/1/1990,"",IF(Main[[#This Row],[Class]]="C",WORKDAY(Main[[#This Row],[Tech Start Date]],23),IF(Main[[#This Row],[Class]]="B", WORKDAY(Main[[#This Row],[Tech Start Date]],15),IF(Main[[#This Row],[Class]]="A",WORKDAY(Main[[#This Row],[Tech Start Date]],5),""))))</f>
        <v/>
      </c>
      <c r="P106" s="77" t="str">
        <f>IF(Main[[#This Row],[Tech Start Date]]&lt;1/1/1990,"",IF(Main[[#This Row],[Class]]="C",WORKDAY(Main[[#This Row],[Tech Start Date]],28),IF(Main[[#This Row],[Class]]="B", WORKDAY(Main[[#This Row],[Tech Start Date]],19),IF(Main[[#This Row],[Class]]="A",WORKDAY(Main[[#This Row],[Tech Start Date]],9),""))))</f>
        <v/>
      </c>
      <c r="Q106" s="74">
        <v>40749</v>
      </c>
      <c r="R106" s="74"/>
      <c r="S106" s="72" t="s">
        <v>6</v>
      </c>
      <c r="T106" s="80" t="s">
        <v>2057</v>
      </c>
      <c r="U106" s="72" t="s">
        <v>29</v>
      </c>
      <c r="V106" s="72" t="s">
        <v>1932</v>
      </c>
      <c r="W106" s="72" t="s">
        <v>1938</v>
      </c>
      <c r="X106" s="72" t="s">
        <v>923</v>
      </c>
      <c r="Y106" s="72" t="s">
        <v>3136</v>
      </c>
      <c r="Z106" s="72" t="s">
        <v>129</v>
      </c>
      <c r="AA106" s="147" t="s">
        <v>2936</v>
      </c>
    </row>
    <row r="107" spans="1:27" ht="18.600000000000001" customHeight="1">
      <c r="A107" s="140">
        <f>IF(priority(Main[[#This Row],[Comments]])&lt;&gt;0, priority(Main[[#This Row],[Comments]]),"")</f>
        <v>42</v>
      </c>
      <c r="B107" s="90" t="s">
        <v>3339</v>
      </c>
      <c r="C107" s="72" t="s">
        <v>3308</v>
      </c>
      <c r="D107" s="73" t="s">
        <v>3296</v>
      </c>
      <c r="E107" s="74"/>
      <c r="F107" s="74">
        <v>41153</v>
      </c>
      <c r="G107" s="75">
        <f>IF(stdProdLT(Main[[#This Row],[Comments]])=0.1,"N/A",IF(stdProdLT(Main[[#This Row],[Comments]])=0,"",stdProdLT(Main[[#This Row],[Comments]])))</f>
        <v>140</v>
      </c>
      <c r="H107" s="76" t="str">
        <f>IF(AND(Main[[#This Row],[In Stock Date]]&lt;&gt;"",Main[[#This Row],[Revised Due Date]]&lt;&gt;""),Main[[#This Row],[In Stock Date]]-Main[[#This Row],[Revised Due Date]],"")</f>
        <v/>
      </c>
      <c r="I107" s="72" t="s">
        <v>4</v>
      </c>
      <c r="J107" s="72" t="s">
        <v>4</v>
      </c>
      <c r="K107" s="72" t="s">
        <v>4</v>
      </c>
      <c r="L107" s="74"/>
      <c r="M107" s="77" t="str">
        <f>IF(Main[[#This Row],[Tech Start Date]]&lt;1/1/1990,"",IF(Main[[#This Row],[Class]]="C",WORKDAY(Main[[#This Row],[Tech Start Date]],9),IF(Main[[#This Row],[Class]]="B", WORKDAY(Main[[#This Row],[Tech Start Date]],6),IF(Main[[#This Row],[Class]]="A",WORKDAY(Main[[#This Row],[Tech Start Date]],2),""))))</f>
        <v/>
      </c>
      <c r="N107" s="77" t="str">
        <f>IF(Main[[#This Row],[Tech Start Date]]&lt;1/1/1990,"",IF(Main[[#This Row],[Class]]="C",WORKDAY(Main[[#This Row],[Tech Start Date]],19),IF(Main[[#This Row],[Class]]="B", WORKDAY(Main[[#This Row],[Tech Start Date]],12),IF(Main[[#This Row],[Class]]="A",WORKDAY(Main[[#This Row],[Tech Start Date]],4),""))))</f>
        <v/>
      </c>
      <c r="O107" s="77" t="str">
        <f>IF(Main[[#This Row],[Tech Start Date]]&lt;1/1/1990,"",IF(Main[[#This Row],[Class]]="C",WORKDAY(Main[[#This Row],[Tech Start Date]],23),IF(Main[[#This Row],[Class]]="B", WORKDAY(Main[[#This Row],[Tech Start Date]],15),IF(Main[[#This Row],[Class]]="A",WORKDAY(Main[[#This Row],[Tech Start Date]],5),""))))</f>
        <v/>
      </c>
      <c r="P107" s="77" t="str">
        <f>IF(Main[[#This Row],[Tech Start Date]]&lt;1/1/1990,"",IF(Main[[#This Row],[Class]]="C",WORKDAY(Main[[#This Row],[Tech Start Date]],28),IF(Main[[#This Row],[Class]]="B", WORKDAY(Main[[#This Row],[Tech Start Date]],19),IF(Main[[#This Row],[Class]]="A",WORKDAY(Main[[#This Row],[Tech Start Date]],9),""))))</f>
        <v/>
      </c>
      <c r="Q107" s="74">
        <v>40982</v>
      </c>
      <c r="R107" s="74"/>
      <c r="S107" s="72" t="s">
        <v>11</v>
      </c>
      <c r="T107" s="80" t="s">
        <v>3309</v>
      </c>
      <c r="U107" s="72" t="s">
        <v>12</v>
      </c>
      <c r="V107" s="72" t="s">
        <v>1942</v>
      </c>
      <c r="W107" s="72" t="s">
        <v>1938</v>
      </c>
      <c r="X107" s="72" t="s">
        <v>2932</v>
      </c>
      <c r="Y107" s="72" t="s">
        <v>4</v>
      </c>
      <c r="Z107" s="72" t="s">
        <v>4</v>
      </c>
      <c r="AA107" s="147" t="s">
        <v>2930</v>
      </c>
    </row>
    <row r="108" spans="1:27" ht="18.600000000000001" customHeight="1">
      <c r="A108" s="140">
        <f>IF(priority(Main[[#This Row],[Comments]])&lt;&gt;0, priority(Main[[#This Row],[Comments]]),"")</f>
        <v>42</v>
      </c>
      <c r="B108" s="90" t="s">
        <v>1904</v>
      </c>
      <c r="C108" s="72" t="s">
        <v>116</v>
      </c>
      <c r="D108" s="73" t="s">
        <v>2346</v>
      </c>
      <c r="E108" s="74">
        <v>40641.274907407409</v>
      </c>
      <c r="F108" s="74">
        <v>40714</v>
      </c>
      <c r="G108" s="75" t="str">
        <f>IF(stdProdLT(Main[[#This Row],[Comments]])=0.1,"N/A",IF(stdProdLT(Main[[#This Row],[Comments]])=0,"",stdProdLT(Main[[#This Row],[Comments]])))</f>
        <v/>
      </c>
      <c r="H108" s="76">
        <f>IF(AND(Main[[#This Row],[In Stock Date]]&lt;&gt;"",Main[[#This Row],[Revised Due Date]]&lt;&gt;""),Main[[#This Row],[In Stock Date]]-Main[[#This Row],[Revised Due Date]],"")</f>
        <v>0</v>
      </c>
      <c r="I108" s="72" t="s">
        <v>923</v>
      </c>
      <c r="J108" s="72" t="s">
        <v>21</v>
      </c>
      <c r="K108" s="72" t="s">
        <v>1945</v>
      </c>
      <c r="L108" s="74">
        <v>40679</v>
      </c>
      <c r="M108" s="77">
        <f>IF(Main[[#This Row],[Tech Start Date]]&lt;1/1/1990,"",IF(Main[[#This Row],[Class]]="C",WORKDAY(Main[[#This Row],[Tech Start Date]],9),IF(Main[[#This Row],[Class]]="B", WORKDAY(Main[[#This Row],[Tech Start Date]],6),IF(Main[[#This Row],[Class]]="A",WORKDAY(Main[[#This Row],[Tech Start Date]],2),""))))</f>
        <v>40690</v>
      </c>
      <c r="N108" s="77">
        <f>IF(Main[[#This Row],[Tech Start Date]]&lt;1/1/1990,"",IF(Main[[#This Row],[Class]]="C",WORKDAY(Main[[#This Row],[Tech Start Date]],19),IF(Main[[#This Row],[Class]]="B", WORKDAY(Main[[#This Row],[Tech Start Date]],12),IF(Main[[#This Row],[Class]]="A",WORKDAY(Main[[#This Row],[Tech Start Date]],4),""))))</f>
        <v>40704</v>
      </c>
      <c r="O108" s="77">
        <f>IF(Main[[#This Row],[Tech Start Date]]&lt;1/1/1990,"",IF(Main[[#This Row],[Class]]="C",WORKDAY(Main[[#This Row],[Tech Start Date]],23),IF(Main[[#This Row],[Class]]="B", WORKDAY(Main[[#This Row],[Tech Start Date]],15),IF(Main[[#This Row],[Class]]="A",WORKDAY(Main[[#This Row],[Tech Start Date]],5),""))))</f>
        <v>40710</v>
      </c>
      <c r="P108" s="77">
        <f>IF(Main[[#This Row],[Tech Start Date]]&lt;1/1/1990,"",IF(Main[[#This Row],[Class]]="C",WORKDAY(Main[[#This Row],[Tech Start Date]],28),IF(Main[[#This Row],[Class]]="B", WORKDAY(Main[[#This Row],[Tech Start Date]],19),IF(Main[[#This Row],[Class]]="A",WORKDAY(Main[[#This Row],[Tech Start Date]],9),""))))</f>
        <v>40717</v>
      </c>
      <c r="Q108" s="74">
        <v>40714</v>
      </c>
      <c r="R108" s="74">
        <v>40714</v>
      </c>
      <c r="S108" s="72" t="s">
        <v>6</v>
      </c>
      <c r="T108" s="80" t="s">
        <v>2058</v>
      </c>
      <c r="U108" s="72" t="s">
        <v>29</v>
      </c>
      <c r="V108" s="72" t="s">
        <v>1932</v>
      </c>
      <c r="W108" s="72" t="s">
        <v>1934</v>
      </c>
      <c r="X108" s="72" t="s">
        <v>126</v>
      </c>
      <c r="Y108" s="72" t="s">
        <v>3120</v>
      </c>
      <c r="Z108" s="72" t="s">
        <v>129</v>
      </c>
      <c r="AA108" s="147" t="s">
        <v>126</v>
      </c>
    </row>
    <row r="109" spans="1:27" ht="18.600000000000001" customHeight="1">
      <c r="A109" s="140">
        <f>IF(priority(Main[[#This Row],[Comments]])&lt;&gt;0, priority(Main[[#This Row],[Comments]]),"")</f>
        <v>42</v>
      </c>
      <c r="B109" s="90" t="s">
        <v>3295</v>
      </c>
      <c r="C109" s="72" t="s">
        <v>3308</v>
      </c>
      <c r="D109" s="73" t="s">
        <v>3296</v>
      </c>
      <c r="E109" s="74"/>
      <c r="F109" s="74">
        <v>41153</v>
      </c>
      <c r="G109" s="75">
        <f>IF(stdProdLT(Main[[#This Row],[Comments]])=0.1,"N/A",IF(stdProdLT(Main[[#This Row],[Comments]])=0,"",stdProdLT(Main[[#This Row],[Comments]])))</f>
        <v>140</v>
      </c>
      <c r="H109" s="76">
        <f>IF(AND(Main[[#This Row],[In Stock Date]]&lt;&gt;"",Main[[#This Row],[Revised Due Date]]&lt;&gt;""),Main[[#This Row],[In Stock Date]]-Main[[#This Row],[Revised Due Date]],"")</f>
        <v>194</v>
      </c>
      <c r="I109" s="72" t="s">
        <v>69</v>
      </c>
      <c r="J109" s="72" t="s">
        <v>70</v>
      </c>
      <c r="K109" s="81" t="s">
        <v>1939</v>
      </c>
      <c r="L109" s="74">
        <v>40925</v>
      </c>
      <c r="M109" s="77">
        <f>IF(Main[[#This Row],[Tech Start Date]]&lt;1/1/1990,"",IF(Main[[#This Row],[Class]]="C",WORKDAY(Main[[#This Row],[Tech Start Date]],9),IF(Main[[#This Row],[Class]]="B", WORKDAY(Main[[#This Row],[Tech Start Date]],6),IF(Main[[#This Row],[Class]]="A",WORKDAY(Main[[#This Row],[Tech Start Date]],2),""))))</f>
        <v>40933</v>
      </c>
      <c r="N109" s="77">
        <f>IF(Main[[#This Row],[Tech Start Date]]&lt;1/1/1990,"",IF(Main[[#This Row],[Class]]="C",WORKDAY(Main[[#This Row],[Tech Start Date]],19),IF(Main[[#This Row],[Class]]="B", WORKDAY(Main[[#This Row],[Tech Start Date]],12),IF(Main[[#This Row],[Class]]="A",WORKDAY(Main[[#This Row],[Tech Start Date]],4),""))))</f>
        <v>40941</v>
      </c>
      <c r="O109" s="77">
        <f>IF(Main[[#This Row],[Tech Start Date]]&lt;1/1/1990,"",IF(Main[[#This Row],[Class]]="C",WORKDAY(Main[[#This Row],[Tech Start Date]],23),IF(Main[[#This Row],[Class]]="B", WORKDAY(Main[[#This Row],[Tech Start Date]],15),IF(Main[[#This Row],[Class]]="A",WORKDAY(Main[[#This Row],[Tech Start Date]],5),""))))</f>
        <v>40946</v>
      </c>
      <c r="P109" s="77">
        <f>IF(Main[[#This Row],[Tech Start Date]]&lt;1/1/1990,"",IF(Main[[#This Row],[Class]]="C",WORKDAY(Main[[#This Row],[Tech Start Date]],28),IF(Main[[#This Row],[Class]]="B", WORKDAY(Main[[#This Row],[Tech Start Date]],19),IF(Main[[#This Row],[Class]]="A",WORKDAY(Main[[#This Row],[Tech Start Date]],9),""))))</f>
        <v>40952</v>
      </c>
      <c r="Q109" s="74">
        <v>40959</v>
      </c>
      <c r="R109" s="74">
        <v>40959</v>
      </c>
      <c r="S109" s="72" t="s">
        <v>11</v>
      </c>
      <c r="T109" s="80" t="s">
        <v>3347</v>
      </c>
      <c r="U109" s="72" t="s">
        <v>14</v>
      </c>
      <c r="V109" s="72" t="s">
        <v>1942</v>
      </c>
      <c r="W109" s="72" t="s">
        <v>1938</v>
      </c>
      <c r="X109" s="72" t="s">
        <v>2930</v>
      </c>
      <c r="Y109" s="72" t="s">
        <v>4</v>
      </c>
      <c r="Z109" s="72" t="s">
        <v>535</v>
      </c>
      <c r="AA109" s="147" t="s">
        <v>2930</v>
      </c>
    </row>
    <row r="110" spans="1:27" ht="18.600000000000001" customHeight="1">
      <c r="A110" s="140">
        <f>IF(priority(Main[[#This Row],[Comments]])&lt;&gt;0, priority(Main[[#This Row],[Comments]]),"")</f>
        <v>43</v>
      </c>
      <c r="B110" s="90" t="s">
        <v>1905</v>
      </c>
      <c r="C110" s="72" t="s">
        <v>116</v>
      </c>
      <c r="D110" s="73" t="s">
        <v>2347</v>
      </c>
      <c r="E110" s="74">
        <v>40668.56144675926</v>
      </c>
      <c r="F110" s="74">
        <v>40714</v>
      </c>
      <c r="G110" s="75" t="str">
        <f>IF(stdProdLT(Main[[#This Row],[Comments]])=0.1,"N/A",IF(stdProdLT(Main[[#This Row],[Comments]])=0,"",stdProdLT(Main[[#This Row],[Comments]])))</f>
        <v/>
      </c>
      <c r="H110" s="76">
        <f>IF(AND(Main[[#This Row],[In Stock Date]]&lt;&gt;"",Main[[#This Row],[Revised Due Date]]&lt;&gt;""),Main[[#This Row],[In Stock Date]]-Main[[#This Row],[Revised Due Date]],"")</f>
        <v>0</v>
      </c>
      <c r="I110" s="72" t="s">
        <v>923</v>
      </c>
      <c r="J110" s="72" t="s">
        <v>21</v>
      </c>
      <c r="K110" s="72" t="s">
        <v>1945</v>
      </c>
      <c r="L110" s="74">
        <v>40679</v>
      </c>
      <c r="M110" s="77">
        <f>IF(Main[[#This Row],[Tech Start Date]]&lt;1/1/1990,"",IF(Main[[#This Row],[Class]]="C",WORKDAY(Main[[#This Row],[Tech Start Date]],9),IF(Main[[#This Row],[Class]]="B", WORKDAY(Main[[#This Row],[Tech Start Date]],6),IF(Main[[#This Row],[Class]]="A",WORKDAY(Main[[#This Row],[Tech Start Date]],2),""))))</f>
        <v>40690</v>
      </c>
      <c r="N110" s="77">
        <f>IF(Main[[#This Row],[Tech Start Date]]&lt;1/1/1990,"",IF(Main[[#This Row],[Class]]="C",WORKDAY(Main[[#This Row],[Tech Start Date]],19),IF(Main[[#This Row],[Class]]="B", WORKDAY(Main[[#This Row],[Tech Start Date]],12),IF(Main[[#This Row],[Class]]="A",WORKDAY(Main[[#This Row],[Tech Start Date]],4),""))))</f>
        <v>40704</v>
      </c>
      <c r="O110" s="77">
        <f>IF(Main[[#This Row],[Tech Start Date]]&lt;1/1/1990,"",IF(Main[[#This Row],[Class]]="C",WORKDAY(Main[[#This Row],[Tech Start Date]],23),IF(Main[[#This Row],[Class]]="B", WORKDAY(Main[[#This Row],[Tech Start Date]],15),IF(Main[[#This Row],[Class]]="A",WORKDAY(Main[[#This Row],[Tech Start Date]],5),""))))</f>
        <v>40710</v>
      </c>
      <c r="P110" s="77">
        <f>IF(Main[[#This Row],[Tech Start Date]]&lt;1/1/1990,"",IF(Main[[#This Row],[Class]]="C",WORKDAY(Main[[#This Row],[Tech Start Date]],28),IF(Main[[#This Row],[Class]]="B", WORKDAY(Main[[#This Row],[Tech Start Date]],19),IF(Main[[#This Row],[Class]]="A",WORKDAY(Main[[#This Row],[Tech Start Date]],9),""))))</f>
        <v>40717</v>
      </c>
      <c r="Q110" s="74">
        <v>40714</v>
      </c>
      <c r="R110" s="74">
        <v>40714</v>
      </c>
      <c r="S110" s="72" t="s">
        <v>6</v>
      </c>
      <c r="T110" s="80" t="s">
        <v>2539</v>
      </c>
      <c r="U110" s="72" t="s">
        <v>29</v>
      </c>
      <c r="V110" s="72" t="s">
        <v>1932</v>
      </c>
      <c r="W110" s="72" t="s">
        <v>1934</v>
      </c>
      <c r="X110" s="72" t="s">
        <v>126</v>
      </c>
      <c r="Y110" s="72" t="s">
        <v>3120</v>
      </c>
      <c r="Z110" s="72" t="s">
        <v>129</v>
      </c>
      <c r="AA110" s="147" t="s">
        <v>126</v>
      </c>
    </row>
    <row r="111" spans="1:27" ht="18.600000000000001" customHeight="1">
      <c r="A111" s="140">
        <f>IF(priority(Main[[#This Row],[Comments]])&lt;&gt;0, priority(Main[[#This Row],[Comments]]),"")</f>
        <v>46</v>
      </c>
      <c r="B111" s="90" t="s">
        <v>2566</v>
      </c>
      <c r="C111" s="72" t="s">
        <v>2029</v>
      </c>
      <c r="D111" s="73" t="s">
        <v>2567</v>
      </c>
      <c r="E111" s="74"/>
      <c r="F111" s="74"/>
      <c r="G111" s="75">
        <f>IF(stdProdLT(Main[[#This Row],[Comments]])=0.1,"N/A",IF(stdProdLT(Main[[#This Row],[Comments]])=0,"",stdProdLT(Main[[#This Row],[Comments]])))</f>
        <v>168</v>
      </c>
      <c r="H111" s="76" t="str">
        <f>IF(AND(Main[[#This Row],[In Stock Date]]&lt;&gt;"",Main[[#This Row],[Revised Due Date]]&lt;&gt;""),Main[[#This Row],[In Stock Date]]-Main[[#This Row],[Revised Due Date]],"")</f>
        <v/>
      </c>
      <c r="I111" s="72" t="s">
        <v>4</v>
      </c>
      <c r="J111" s="72" t="s">
        <v>4</v>
      </c>
      <c r="K111" s="72" t="s">
        <v>4</v>
      </c>
      <c r="L111" s="74"/>
      <c r="M111" s="77" t="str">
        <f>IF(Main[[#This Row],[Tech Start Date]]&lt;1/1/1990,"",IF(Main[[#This Row],[Class]]="C",WORKDAY(Main[[#This Row],[Tech Start Date]],9),IF(Main[[#This Row],[Class]]="B", WORKDAY(Main[[#This Row],[Tech Start Date]],6),IF(Main[[#This Row],[Class]]="A",WORKDAY(Main[[#This Row],[Tech Start Date]],2),""))))</f>
        <v/>
      </c>
      <c r="N111" s="77" t="str">
        <f>IF(Main[[#This Row],[Tech Start Date]]&lt;1/1/1990,"",IF(Main[[#This Row],[Class]]="C",WORKDAY(Main[[#This Row],[Tech Start Date]],19),IF(Main[[#This Row],[Class]]="B", WORKDAY(Main[[#This Row],[Tech Start Date]],12),IF(Main[[#This Row],[Class]]="A",WORKDAY(Main[[#This Row],[Tech Start Date]],4),""))))</f>
        <v/>
      </c>
      <c r="O111" s="77" t="str">
        <f>IF(Main[[#This Row],[Tech Start Date]]&lt;1/1/1990,"",IF(Main[[#This Row],[Class]]="C",WORKDAY(Main[[#This Row],[Tech Start Date]],23),IF(Main[[#This Row],[Class]]="B", WORKDAY(Main[[#This Row],[Tech Start Date]],15),IF(Main[[#This Row],[Class]]="A",WORKDAY(Main[[#This Row],[Tech Start Date]],5),""))))</f>
        <v/>
      </c>
      <c r="P111" s="77" t="str">
        <f>IF(Main[[#This Row],[Tech Start Date]]&lt;1/1/1990,"",IF(Main[[#This Row],[Class]]="C",WORKDAY(Main[[#This Row],[Tech Start Date]],28),IF(Main[[#This Row],[Class]]="B", WORKDAY(Main[[#This Row],[Tech Start Date]],19),IF(Main[[#This Row],[Class]]="A",WORKDAY(Main[[#This Row],[Tech Start Date]],9),""))))</f>
        <v/>
      </c>
      <c r="Q111" s="74">
        <v>40874</v>
      </c>
      <c r="R111" s="74"/>
      <c r="S111" s="72" t="s">
        <v>11</v>
      </c>
      <c r="T111" s="80" t="s">
        <v>2568</v>
      </c>
      <c r="U111" s="72" t="s">
        <v>14</v>
      </c>
      <c r="V111" s="72" t="s">
        <v>1935</v>
      </c>
      <c r="W111" s="72" t="s">
        <v>1934</v>
      </c>
      <c r="X111" s="72" t="s">
        <v>2938</v>
      </c>
      <c r="Y111" s="72" t="s">
        <v>4</v>
      </c>
      <c r="Z111" s="72" t="s">
        <v>4</v>
      </c>
      <c r="AA111" s="147" t="s">
        <v>2938</v>
      </c>
    </row>
    <row r="112" spans="1:27" ht="18.600000000000001" customHeight="1">
      <c r="A112" s="140" t="str">
        <f>IF(priority(Main[[#This Row],[Comments]])&lt;&gt;0, priority(Main[[#This Row],[Comments]]),"")</f>
        <v/>
      </c>
      <c r="B112" s="90" t="s">
        <v>1024</v>
      </c>
      <c r="C112" s="72" t="s">
        <v>4</v>
      </c>
      <c r="D112" s="73" t="s">
        <v>18</v>
      </c>
      <c r="E112" s="74"/>
      <c r="F112" s="74"/>
      <c r="G112" s="75" t="str">
        <f>IF(stdProdLT(Main[[#This Row],[Comments]])=0.1,"N/A",IF(stdProdLT(Main[[#This Row],[Comments]])=0,"",stdProdLT(Main[[#This Row],[Comments]])))</f>
        <v/>
      </c>
      <c r="H112" s="76" t="str">
        <f>IF(AND(Main[[#This Row],[In Stock Date]]&lt;&gt;"",Main[[#This Row],[Revised Due Date]]&lt;&gt;""),Main[[#This Row],[In Stock Date]]-Main[[#This Row],[Revised Due Date]],"")</f>
        <v/>
      </c>
      <c r="I112" s="72" t="s">
        <v>4</v>
      </c>
      <c r="J112" s="72" t="s">
        <v>4</v>
      </c>
      <c r="K112" s="72" t="s">
        <v>4</v>
      </c>
      <c r="L112" s="74"/>
      <c r="M112" s="77" t="str">
        <f>IF(Main[[#This Row],[Tech Start Date]]&lt;1/1/1990,"",IF(Main[[#This Row],[Class]]="C",WORKDAY(Main[[#This Row],[Tech Start Date]],9),IF(Main[[#This Row],[Class]]="B", WORKDAY(Main[[#This Row],[Tech Start Date]],6),IF(Main[[#This Row],[Class]]="A",WORKDAY(Main[[#This Row],[Tech Start Date]],2),""))))</f>
        <v/>
      </c>
      <c r="N112" s="77" t="str">
        <f>IF(Main[[#This Row],[Tech Start Date]]&lt;1/1/1990,"",IF(Main[[#This Row],[Class]]="C",WORKDAY(Main[[#This Row],[Tech Start Date]],19),IF(Main[[#This Row],[Class]]="B", WORKDAY(Main[[#This Row],[Tech Start Date]],12),IF(Main[[#This Row],[Class]]="A",WORKDAY(Main[[#This Row],[Tech Start Date]],4),""))))</f>
        <v/>
      </c>
      <c r="O112" s="77" t="str">
        <f>IF(Main[[#This Row],[Tech Start Date]]&lt;1/1/1990,"",IF(Main[[#This Row],[Class]]="C",WORKDAY(Main[[#This Row],[Tech Start Date]],23),IF(Main[[#This Row],[Class]]="B", WORKDAY(Main[[#This Row],[Tech Start Date]],15),IF(Main[[#This Row],[Class]]="A",WORKDAY(Main[[#This Row],[Tech Start Date]],5),""))))</f>
        <v/>
      </c>
      <c r="P112" s="77" t="str">
        <f>IF(Main[[#This Row],[Tech Start Date]]&lt;1/1/1990,"",IF(Main[[#This Row],[Class]]="C",WORKDAY(Main[[#This Row],[Tech Start Date]],28),IF(Main[[#This Row],[Class]]="B", WORKDAY(Main[[#This Row],[Tech Start Date]],19),IF(Main[[#This Row],[Class]]="A",WORKDAY(Main[[#This Row],[Tech Start Date]],9),""))))</f>
        <v/>
      </c>
      <c r="Q112" s="74">
        <v>40585</v>
      </c>
      <c r="R112" s="74"/>
      <c r="S112" s="72" t="s">
        <v>11</v>
      </c>
      <c r="T112" s="80" t="s">
        <v>4</v>
      </c>
      <c r="U112" s="72" t="s">
        <v>14</v>
      </c>
      <c r="V112" s="72" t="s">
        <v>1932</v>
      </c>
      <c r="W112" s="72" t="s">
        <v>1937</v>
      </c>
      <c r="X112" s="72" t="s">
        <v>2905</v>
      </c>
      <c r="Y112" s="72" t="s">
        <v>3023</v>
      </c>
      <c r="Z112" s="72" t="s">
        <v>4</v>
      </c>
      <c r="AA112" s="147" t="s">
        <v>2905</v>
      </c>
    </row>
    <row r="113" spans="1:27" ht="18.600000000000001" customHeight="1">
      <c r="A113" s="140" t="str">
        <f>IF(priority(Main[[#This Row],[Comments]])&lt;&gt;0, priority(Main[[#This Row],[Comments]]),"")</f>
        <v/>
      </c>
      <c r="B113" s="90" t="s">
        <v>1951</v>
      </c>
      <c r="C113" s="72" t="s">
        <v>19</v>
      </c>
      <c r="D113" s="73" t="s">
        <v>20</v>
      </c>
      <c r="E113" s="74"/>
      <c r="F113" s="74">
        <v>40548</v>
      </c>
      <c r="G113" s="75" t="str">
        <f>IF(stdProdLT(Main[[#This Row],[Comments]])=0.1,"N/A",IF(stdProdLT(Main[[#This Row],[Comments]])=0,"",stdProdLT(Main[[#This Row],[Comments]])))</f>
        <v/>
      </c>
      <c r="H113" s="76" t="str">
        <f>IF(AND(Main[[#This Row],[In Stock Date]]&lt;&gt;"",Main[[#This Row],[Revised Due Date]]&lt;&gt;""),Main[[#This Row],[In Stock Date]]-Main[[#This Row],[Revised Due Date]],"")</f>
        <v/>
      </c>
      <c r="I113" s="72" t="s">
        <v>4</v>
      </c>
      <c r="J113" s="72" t="s">
        <v>21</v>
      </c>
      <c r="K113" s="72" t="s">
        <v>4</v>
      </c>
      <c r="L113" s="74"/>
      <c r="M113" s="77" t="str">
        <f>IF(Main[[#This Row],[Tech Start Date]]&lt;1/1/1990,"",IF(Main[[#This Row],[Class]]="C",WORKDAY(Main[[#This Row],[Tech Start Date]],9),IF(Main[[#This Row],[Class]]="B", WORKDAY(Main[[#This Row],[Tech Start Date]],6),IF(Main[[#This Row],[Class]]="A",WORKDAY(Main[[#This Row],[Tech Start Date]],2),""))))</f>
        <v/>
      </c>
      <c r="N113" s="77" t="str">
        <f>IF(Main[[#This Row],[Tech Start Date]]&lt;1/1/1990,"",IF(Main[[#This Row],[Class]]="C",WORKDAY(Main[[#This Row],[Tech Start Date]],19),IF(Main[[#This Row],[Class]]="B", WORKDAY(Main[[#This Row],[Tech Start Date]],12),IF(Main[[#This Row],[Class]]="A",WORKDAY(Main[[#This Row],[Tech Start Date]],4),""))))</f>
        <v/>
      </c>
      <c r="O113" s="77" t="str">
        <f>IF(Main[[#This Row],[Tech Start Date]]&lt;1/1/1990,"",IF(Main[[#This Row],[Class]]="C",WORKDAY(Main[[#This Row],[Tech Start Date]],23),IF(Main[[#This Row],[Class]]="B", WORKDAY(Main[[#This Row],[Tech Start Date]],15),IF(Main[[#This Row],[Class]]="A",WORKDAY(Main[[#This Row],[Tech Start Date]],5),""))))</f>
        <v/>
      </c>
      <c r="P113" s="77" t="str">
        <f>IF(Main[[#This Row],[Tech Start Date]]&lt;1/1/1990,"",IF(Main[[#This Row],[Class]]="C",WORKDAY(Main[[#This Row],[Tech Start Date]],28),IF(Main[[#This Row],[Class]]="B", WORKDAY(Main[[#This Row],[Tech Start Date]],19),IF(Main[[#This Row],[Class]]="A",WORKDAY(Main[[#This Row],[Tech Start Date]],9),""))))</f>
        <v/>
      </c>
      <c r="Q113" s="74">
        <v>40441</v>
      </c>
      <c r="R113" s="74"/>
      <c r="S113" s="72" t="s">
        <v>11</v>
      </c>
      <c r="T113" s="80" t="s">
        <v>4</v>
      </c>
      <c r="U113" s="72" t="s">
        <v>12</v>
      </c>
      <c r="V113" s="72" t="s">
        <v>1935</v>
      </c>
      <c r="W113" s="72" t="s">
        <v>1938</v>
      </c>
      <c r="X113" s="72" t="s">
        <v>81</v>
      </c>
      <c r="Y113" s="72" t="s">
        <v>3026</v>
      </c>
      <c r="Z113" s="72" t="s">
        <v>436</v>
      </c>
      <c r="AA113" s="147" t="s">
        <v>2917</v>
      </c>
    </row>
    <row r="114" spans="1:27" ht="18.600000000000001" customHeight="1">
      <c r="A114" s="140" t="str">
        <f>IF(priority(Main[[#This Row],[Comments]])&lt;&gt;0, priority(Main[[#This Row],[Comments]]),"")</f>
        <v/>
      </c>
      <c r="B114" s="90" t="s">
        <v>1025</v>
      </c>
      <c r="C114" s="72" t="s">
        <v>4</v>
      </c>
      <c r="D114" s="73" t="s">
        <v>22</v>
      </c>
      <c r="E114" s="74"/>
      <c r="F114" s="74"/>
      <c r="G114" s="75" t="str">
        <f>IF(stdProdLT(Main[[#This Row],[Comments]])=0.1,"N/A",IF(stdProdLT(Main[[#This Row],[Comments]])=0,"",stdProdLT(Main[[#This Row],[Comments]])))</f>
        <v/>
      </c>
      <c r="H114" s="76" t="str">
        <f>IF(AND(Main[[#This Row],[In Stock Date]]&lt;&gt;"",Main[[#This Row],[Revised Due Date]]&lt;&gt;""),Main[[#This Row],[In Stock Date]]-Main[[#This Row],[Revised Due Date]],"")</f>
        <v/>
      </c>
      <c r="I114" s="72" t="s">
        <v>4</v>
      </c>
      <c r="J114" s="72" t="s">
        <v>4</v>
      </c>
      <c r="K114" s="72" t="s">
        <v>4</v>
      </c>
      <c r="L114" s="74"/>
      <c r="M114" s="77" t="str">
        <f>IF(Main[[#This Row],[Tech Start Date]]&lt;1/1/1990,"",IF(Main[[#This Row],[Class]]="C",WORKDAY(Main[[#This Row],[Tech Start Date]],9),IF(Main[[#This Row],[Class]]="B", WORKDAY(Main[[#This Row],[Tech Start Date]],6),IF(Main[[#This Row],[Class]]="A",WORKDAY(Main[[#This Row],[Tech Start Date]],2),""))))</f>
        <v/>
      </c>
      <c r="N114" s="77" t="str">
        <f>IF(Main[[#This Row],[Tech Start Date]]&lt;1/1/1990,"",IF(Main[[#This Row],[Class]]="C",WORKDAY(Main[[#This Row],[Tech Start Date]],19),IF(Main[[#This Row],[Class]]="B", WORKDAY(Main[[#This Row],[Tech Start Date]],12),IF(Main[[#This Row],[Class]]="A",WORKDAY(Main[[#This Row],[Tech Start Date]],4),""))))</f>
        <v/>
      </c>
      <c r="O114" s="77" t="str">
        <f>IF(Main[[#This Row],[Tech Start Date]]&lt;1/1/1990,"",IF(Main[[#This Row],[Class]]="C",WORKDAY(Main[[#This Row],[Tech Start Date]],23),IF(Main[[#This Row],[Class]]="B", WORKDAY(Main[[#This Row],[Tech Start Date]],15),IF(Main[[#This Row],[Class]]="A",WORKDAY(Main[[#This Row],[Tech Start Date]],5),""))))</f>
        <v/>
      </c>
      <c r="P114" s="77" t="str">
        <f>IF(Main[[#This Row],[Tech Start Date]]&lt;1/1/1990,"",IF(Main[[#This Row],[Class]]="C",WORKDAY(Main[[#This Row],[Tech Start Date]],28),IF(Main[[#This Row],[Class]]="B", WORKDAY(Main[[#This Row],[Tech Start Date]],19),IF(Main[[#This Row],[Class]]="A",WORKDAY(Main[[#This Row],[Tech Start Date]],9),""))))</f>
        <v/>
      </c>
      <c r="Q114" s="74"/>
      <c r="R114" s="74"/>
      <c r="S114" s="72" t="s">
        <v>23</v>
      </c>
      <c r="T114" s="80" t="s">
        <v>4</v>
      </c>
      <c r="U114" s="72" t="s">
        <v>14</v>
      </c>
      <c r="V114" s="72" t="s">
        <v>1932</v>
      </c>
      <c r="W114" s="72" t="s">
        <v>1934</v>
      </c>
      <c r="X114" s="72" t="s">
        <v>310</v>
      </c>
      <c r="Y114" s="72" t="s">
        <v>4</v>
      </c>
      <c r="Z114" s="72" t="s">
        <v>4</v>
      </c>
      <c r="AA114" s="147" t="s">
        <v>3560</v>
      </c>
    </row>
    <row r="115" spans="1:27" ht="18.600000000000001" customHeight="1">
      <c r="A115" s="140" t="str">
        <f>IF(priority(Main[[#This Row],[Comments]])&lt;&gt;0, priority(Main[[#This Row],[Comments]]),"")</f>
        <v/>
      </c>
      <c r="B115" s="90" t="s">
        <v>2731</v>
      </c>
      <c r="C115" s="72" t="s">
        <v>4</v>
      </c>
      <c r="D115" s="73" t="s">
        <v>2732</v>
      </c>
      <c r="E115" s="74">
        <v>40905.637326388889</v>
      </c>
      <c r="F115" s="74"/>
      <c r="G115" s="75" t="str">
        <f>IF(stdProdLT(Main[[#This Row],[Comments]])=0.1,"N/A",IF(stdProdLT(Main[[#This Row],[Comments]])=0,"",stdProdLT(Main[[#This Row],[Comments]])))</f>
        <v/>
      </c>
      <c r="H115" s="76" t="str">
        <f>IF(AND(Main[[#This Row],[In Stock Date]]&lt;&gt;"",Main[[#This Row],[Revised Due Date]]&lt;&gt;""),Main[[#This Row],[In Stock Date]]-Main[[#This Row],[Revised Due Date]],"")</f>
        <v/>
      </c>
      <c r="I115" s="72" t="s">
        <v>535</v>
      </c>
      <c r="J115" s="72" t="s">
        <v>52</v>
      </c>
      <c r="K115" s="72" t="s">
        <v>1941</v>
      </c>
      <c r="L115" s="74"/>
      <c r="M115" s="77" t="str">
        <f>IF(Main[[#This Row],[Tech Start Date]]&lt;1/1/1990,"",IF(Main[[#This Row],[Class]]="C",WORKDAY(Main[[#This Row],[Tech Start Date]],9),IF(Main[[#This Row],[Class]]="B", WORKDAY(Main[[#This Row],[Tech Start Date]],6),IF(Main[[#This Row],[Class]]="A",WORKDAY(Main[[#This Row],[Tech Start Date]],2),""))))</f>
        <v/>
      </c>
      <c r="N115" s="77" t="str">
        <f>IF(Main[[#This Row],[Tech Start Date]]&lt;1/1/1990,"",IF(Main[[#This Row],[Class]]="C",WORKDAY(Main[[#This Row],[Tech Start Date]],19),IF(Main[[#This Row],[Class]]="B", WORKDAY(Main[[#This Row],[Tech Start Date]],12),IF(Main[[#This Row],[Class]]="A",WORKDAY(Main[[#This Row],[Tech Start Date]],4),""))))</f>
        <v/>
      </c>
      <c r="O115" s="77" t="str">
        <f>IF(Main[[#This Row],[Tech Start Date]]&lt;1/1/1990,"",IF(Main[[#This Row],[Class]]="C",WORKDAY(Main[[#This Row],[Tech Start Date]],23),IF(Main[[#This Row],[Class]]="B", WORKDAY(Main[[#This Row],[Tech Start Date]],15),IF(Main[[#This Row],[Class]]="A",WORKDAY(Main[[#This Row],[Tech Start Date]],5),""))))</f>
        <v/>
      </c>
      <c r="P115" s="77" t="str">
        <f>IF(Main[[#This Row],[Tech Start Date]]&lt;1/1/1990,"",IF(Main[[#This Row],[Class]]="C",WORKDAY(Main[[#This Row],[Tech Start Date]],28),IF(Main[[#This Row],[Class]]="B", WORKDAY(Main[[#This Row],[Tech Start Date]],19),IF(Main[[#This Row],[Class]]="A",WORKDAY(Main[[#This Row],[Tech Start Date]],9),""))))</f>
        <v/>
      </c>
      <c r="Q115" s="74">
        <v>41027</v>
      </c>
      <c r="R115" s="74"/>
      <c r="S115" s="72" t="s">
        <v>6</v>
      </c>
      <c r="T115" s="80" t="s">
        <v>4</v>
      </c>
      <c r="U115" s="72" t="s">
        <v>29</v>
      </c>
      <c r="V115" s="72" t="s">
        <v>1935</v>
      </c>
      <c r="W115" s="72" t="s">
        <v>1936</v>
      </c>
      <c r="X115" s="72" t="s">
        <v>30</v>
      </c>
      <c r="Y115" s="72" t="s">
        <v>3027</v>
      </c>
      <c r="Z115" s="72" t="s">
        <v>30</v>
      </c>
      <c r="AA115" s="147" t="s">
        <v>30</v>
      </c>
    </row>
    <row r="116" spans="1:27" ht="18.600000000000001" customHeight="1">
      <c r="A116" s="140" t="str">
        <f>IF(priority(Main[[#This Row],[Comments]])&lt;&gt;0, priority(Main[[#This Row],[Comments]]),"")</f>
        <v/>
      </c>
      <c r="B116" s="90" t="s">
        <v>1026</v>
      </c>
      <c r="C116" s="72" t="s">
        <v>24</v>
      </c>
      <c r="D116" s="73" t="s">
        <v>25</v>
      </c>
      <c r="E116" s="74"/>
      <c r="F116" s="74"/>
      <c r="G116" s="75" t="str">
        <f>IF(stdProdLT(Main[[#This Row],[Comments]])=0.1,"N/A",IF(stdProdLT(Main[[#This Row],[Comments]])=0,"",stdProdLT(Main[[#This Row],[Comments]])))</f>
        <v/>
      </c>
      <c r="H116" s="76" t="str">
        <f>IF(AND(Main[[#This Row],[In Stock Date]]&lt;&gt;"",Main[[#This Row],[Revised Due Date]]&lt;&gt;""),Main[[#This Row],[In Stock Date]]-Main[[#This Row],[Revised Due Date]],"")</f>
        <v/>
      </c>
      <c r="I116" s="72" t="s">
        <v>4</v>
      </c>
      <c r="J116" s="72" t="s">
        <v>4</v>
      </c>
      <c r="K116" s="72" t="s">
        <v>4</v>
      </c>
      <c r="L116" s="74"/>
      <c r="M116" s="77" t="str">
        <f>IF(Main[[#This Row],[Tech Start Date]]&lt;1/1/1990,"",IF(Main[[#This Row],[Class]]="C",WORKDAY(Main[[#This Row],[Tech Start Date]],9),IF(Main[[#This Row],[Class]]="B", WORKDAY(Main[[#This Row],[Tech Start Date]],6),IF(Main[[#This Row],[Class]]="A",WORKDAY(Main[[#This Row],[Tech Start Date]],2),""))))</f>
        <v/>
      </c>
      <c r="N116" s="77" t="str">
        <f>IF(Main[[#This Row],[Tech Start Date]]&lt;1/1/1990,"",IF(Main[[#This Row],[Class]]="C",WORKDAY(Main[[#This Row],[Tech Start Date]],19),IF(Main[[#This Row],[Class]]="B", WORKDAY(Main[[#This Row],[Tech Start Date]],12),IF(Main[[#This Row],[Class]]="A",WORKDAY(Main[[#This Row],[Tech Start Date]],4),""))))</f>
        <v/>
      </c>
      <c r="O116" s="77" t="str">
        <f>IF(Main[[#This Row],[Tech Start Date]]&lt;1/1/1990,"",IF(Main[[#This Row],[Class]]="C",WORKDAY(Main[[#This Row],[Tech Start Date]],23),IF(Main[[#This Row],[Class]]="B", WORKDAY(Main[[#This Row],[Tech Start Date]],15),IF(Main[[#This Row],[Class]]="A",WORKDAY(Main[[#This Row],[Tech Start Date]],5),""))))</f>
        <v/>
      </c>
      <c r="P116" s="77" t="str">
        <f>IF(Main[[#This Row],[Tech Start Date]]&lt;1/1/1990,"",IF(Main[[#This Row],[Class]]="C",WORKDAY(Main[[#This Row],[Tech Start Date]],28),IF(Main[[#This Row],[Class]]="B", WORKDAY(Main[[#This Row],[Tech Start Date]],19),IF(Main[[#This Row],[Class]]="A",WORKDAY(Main[[#This Row],[Tech Start Date]],9),""))))</f>
        <v/>
      </c>
      <c r="Q116" s="74"/>
      <c r="R116" s="74"/>
      <c r="S116" s="72" t="s">
        <v>11</v>
      </c>
      <c r="T116" s="80" t="s">
        <v>4</v>
      </c>
      <c r="U116" s="72" t="s">
        <v>14</v>
      </c>
      <c r="V116" s="72" t="s">
        <v>1933</v>
      </c>
      <c r="W116" s="72" t="s">
        <v>1937</v>
      </c>
      <c r="X116" s="72" t="s">
        <v>310</v>
      </c>
      <c r="Y116" s="72" t="s">
        <v>3028</v>
      </c>
      <c r="Z116" s="72" t="s">
        <v>4</v>
      </c>
      <c r="AA116" s="147" t="s">
        <v>310</v>
      </c>
    </row>
    <row r="117" spans="1:27" ht="18.600000000000001" customHeight="1">
      <c r="A117" s="140" t="str">
        <f>IF(priority(Main[[#This Row],[Comments]])&lt;&gt;0, priority(Main[[#This Row],[Comments]]),"")</f>
        <v/>
      </c>
      <c r="B117" s="90" t="s">
        <v>1484</v>
      </c>
      <c r="C117" s="72" t="s">
        <v>4</v>
      </c>
      <c r="D117" s="73" t="s">
        <v>2361</v>
      </c>
      <c r="E117" s="74">
        <v>40431.641157407408</v>
      </c>
      <c r="F117" s="74"/>
      <c r="G117" s="75" t="str">
        <f>IF(stdProdLT(Main[[#This Row],[Comments]])=0.1,"N/A",IF(stdProdLT(Main[[#This Row],[Comments]])=0,"",stdProdLT(Main[[#This Row],[Comments]])))</f>
        <v/>
      </c>
      <c r="H117" s="76" t="str">
        <f>IF(AND(Main[[#This Row],[In Stock Date]]&lt;&gt;"",Main[[#This Row],[Revised Due Date]]&lt;&gt;""),Main[[#This Row],[In Stock Date]]-Main[[#This Row],[Revised Due Date]],"")</f>
        <v/>
      </c>
      <c r="I117" s="72" t="s">
        <v>923</v>
      </c>
      <c r="J117" s="72" t="s">
        <v>52</v>
      </c>
      <c r="K117" s="72" t="s">
        <v>4</v>
      </c>
      <c r="L117" s="74"/>
      <c r="M117" s="77" t="str">
        <f>IF(Main[[#This Row],[Tech Start Date]]&lt;1/1/1990,"",IF(Main[[#This Row],[Class]]="C",WORKDAY(Main[[#This Row],[Tech Start Date]],9),IF(Main[[#This Row],[Class]]="B", WORKDAY(Main[[#This Row],[Tech Start Date]],6),IF(Main[[#This Row],[Class]]="A",WORKDAY(Main[[#This Row],[Tech Start Date]],2),""))))</f>
        <v/>
      </c>
      <c r="N117" s="77" t="str">
        <f>IF(Main[[#This Row],[Tech Start Date]]&lt;1/1/1990,"",IF(Main[[#This Row],[Class]]="C",WORKDAY(Main[[#This Row],[Tech Start Date]],19),IF(Main[[#This Row],[Class]]="B", WORKDAY(Main[[#This Row],[Tech Start Date]],12),IF(Main[[#This Row],[Class]]="A",WORKDAY(Main[[#This Row],[Tech Start Date]],4),""))))</f>
        <v/>
      </c>
      <c r="O117" s="77" t="str">
        <f>IF(Main[[#This Row],[Tech Start Date]]&lt;1/1/1990,"",IF(Main[[#This Row],[Class]]="C",WORKDAY(Main[[#This Row],[Tech Start Date]],23),IF(Main[[#This Row],[Class]]="B", WORKDAY(Main[[#This Row],[Tech Start Date]],15),IF(Main[[#This Row],[Class]]="A",WORKDAY(Main[[#This Row],[Tech Start Date]],5),""))))</f>
        <v/>
      </c>
      <c r="P117" s="77" t="str">
        <f>IF(Main[[#This Row],[Tech Start Date]]&lt;1/1/1990,"",IF(Main[[#This Row],[Class]]="C",WORKDAY(Main[[#This Row],[Tech Start Date]],28),IF(Main[[#This Row],[Class]]="B", WORKDAY(Main[[#This Row],[Tech Start Date]],19),IF(Main[[#This Row],[Class]]="A",WORKDAY(Main[[#This Row],[Tech Start Date]],9),""))))</f>
        <v/>
      </c>
      <c r="Q117" s="74">
        <v>40466</v>
      </c>
      <c r="R117" s="74"/>
      <c r="S117" s="72" t="s">
        <v>6</v>
      </c>
      <c r="T117" s="80" t="s">
        <v>4</v>
      </c>
      <c r="U117" s="72" t="s">
        <v>29</v>
      </c>
      <c r="V117" s="72" t="s">
        <v>1932</v>
      </c>
      <c r="W117" s="72" t="s">
        <v>1934</v>
      </c>
      <c r="X117" s="72" t="s">
        <v>2902</v>
      </c>
      <c r="Y117" s="72" t="s">
        <v>3016</v>
      </c>
      <c r="Z117" s="72" t="s">
        <v>129</v>
      </c>
      <c r="AA117" s="147" t="s">
        <v>2902</v>
      </c>
    </row>
    <row r="118" spans="1:27" ht="18.600000000000001" customHeight="1">
      <c r="A118" s="140" t="str">
        <f>IF(priority(Main[[#This Row],[Comments]])&lt;&gt;0, priority(Main[[#This Row],[Comments]]),"")</f>
        <v/>
      </c>
      <c r="B118" s="90" t="s">
        <v>2353</v>
      </c>
      <c r="C118" s="72" t="s">
        <v>4</v>
      </c>
      <c r="D118" s="73" t="s">
        <v>2354</v>
      </c>
      <c r="E118" s="74">
        <v>40828.669305555559</v>
      </c>
      <c r="F118" s="74"/>
      <c r="G118" s="75" t="str">
        <f>IF(stdProdLT(Main[[#This Row],[Comments]])=0.1,"N/A",IF(stdProdLT(Main[[#This Row],[Comments]])=0,"",stdProdLT(Main[[#This Row],[Comments]])))</f>
        <v/>
      </c>
      <c r="H118" s="76" t="str">
        <f>IF(AND(Main[[#This Row],[In Stock Date]]&lt;&gt;"",Main[[#This Row],[Revised Due Date]]&lt;&gt;""),Main[[#This Row],[In Stock Date]]-Main[[#This Row],[Revised Due Date]],"")</f>
        <v/>
      </c>
      <c r="I118" s="72" t="s">
        <v>4</v>
      </c>
      <c r="J118" s="72" t="s">
        <v>4</v>
      </c>
      <c r="K118" s="72" t="s">
        <v>4</v>
      </c>
      <c r="L118" s="74"/>
      <c r="M118" s="77" t="str">
        <f>IF(Main[[#This Row],[Tech Start Date]]&lt;1/1/1990,"",IF(Main[[#This Row],[Class]]="C",WORKDAY(Main[[#This Row],[Tech Start Date]],9),IF(Main[[#This Row],[Class]]="B", WORKDAY(Main[[#This Row],[Tech Start Date]],6),IF(Main[[#This Row],[Class]]="A",WORKDAY(Main[[#This Row],[Tech Start Date]],2),""))))</f>
        <v/>
      </c>
      <c r="N118" s="77" t="str">
        <f>IF(Main[[#This Row],[Tech Start Date]]&lt;1/1/1990,"",IF(Main[[#This Row],[Class]]="C",WORKDAY(Main[[#This Row],[Tech Start Date]],19),IF(Main[[#This Row],[Class]]="B", WORKDAY(Main[[#This Row],[Tech Start Date]],12),IF(Main[[#This Row],[Class]]="A",WORKDAY(Main[[#This Row],[Tech Start Date]],4),""))))</f>
        <v/>
      </c>
      <c r="O118" s="77" t="str">
        <f>IF(Main[[#This Row],[Tech Start Date]]&lt;1/1/1990,"",IF(Main[[#This Row],[Class]]="C",WORKDAY(Main[[#This Row],[Tech Start Date]],23),IF(Main[[#This Row],[Class]]="B", WORKDAY(Main[[#This Row],[Tech Start Date]],15),IF(Main[[#This Row],[Class]]="A",WORKDAY(Main[[#This Row],[Tech Start Date]],5),""))))</f>
        <v/>
      </c>
      <c r="P118" s="77" t="str">
        <f>IF(Main[[#This Row],[Tech Start Date]]&lt;1/1/1990,"",IF(Main[[#This Row],[Class]]="C",WORKDAY(Main[[#This Row],[Tech Start Date]],28),IF(Main[[#This Row],[Class]]="B", WORKDAY(Main[[#This Row],[Tech Start Date]],19),IF(Main[[#This Row],[Class]]="A",WORKDAY(Main[[#This Row],[Tech Start Date]],9),""))))</f>
        <v/>
      </c>
      <c r="Q118" s="74"/>
      <c r="R118" s="74"/>
      <c r="S118" s="72" t="s">
        <v>6</v>
      </c>
      <c r="T118" s="80" t="s">
        <v>4</v>
      </c>
      <c r="U118" s="72" t="s">
        <v>29</v>
      </c>
      <c r="V118" s="72" t="s">
        <v>1932</v>
      </c>
      <c r="W118" s="72" t="s">
        <v>1936</v>
      </c>
      <c r="X118" s="72" t="s">
        <v>102</v>
      </c>
      <c r="Y118" s="72" t="s">
        <v>3029</v>
      </c>
      <c r="Z118" s="72" t="s">
        <v>4</v>
      </c>
      <c r="AA118" s="147" t="s">
        <v>3561</v>
      </c>
    </row>
    <row r="119" spans="1:27" ht="18.600000000000001" customHeight="1">
      <c r="A119" s="140" t="str">
        <f>IF(priority(Main[[#This Row],[Comments]])&lt;&gt;0, priority(Main[[#This Row],[Comments]]),"")</f>
        <v/>
      </c>
      <c r="B119" s="90" t="s">
        <v>1027</v>
      </c>
      <c r="C119" s="72" t="s">
        <v>26</v>
      </c>
      <c r="D119" s="73" t="s">
        <v>27</v>
      </c>
      <c r="E119" s="74"/>
      <c r="F119" s="74">
        <v>40563</v>
      </c>
      <c r="G119" s="75" t="str">
        <f>IF(stdProdLT(Main[[#This Row],[Comments]])=0.1,"N/A",IF(stdProdLT(Main[[#This Row],[Comments]])=0,"",stdProdLT(Main[[#This Row],[Comments]])))</f>
        <v/>
      </c>
      <c r="H119" s="76" t="str">
        <f>IF(AND(Main[[#This Row],[In Stock Date]]&lt;&gt;"",Main[[#This Row],[Revised Due Date]]&lt;&gt;""),Main[[#This Row],[In Stock Date]]-Main[[#This Row],[Revised Due Date]],"")</f>
        <v/>
      </c>
      <c r="I119" s="72" t="s">
        <v>4</v>
      </c>
      <c r="J119" s="72" t="s">
        <v>28</v>
      </c>
      <c r="K119" s="72" t="s">
        <v>1939</v>
      </c>
      <c r="L119" s="74"/>
      <c r="M119" s="77" t="str">
        <f>IF(Main[[#This Row],[Tech Start Date]]&lt;1/1/1990,"",IF(Main[[#This Row],[Class]]="C",WORKDAY(Main[[#This Row],[Tech Start Date]],9),IF(Main[[#This Row],[Class]]="B", WORKDAY(Main[[#This Row],[Tech Start Date]],6),IF(Main[[#This Row],[Class]]="A",WORKDAY(Main[[#This Row],[Tech Start Date]],2),""))))</f>
        <v/>
      </c>
      <c r="N119" s="77" t="str">
        <f>IF(Main[[#This Row],[Tech Start Date]]&lt;1/1/1990,"",IF(Main[[#This Row],[Class]]="C",WORKDAY(Main[[#This Row],[Tech Start Date]],19),IF(Main[[#This Row],[Class]]="B", WORKDAY(Main[[#This Row],[Tech Start Date]],12),IF(Main[[#This Row],[Class]]="A",WORKDAY(Main[[#This Row],[Tech Start Date]],4),""))))</f>
        <v/>
      </c>
      <c r="O119" s="77" t="str">
        <f>IF(Main[[#This Row],[Tech Start Date]]&lt;1/1/1990,"",IF(Main[[#This Row],[Class]]="C",WORKDAY(Main[[#This Row],[Tech Start Date]],23),IF(Main[[#This Row],[Class]]="B", WORKDAY(Main[[#This Row],[Tech Start Date]],15),IF(Main[[#This Row],[Class]]="A",WORKDAY(Main[[#This Row],[Tech Start Date]],5),""))))</f>
        <v/>
      </c>
      <c r="P119" s="77" t="str">
        <f>IF(Main[[#This Row],[Tech Start Date]]&lt;1/1/1990,"",IF(Main[[#This Row],[Class]]="C",WORKDAY(Main[[#This Row],[Tech Start Date]],28),IF(Main[[#This Row],[Class]]="B", WORKDAY(Main[[#This Row],[Tech Start Date]],19),IF(Main[[#This Row],[Class]]="A",WORKDAY(Main[[#This Row],[Tech Start Date]],9),""))))</f>
        <v/>
      </c>
      <c r="Q119" s="74">
        <v>40563</v>
      </c>
      <c r="R119" s="74"/>
      <c r="S119" s="72" t="s">
        <v>11</v>
      </c>
      <c r="T119" s="80" t="s">
        <v>4</v>
      </c>
      <c r="U119" s="72" t="s">
        <v>14</v>
      </c>
      <c r="V119" s="72" t="s">
        <v>1933</v>
      </c>
      <c r="W119" s="72" t="s">
        <v>1934</v>
      </c>
      <c r="X119" s="72" t="s">
        <v>2899</v>
      </c>
      <c r="Y119" s="72" t="s">
        <v>3014</v>
      </c>
      <c r="Z119" s="72" t="s">
        <v>3249</v>
      </c>
      <c r="AA119" s="147" t="s">
        <v>2899</v>
      </c>
    </row>
    <row r="120" spans="1:27" ht="18.600000000000001" customHeight="1">
      <c r="A120" s="140" t="str">
        <f>IF(priority(Main[[#This Row],[Comments]])&lt;&gt;0, priority(Main[[#This Row],[Comments]]),"")</f>
        <v/>
      </c>
      <c r="B120" s="90" t="s">
        <v>1952</v>
      </c>
      <c r="C120" s="72" t="s">
        <v>4</v>
      </c>
      <c r="D120" s="73" t="s">
        <v>1953</v>
      </c>
      <c r="E120" s="74"/>
      <c r="F120" s="74">
        <v>40309</v>
      </c>
      <c r="G120" s="75" t="str">
        <f>IF(stdProdLT(Main[[#This Row],[Comments]])=0.1,"N/A",IF(stdProdLT(Main[[#This Row],[Comments]])=0,"",stdProdLT(Main[[#This Row],[Comments]])))</f>
        <v/>
      </c>
      <c r="H120" s="76" t="str">
        <f>IF(AND(Main[[#This Row],[In Stock Date]]&lt;&gt;"",Main[[#This Row],[Revised Due Date]]&lt;&gt;""),Main[[#This Row],[In Stock Date]]-Main[[#This Row],[Revised Due Date]],"")</f>
        <v/>
      </c>
      <c r="I120" s="72" t="s">
        <v>4</v>
      </c>
      <c r="J120" s="72" t="s">
        <v>4</v>
      </c>
      <c r="K120" s="72" t="s">
        <v>4</v>
      </c>
      <c r="L120" s="74"/>
      <c r="M120" s="77" t="str">
        <f>IF(Main[[#This Row],[Tech Start Date]]&lt;1/1/1990,"",IF(Main[[#This Row],[Class]]="C",WORKDAY(Main[[#This Row],[Tech Start Date]],9),IF(Main[[#This Row],[Class]]="B", WORKDAY(Main[[#This Row],[Tech Start Date]],6),IF(Main[[#This Row],[Class]]="A",WORKDAY(Main[[#This Row],[Tech Start Date]],2),""))))</f>
        <v/>
      </c>
      <c r="N120" s="77" t="str">
        <f>IF(Main[[#This Row],[Tech Start Date]]&lt;1/1/1990,"",IF(Main[[#This Row],[Class]]="C",WORKDAY(Main[[#This Row],[Tech Start Date]],19),IF(Main[[#This Row],[Class]]="B", WORKDAY(Main[[#This Row],[Tech Start Date]],12),IF(Main[[#This Row],[Class]]="A",WORKDAY(Main[[#This Row],[Tech Start Date]],4),""))))</f>
        <v/>
      </c>
      <c r="O120" s="77" t="str">
        <f>IF(Main[[#This Row],[Tech Start Date]]&lt;1/1/1990,"",IF(Main[[#This Row],[Class]]="C",WORKDAY(Main[[#This Row],[Tech Start Date]],23),IF(Main[[#This Row],[Class]]="B", WORKDAY(Main[[#This Row],[Tech Start Date]],15),IF(Main[[#This Row],[Class]]="A",WORKDAY(Main[[#This Row],[Tech Start Date]],5),""))))</f>
        <v/>
      </c>
      <c r="P120" s="77" t="str">
        <f>IF(Main[[#This Row],[Tech Start Date]]&lt;1/1/1990,"",IF(Main[[#This Row],[Class]]="C",WORKDAY(Main[[#This Row],[Tech Start Date]],28),IF(Main[[#This Row],[Class]]="B", WORKDAY(Main[[#This Row],[Tech Start Date]],19),IF(Main[[#This Row],[Class]]="A",WORKDAY(Main[[#This Row],[Tech Start Date]],9),""))))</f>
        <v/>
      </c>
      <c r="Q120" s="74">
        <v>40305</v>
      </c>
      <c r="R120" s="74"/>
      <c r="S120" s="72" t="s">
        <v>6</v>
      </c>
      <c r="T120" s="80" t="s">
        <v>4</v>
      </c>
      <c r="U120" s="72" t="s">
        <v>14</v>
      </c>
      <c r="V120" s="72" t="s">
        <v>1932</v>
      </c>
      <c r="W120" s="72" t="s">
        <v>1940</v>
      </c>
      <c r="X120" s="72" t="s">
        <v>2908</v>
      </c>
      <c r="Y120" s="72" t="s">
        <v>3030</v>
      </c>
      <c r="Z120" s="72" t="s">
        <v>4</v>
      </c>
      <c r="AA120" s="147" t="s">
        <v>2908</v>
      </c>
    </row>
    <row r="121" spans="1:27" ht="18.600000000000001" customHeight="1">
      <c r="A121" s="140" t="str">
        <f>IF(priority(Main[[#This Row],[Comments]])&lt;&gt;0, priority(Main[[#This Row],[Comments]]),"")</f>
        <v/>
      </c>
      <c r="B121" s="90" t="s">
        <v>1028</v>
      </c>
      <c r="C121" s="72" t="s">
        <v>4</v>
      </c>
      <c r="D121" s="73" t="s">
        <v>1966</v>
      </c>
      <c r="E121" s="74">
        <v>40130.654374999998</v>
      </c>
      <c r="F121" s="74"/>
      <c r="G121" s="75" t="str">
        <f>IF(stdProdLT(Main[[#This Row],[Comments]])=0.1,"N/A",IF(stdProdLT(Main[[#This Row],[Comments]])=0,"",stdProdLT(Main[[#This Row],[Comments]])))</f>
        <v/>
      </c>
      <c r="H121" s="76" t="str">
        <f>IF(AND(Main[[#This Row],[In Stock Date]]&lt;&gt;"",Main[[#This Row],[Revised Due Date]]&lt;&gt;""),Main[[#This Row],[In Stock Date]]-Main[[#This Row],[Revised Due Date]],"")</f>
        <v/>
      </c>
      <c r="I121" s="72" t="s">
        <v>4</v>
      </c>
      <c r="J121" s="72" t="s">
        <v>4</v>
      </c>
      <c r="K121" s="81" t="s">
        <v>4</v>
      </c>
      <c r="L121" s="74"/>
      <c r="M121" s="77" t="str">
        <f>IF(Main[[#This Row],[Tech Start Date]]&lt;1/1/1990,"",IF(Main[[#This Row],[Class]]="C",WORKDAY(Main[[#This Row],[Tech Start Date]],9),IF(Main[[#This Row],[Class]]="B", WORKDAY(Main[[#This Row],[Tech Start Date]],6),IF(Main[[#This Row],[Class]]="A",WORKDAY(Main[[#This Row],[Tech Start Date]],2),""))))</f>
        <v/>
      </c>
      <c r="N121" s="77" t="str">
        <f>IF(Main[[#This Row],[Tech Start Date]]&lt;1/1/1990,"",IF(Main[[#This Row],[Class]]="C",WORKDAY(Main[[#This Row],[Tech Start Date]],19),IF(Main[[#This Row],[Class]]="B", WORKDAY(Main[[#This Row],[Tech Start Date]],12),IF(Main[[#This Row],[Class]]="A",WORKDAY(Main[[#This Row],[Tech Start Date]],4),""))))</f>
        <v/>
      </c>
      <c r="O121" s="77" t="str">
        <f>IF(Main[[#This Row],[Tech Start Date]]&lt;1/1/1990,"",IF(Main[[#This Row],[Class]]="C",WORKDAY(Main[[#This Row],[Tech Start Date]],23),IF(Main[[#This Row],[Class]]="B", WORKDAY(Main[[#This Row],[Tech Start Date]],15),IF(Main[[#This Row],[Class]]="A",WORKDAY(Main[[#This Row],[Tech Start Date]],5),""))))</f>
        <v/>
      </c>
      <c r="P121" s="77" t="str">
        <f>IF(Main[[#This Row],[Tech Start Date]]&lt;1/1/1990,"",IF(Main[[#This Row],[Class]]="C",WORKDAY(Main[[#This Row],[Tech Start Date]],28),IF(Main[[#This Row],[Class]]="B", WORKDAY(Main[[#This Row],[Tech Start Date]],19),IF(Main[[#This Row],[Class]]="A",WORKDAY(Main[[#This Row],[Tech Start Date]],9),""))))</f>
        <v/>
      </c>
      <c r="Q121" s="74"/>
      <c r="R121" s="74"/>
      <c r="S121" s="72" t="s">
        <v>6</v>
      </c>
      <c r="T121" s="80" t="s">
        <v>4</v>
      </c>
      <c r="U121" s="72" t="s">
        <v>29</v>
      </c>
      <c r="V121" s="72" t="s">
        <v>1932</v>
      </c>
      <c r="W121" s="72" t="s">
        <v>1940</v>
      </c>
      <c r="X121" s="72" t="s">
        <v>2904</v>
      </c>
      <c r="Y121" s="72" t="s">
        <v>3031</v>
      </c>
      <c r="Z121" s="72" t="s">
        <v>4</v>
      </c>
      <c r="AA121" s="147" t="s">
        <v>2957</v>
      </c>
    </row>
    <row r="122" spans="1:27" ht="18.600000000000001" customHeight="1">
      <c r="A122" s="140" t="str">
        <f>IF(priority(Main[[#This Row],[Comments]])&lt;&gt;0, priority(Main[[#This Row],[Comments]]),"")</f>
        <v/>
      </c>
      <c r="B122" s="90" t="s">
        <v>1030</v>
      </c>
      <c r="C122" s="72" t="s">
        <v>31</v>
      </c>
      <c r="D122" s="73" t="s">
        <v>32</v>
      </c>
      <c r="E122" s="74"/>
      <c r="F122" s="74">
        <v>40634</v>
      </c>
      <c r="G122" s="75" t="str">
        <f>IF(stdProdLT(Main[[#This Row],[Comments]])=0.1,"N/A",IF(stdProdLT(Main[[#This Row],[Comments]])=0,"",stdProdLT(Main[[#This Row],[Comments]])))</f>
        <v/>
      </c>
      <c r="H122" s="76" t="str">
        <f>IF(AND(Main[[#This Row],[In Stock Date]]&lt;&gt;"",Main[[#This Row],[Revised Due Date]]&lt;&gt;""),Main[[#This Row],[In Stock Date]]-Main[[#This Row],[Revised Due Date]],"")</f>
        <v/>
      </c>
      <c r="I122" s="72" t="s">
        <v>4</v>
      </c>
      <c r="J122" s="72" t="s">
        <v>4</v>
      </c>
      <c r="K122" s="72" t="s">
        <v>4</v>
      </c>
      <c r="L122" s="74"/>
      <c r="M122" s="77" t="str">
        <f>IF(Main[[#This Row],[Tech Start Date]]&lt;1/1/1990,"",IF(Main[[#This Row],[Class]]="C",WORKDAY(Main[[#This Row],[Tech Start Date]],9),IF(Main[[#This Row],[Class]]="B", WORKDAY(Main[[#This Row],[Tech Start Date]],6),IF(Main[[#This Row],[Class]]="A",WORKDAY(Main[[#This Row],[Tech Start Date]],2),""))))</f>
        <v/>
      </c>
      <c r="N122" s="77" t="str">
        <f>IF(Main[[#This Row],[Tech Start Date]]&lt;1/1/1990,"",IF(Main[[#This Row],[Class]]="C",WORKDAY(Main[[#This Row],[Tech Start Date]],19),IF(Main[[#This Row],[Class]]="B", WORKDAY(Main[[#This Row],[Tech Start Date]],12),IF(Main[[#This Row],[Class]]="A",WORKDAY(Main[[#This Row],[Tech Start Date]],4),""))))</f>
        <v/>
      </c>
      <c r="O122" s="77" t="str">
        <f>IF(Main[[#This Row],[Tech Start Date]]&lt;1/1/1990,"",IF(Main[[#This Row],[Class]]="C",WORKDAY(Main[[#This Row],[Tech Start Date]],23),IF(Main[[#This Row],[Class]]="B", WORKDAY(Main[[#This Row],[Tech Start Date]],15),IF(Main[[#This Row],[Class]]="A",WORKDAY(Main[[#This Row],[Tech Start Date]],5),""))))</f>
        <v/>
      </c>
      <c r="P122" s="77" t="str">
        <f>IF(Main[[#This Row],[Tech Start Date]]&lt;1/1/1990,"",IF(Main[[#This Row],[Class]]="C",WORKDAY(Main[[#This Row],[Tech Start Date]],28),IF(Main[[#This Row],[Class]]="B", WORKDAY(Main[[#This Row],[Tech Start Date]],19),IF(Main[[#This Row],[Class]]="A",WORKDAY(Main[[#This Row],[Tech Start Date]],9),""))))</f>
        <v/>
      </c>
      <c r="Q122" s="74"/>
      <c r="R122" s="74"/>
      <c r="S122" s="72" t="s">
        <v>11</v>
      </c>
      <c r="T122" s="80" t="s">
        <v>4</v>
      </c>
      <c r="U122" s="72" t="s">
        <v>14</v>
      </c>
      <c r="V122" s="72" t="s">
        <v>1935</v>
      </c>
      <c r="W122" s="72" t="s">
        <v>1937</v>
      </c>
      <c r="X122" s="72" t="s">
        <v>2909</v>
      </c>
      <c r="Y122" s="72" t="s">
        <v>3032</v>
      </c>
      <c r="Z122" s="72" t="s">
        <v>4</v>
      </c>
      <c r="AA122" s="147" t="s">
        <v>2929</v>
      </c>
    </row>
    <row r="123" spans="1:27" ht="18.600000000000001" customHeight="1">
      <c r="A123" s="140" t="str">
        <f>IF(priority(Main[[#This Row],[Comments]])&lt;&gt;0, priority(Main[[#This Row],[Comments]]),"")</f>
        <v/>
      </c>
      <c r="B123" s="90" t="s">
        <v>1031</v>
      </c>
      <c r="C123" s="72" t="s">
        <v>33</v>
      </c>
      <c r="D123" s="73" t="s">
        <v>34</v>
      </c>
      <c r="E123" s="74"/>
      <c r="F123" s="74">
        <v>40764</v>
      </c>
      <c r="G123" s="75" t="str">
        <f>IF(stdProdLT(Main[[#This Row],[Comments]])=0.1,"N/A",IF(stdProdLT(Main[[#This Row],[Comments]])=0,"",stdProdLT(Main[[#This Row],[Comments]])))</f>
        <v/>
      </c>
      <c r="H123" s="76" t="str">
        <f>IF(AND(Main[[#This Row],[In Stock Date]]&lt;&gt;"",Main[[#This Row],[Revised Due Date]]&lt;&gt;""),Main[[#This Row],[In Stock Date]]-Main[[#This Row],[Revised Due Date]],"")</f>
        <v/>
      </c>
      <c r="I123" s="72" t="s">
        <v>4</v>
      </c>
      <c r="J123" s="72" t="s">
        <v>28</v>
      </c>
      <c r="K123" s="72" t="s">
        <v>1939</v>
      </c>
      <c r="L123" s="74"/>
      <c r="M123" s="77" t="str">
        <f>IF(Main[[#This Row],[Tech Start Date]]&lt;1/1/1990,"",IF(Main[[#This Row],[Class]]="C",WORKDAY(Main[[#This Row],[Tech Start Date]],9),IF(Main[[#This Row],[Class]]="B", WORKDAY(Main[[#This Row],[Tech Start Date]],6),IF(Main[[#This Row],[Class]]="A",WORKDAY(Main[[#This Row],[Tech Start Date]],2),""))))</f>
        <v/>
      </c>
      <c r="N123" s="77" t="str">
        <f>IF(Main[[#This Row],[Tech Start Date]]&lt;1/1/1990,"",IF(Main[[#This Row],[Class]]="C",WORKDAY(Main[[#This Row],[Tech Start Date]],19),IF(Main[[#This Row],[Class]]="B", WORKDAY(Main[[#This Row],[Tech Start Date]],12),IF(Main[[#This Row],[Class]]="A",WORKDAY(Main[[#This Row],[Tech Start Date]],4),""))))</f>
        <v/>
      </c>
      <c r="O123" s="77" t="str">
        <f>IF(Main[[#This Row],[Tech Start Date]]&lt;1/1/1990,"",IF(Main[[#This Row],[Class]]="C",WORKDAY(Main[[#This Row],[Tech Start Date]],23),IF(Main[[#This Row],[Class]]="B", WORKDAY(Main[[#This Row],[Tech Start Date]],15),IF(Main[[#This Row],[Class]]="A",WORKDAY(Main[[#This Row],[Tech Start Date]],5),""))))</f>
        <v/>
      </c>
      <c r="P123" s="77" t="str">
        <f>IF(Main[[#This Row],[Tech Start Date]]&lt;1/1/1990,"",IF(Main[[#This Row],[Class]]="C",WORKDAY(Main[[#This Row],[Tech Start Date]],28),IF(Main[[#This Row],[Class]]="B", WORKDAY(Main[[#This Row],[Tech Start Date]],19),IF(Main[[#This Row],[Class]]="A",WORKDAY(Main[[#This Row],[Tech Start Date]],9),""))))</f>
        <v/>
      </c>
      <c r="Q123" s="74">
        <v>40568</v>
      </c>
      <c r="R123" s="74"/>
      <c r="S123" s="72" t="s">
        <v>11</v>
      </c>
      <c r="T123" s="80" t="s">
        <v>4</v>
      </c>
      <c r="U123" s="72" t="s">
        <v>14</v>
      </c>
      <c r="V123" s="72" t="s">
        <v>1932</v>
      </c>
      <c r="W123" s="72" t="s">
        <v>1940</v>
      </c>
      <c r="X123" s="72" t="s">
        <v>2910</v>
      </c>
      <c r="Y123" s="72" t="s">
        <v>3033</v>
      </c>
      <c r="Z123" s="72" t="s">
        <v>129</v>
      </c>
      <c r="AA123" s="147" t="s">
        <v>2910</v>
      </c>
    </row>
    <row r="124" spans="1:27" ht="18.600000000000001" customHeight="1">
      <c r="A124" s="140" t="str">
        <f>IF(priority(Main[[#This Row],[Comments]])&lt;&gt;0, priority(Main[[#This Row],[Comments]]),"")</f>
        <v/>
      </c>
      <c r="B124" s="90" t="s">
        <v>1954</v>
      </c>
      <c r="C124" s="72" t="s">
        <v>4</v>
      </c>
      <c r="D124" s="73" t="s">
        <v>35</v>
      </c>
      <c r="E124" s="74"/>
      <c r="F124" s="74"/>
      <c r="G124" s="75" t="str">
        <f>IF(stdProdLT(Main[[#This Row],[Comments]])=0.1,"N/A",IF(stdProdLT(Main[[#This Row],[Comments]])=0,"",stdProdLT(Main[[#This Row],[Comments]])))</f>
        <v/>
      </c>
      <c r="H124" s="76" t="str">
        <f>IF(AND(Main[[#This Row],[In Stock Date]]&lt;&gt;"",Main[[#This Row],[Revised Due Date]]&lt;&gt;""),Main[[#This Row],[In Stock Date]]-Main[[#This Row],[Revised Due Date]],"")</f>
        <v/>
      </c>
      <c r="I124" s="72" t="s">
        <v>4</v>
      </c>
      <c r="J124" s="72" t="s">
        <v>4</v>
      </c>
      <c r="K124" s="72" t="s">
        <v>4</v>
      </c>
      <c r="L124" s="74"/>
      <c r="M124" s="77" t="str">
        <f>IF(Main[[#This Row],[Tech Start Date]]&lt;1/1/1990,"",IF(Main[[#This Row],[Class]]="C",WORKDAY(Main[[#This Row],[Tech Start Date]],9),IF(Main[[#This Row],[Class]]="B", WORKDAY(Main[[#This Row],[Tech Start Date]],6),IF(Main[[#This Row],[Class]]="A",WORKDAY(Main[[#This Row],[Tech Start Date]],2),""))))</f>
        <v/>
      </c>
      <c r="N124" s="77" t="str">
        <f>IF(Main[[#This Row],[Tech Start Date]]&lt;1/1/1990,"",IF(Main[[#This Row],[Class]]="C",WORKDAY(Main[[#This Row],[Tech Start Date]],19),IF(Main[[#This Row],[Class]]="B", WORKDAY(Main[[#This Row],[Tech Start Date]],12),IF(Main[[#This Row],[Class]]="A",WORKDAY(Main[[#This Row],[Tech Start Date]],4),""))))</f>
        <v/>
      </c>
      <c r="O124" s="77" t="str">
        <f>IF(Main[[#This Row],[Tech Start Date]]&lt;1/1/1990,"",IF(Main[[#This Row],[Class]]="C",WORKDAY(Main[[#This Row],[Tech Start Date]],23),IF(Main[[#This Row],[Class]]="B", WORKDAY(Main[[#This Row],[Tech Start Date]],15),IF(Main[[#This Row],[Class]]="A",WORKDAY(Main[[#This Row],[Tech Start Date]],5),""))))</f>
        <v/>
      </c>
      <c r="P124" s="77" t="str">
        <f>IF(Main[[#This Row],[Tech Start Date]]&lt;1/1/1990,"",IF(Main[[#This Row],[Class]]="C",WORKDAY(Main[[#This Row],[Tech Start Date]],28),IF(Main[[#This Row],[Class]]="B", WORKDAY(Main[[#This Row],[Tech Start Date]],19),IF(Main[[#This Row],[Class]]="A",WORKDAY(Main[[#This Row],[Tech Start Date]],9),""))))</f>
        <v/>
      </c>
      <c r="Q124" s="74"/>
      <c r="R124" s="74"/>
      <c r="S124" s="72" t="s">
        <v>23</v>
      </c>
      <c r="T124" s="80" t="s">
        <v>4</v>
      </c>
      <c r="U124" s="72" t="s">
        <v>14</v>
      </c>
      <c r="V124" s="72" t="s">
        <v>1942</v>
      </c>
      <c r="W124" s="72" t="s">
        <v>1936</v>
      </c>
      <c r="X124" s="72" t="s">
        <v>403</v>
      </c>
      <c r="Y124" s="72" t="s">
        <v>4</v>
      </c>
      <c r="Z124" s="72" t="s">
        <v>4</v>
      </c>
      <c r="AA124" s="147" t="s">
        <v>3562</v>
      </c>
    </row>
    <row r="125" spans="1:27" ht="18.600000000000001" customHeight="1">
      <c r="A125" s="140" t="str">
        <f>IF(priority(Main[[#This Row],[Comments]])&lt;&gt;0, priority(Main[[#This Row],[Comments]]),"")</f>
        <v/>
      </c>
      <c r="B125" s="90" t="s">
        <v>1032</v>
      </c>
      <c r="C125" s="72" t="s">
        <v>4</v>
      </c>
      <c r="D125" s="73" t="s">
        <v>36</v>
      </c>
      <c r="E125" s="74"/>
      <c r="F125" s="74"/>
      <c r="G125" s="75" t="str">
        <f>IF(stdProdLT(Main[[#This Row],[Comments]])=0.1,"N/A",IF(stdProdLT(Main[[#This Row],[Comments]])=0,"",stdProdLT(Main[[#This Row],[Comments]])))</f>
        <v/>
      </c>
      <c r="H125" s="76" t="str">
        <f>IF(AND(Main[[#This Row],[In Stock Date]]&lt;&gt;"",Main[[#This Row],[Revised Due Date]]&lt;&gt;""),Main[[#This Row],[In Stock Date]]-Main[[#This Row],[Revised Due Date]],"")</f>
        <v/>
      </c>
      <c r="I125" s="72" t="s">
        <v>4</v>
      </c>
      <c r="J125" s="72" t="s">
        <v>4</v>
      </c>
      <c r="K125" s="72" t="s">
        <v>4</v>
      </c>
      <c r="L125" s="74"/>
      <c r="M125" s="77" t="str">
        <f>IF(Main[[#This Row],[Tech Start Date]]&lt;1/1/1990,"",IF(Main[[#This Row],[Class]]="C",WORKDAY(Main[[#This Row],[Tech Start Date]],9),IF(Main[[#This Row],[Class]]="B", WORKDAY(Main[[#This Row],[Tech Start Date]],6),IF(Main[[#This Row],[Class]]="A",WORKDAY(Main[[#This Row],[Tech Start Date]],2),""))))</f>
        <v/>
      </c>
      <c r="N125" s="77" t="str">
        <f>IF(Main[[#This Row],[Tech Start Date]]&lt;1/1/1990,"",IF(Main[[#This Row],[Class]]="C",WORKDAY(Main[[#This Row],[Tech Start Date]],19),IF(Main[[#This Row],[Class]]="B", WORKDAY(Main[[#This Row],[Tech Start Date]],12),IF(Main[[#This Row],[Class]]="A",WORKDAY(Main[[#This Row],[Tech Start Date]],4),""))))</f>
        <v/>
      </c>
      <c r="O125" s="77" t="str">
        <f>IF(Main[[#This Row],[Tech Start Date]]&lt;1/1/1990,"",IF(Main[[#This Row],[Class]]="C",WORKDAY(Main[[#This Row],[Tech Start Date]],23),IF(Main[[#This Row],[Class]]="B", WORKDAY(Main[[#This Row],[Tech Start Date]],15),IF(Main[[#This Row],[Class]]="A",WORKDAY(Main[[#This Row],[Tech Start Date]],5),""))))</f>
        <v/>
      </c>
      <c r="P125" s="77" t="str">
        <f>IF(Main[[#This Row],[Tech Start Date]]&lt;1/1/1990,"",IF(Main[[#This Row],[Class]]="C",WORKDAY(Main[[#This Row],[Tech Start Date]],28),IF(Main[[#This Row],[Class]]="B", WORKDAY(Main[[#This Row],[Tech Start Date]],19),IF(Main[[#This Row],[Class]]="A",WORKDAY(Main[[#This Row],[Tech Start Date]],9),""))))</f>
        <v/>
      </c>
      <c r="Q125" s="74">
        <v>40781</v>
      </c>
      <c r="R125" s="74"/>
      <c r="S125" s="72" t="s">
        <v>11</v>
      </c>
      <c r="T125" s="80" t="s">
        <v>4</v>
      </c>
      <c r="U125" s="72" t="s">
        <v>14</v>
      </c>
      <c r="V125" s="72" t="s">
        <v>1932</v>
      </c>
      <c r="W125" s="72" t="s">
        <v>1936</v>
      </c>
      <c r="X125" s="72" t="s">
        <v>2905</v>
      </c>
      <c r="Y125" s="72" t="s">
        <v>3023</v>
      </c>
      <c r="Z125" s="72" t="s">
        <v>4</v>
      </c>
      <c r="AA125" s="147" t="s">
        <v>2905</v>
      </c>
    </row>
    <row r="126" spans="1:27" ht="18.600000000000001" customHeight="1">
      <c r="A126" s="140" t="str">
        <f>IF(priority(Main[[#This Row],[Comments]])&lt;&gt;0, priority(Main[[#This Row],[Comments]]),"")</f>
        <v/>
      </c>
      <c r="B126" s="90" t="s">
        <v>1033</v>
      </c>
      <c r="C126" s="72" t="s">
        <v>26</v>
      </c>
      <c r="D126" s="73" t="s">
        <v>38</v>
      </c>
      <c r="E126" s="74"/>
      <c r="F126" s="74">
        <v>40743</v>
      </c>
      <c r="G126" s="75" t="str">
        <f>IF(stdProdLT(Main[[#This Row],[Comments]])=0.1,"N/A",IF(stdProdLT(Main[[#This Row],[Comments]])=0,"",stdProdLT(Main[[#This Row],[Comments]])))</f>
        <v/>
      </c>
      <c r="H126" s="76" t="str">
        <f>IF(AND(Main[[#This Row],[In Stock Date]]&lt;&gt;"",Main[[#This Row],[Revised Due Date]]&lt;&gt;""),Main[[#This Row],[In Stock Date]]-Main[[#This Row],[Revised Due Date]],"")</f>
        <v/>
      </c>
      <c r="I126" s="72" t="s">
        <v>4</v>
      </c>
      <c r="J126" s="72" t="s">
        <v>28</v>
      </c>
      <c r="K126" s="72" t="s">
        <v>4</v>
      </c>
      <c r="L126" s="74"/>
      <c r="M126" s="77" t="str">
        <f>IF(Main[[#This Row],[Tech Start Date]]&lt;1/1/1990,"",IF(Main[[#This Row],[Class]]="C",WORKDAY(Main[[#This Row],[Tech Start Date]],9),IF(Main[[#This Row],[Class]]="B", WORKDAY(Main[[#This Row],[Tech Start Date]],6),IF(Main[[#This Row],[Class]]="A",WORKDAY(Main[[#This Row],[Tech Start Date]],2),""))))</f>
        <v/>
      </c>
      <c r="N126" s="77" t="str">
        <f>IF(Main[[#This Row],[Tech Start Date]]&lt;1/1/1990,"",IF(Main[[#This Row],[Class]]="C",WORKDAY(Main[[#This Row],[Tech Start Date]],19),IF(Main[[#This Row],[Class]]="B", WORKDAY(Main[[#This Row],[Tech Start Date]],12),IF(Main[[#This Row],[Class]]="A",WORKDAY(Main[[#This Row],[Tech Start Date]],4),""))))</f>
        <v/>
      </c>
      <c r="O126" s="77" t="str">
        <f>IF(Main[[#This Row],[Tech Start Date]]&lt;1/1/1990,"",IF(Main[[#This Row],[Class]]="C",WORKDAY(Main[[#This Row],[Tech Start Date]],23),IF(Main[[#This Row],[Class]]="B", WORKDAY(Main[[#This Row],[Tech Start Date]],15),IF(Main[[#This Row],[Class]]="A",WORKDAY(Main[[#This Row],[Tech Start Date]],5),""))))</f>
        <v/>
      </c>
      <c r="P126" s="77" t="str">
        <f>IF(Main[[#This Row],[Tech Start Date]]&lt;1/1/1990,"",IF(Main[[#This Row],[Class]]="C",WORKDAY(Main[[#This Row],[Tech Start Date]],28),IF(Main[[#This Row],[Class]]="B", WORKDAY(Main[[#This Row],[Tech Start Date]],19),IF(Main[[#This Row],[Class]]="A",WORKDAY(Main[[#This Row],[Tech Start Date]],9),""))))</f>
        <v/>
      </c>
      <c r="Q126" s="74">
        <v>40638</v>
      </c>
      <c r="R126" s="74"/>
      <c r="S126" s="72" t="s">
        <v>11</v>
      </c>
      <c r="T126" s="80" t="s">
        <v>4</v>
      </c>
      <c r="U126" s="72" t="s">
        <v>12</v>
      </c>
      <c r="V126" s="72" t="s">
        <v>1932</v>
      </c>
      <c r="W126" s="72" t="s">
        <v>1940</v>
      </c>
      <c r="X126" s="72" t="s">
        <v>129</v>
      </c>
      <c r="Y126" s="72" t="s">
        <v>4</v>
      </c>
      <c r="Z126" s="72" t="s">
        <v>129</v>
      </c>
      <c r="AA126" s="147" t="s">
        <v>3563</v>
      </c>
    </row>
    <row r="127" spans="1:27" ht="18.600000000000001" customHeight="1">
      <c r="A127" s="140" t="str">
        <f>IF(priority(Main[[#This Row],[Comments]])&lt;&gt;0, priority(Main[[#This Row],[Comments]]),"")</f>
        <v/>
      </c>
      <c r="B127" s="90" t="s">
        <v>1034</v>
      </c>
      <c r="C127" s="72" t="s">
        <v>4</v>
      </c>
      <c r="D127" s="73" t="s">
        <v>39</v>
      </c>
      <c r="E127" s="74"/>
      <c r="F127" s="74"/>
      <c r="G127" s="75" t="str">
        <f>IF(stdProdLT(Main[[#This Row],[Comments]])=0.1,"N/A",IF(stdProdLT(Main[[#This Row],[Comments]])=0,"",stdProdLT(Main[[#This Row],[Comments]])))</f>
        <v/>
      </c>
      <c r="H127" s="76" t="str">
        <f>IF(AND(Main[[#This Row],[In Stock Date]]&lt;&gt;"",Main[[#This Row],[Revised Due Date]]&lt;&gt;""),Main[[#This Row],[In Stock Date]]-Main[[#This Row],[Revised Due Date]],"")</f>
        <v/>
      </c>
      <c r="I127" s="72" t="s">
        <v>4</v>
      </c>
      <c r="J127" s="72" t="s">
        <v>4</v>
      </c>
      <c r="K127" s="72" t="s">
        <v>4</v>
      </c>
      <c r="L127" s="74"/>
      <c r="M127" s="77" t="str">
        <f>IF(Main[[#This Row],[Tech Start Date]]&lt;1/1/1990,"",IF(Main[[#This Row],[Class]]="C",WORKDAY(Main[[#This Row],[Tech Start Date]],9),IF(Main[[#This Row],[Class]]="B", WORKDAY(Main[[#This Row],[Tech Start Date]],6),IF(Main[[#This Row],[Class]]="A",WORKDAY(Main[[#This Row],[Tech Start Date]],2),""))))</f>
        <v/>
      </c>
      <c r="N127" s="77" t="str">
        <f>IF(Main[[#This Row],[Tech Start Date]]&lt;1/1/1990,"",IF(Main[[#This Row],[Class]]="C",WORKDAY(Main[[#This Row],[Tech Start Date]],19),IF(Main[[#This Row],[Class]]="B", WORKDAY(Main[[#This Row],[Tech Start Date]],12),IF(Main[[#This Row],[Class]]="A",WORKDAY(Main[[#This Row],[Tech Start Date]],4),""))))</f>
        <v/>
      </c>
      <c r="O127" s="77" t="str">
        <f>IF(Main[[#This Row],[Tech Start Date]]&lt;1/1/1990,"",IF(Main[[#This Row],[Class]]="C",WORKDAY(Main[[#This Row],[Tech Start Date]],23),IF(Main[[#This Row],[Class]]="B", WORKDAY(Main[[#This Row],[Tech Start Date]],15),IF(Main[[#This Row],[Class]]="A",WORKDAY(Main[[#This Row],[Tech Start Date]],5),""))))</f>
        <v/>
      </c>
      <c r="P127" s="77" t="str">
        <f>IF(Main[[#This Row],[Tech Start Date]]&lt;1/1/1990,"",IF(Main[[#This Row],[Class]]="C",WORKDAY(Main[[#This Row],[Tech Start Date]],28),IF(Main[[#This Row],[Class]]="B", WORKDAY(Main[[#This Row],[Tech Start Date]],19),IF(Main[[#This Row],[Class]]="A",WORKDAY(Main[[#This Row],[Tech Start Date]],9),""))))</f>
        <v/>
      </c>
      <c r="Q127" s="74">
        <v>40669</v>
      </c>
      <c r="R127" s="74"/>
      <c r="S127" s="72" t="s">
        <v>6</v>
      </c>
      <c r="T127" s="80" t="s">
        <v>4</v>
      </c>
      <c r="U127" s="72" t="s">
        <v>14</v>
      </c>
      <c r="V127" s="72" t="s">
        <v>1935</v>
      </c>
      <c r="W127" s="72" t="s">
        <v>4</v>
      </c>
      <c r="X127" s="72" t="s">
        <v>2902</v>
      </c>
      <c r="Y127" s="72" t="s">
        <v>3016</v>
      </c>
      <c r="Z127" s="72" t="s">
        <v>4</v>
      </c>
      <c r="AA127" s="147" t="s">
        <v>2902</v>
      </c>
    </row>
    <row r="128" spans="1:27" ht="18.600000000000001" customHeight="1">
      <c r="A128" s="140" t="str">
        <f>IF(priority(Main[[#This Row],[Comments]])&lt;&gt;0, priority(Main[[#This Row],[Comments]]),"")</f>
        <v/>
      </c>
      <c r="B128" s="90" t="s">
        <v>1035</v>
      </c>
      <c r="C128" s="72" t="s">
        <v>4</v>
      </c>
      <c r="D128" s="73" t="s">
        <v>40</v>
      </c>
      <c r="E128" s="74"/>
      <c r="F128" s="74"/>
      <c r="G128" s="75" t="str">
        <f>IF(stdProdLT(Main[[#This Row],[Comments]])=0.1,"N/A",IF(stdProdLT(Main[[#This Row],[Comments]])=0,"",stdProdLT(Main[[#This Row],[Comments]])))</f>
        <v/>
      </c>
      <c r="H128" s="76" t="str">
        <f>IF(AND(Main[[#This Row],[In Stock Date]]&lt;&gt;"",Main[[#This Row],[Revised Due Date]]&lt;&gt;""),Main[[#This Row],[In Stock Date]]-Main[[#This Row],[Revised Due Date]],"")</f>
        <v/>
      </c>
      <c r="I128" s="72" t="s">
        <v>4</v>
      </c>
      <c r="J128" s="72" t="s">
        <v>4</v>
      </c>
      <c r="K128" s="81" t="s">
        <v>4</v>
      </c>
      <c r="L128" s="74"/>
      <c r="M128" s="77" t="str">
        <f>IF(Main[[#This Row],[Tech Start Date]]&lt;1/1/1990,"",IF(Main[[#This Row],[Class]]="C",WORKDAY(Main[[#This Row],[Tech Start Date]],9),IF(Main[[#This Row],[Class]]="B", WORKDAY(Main[[#This Row],[Tech Start Date]],6),IF(Main[[#This Row],[Class]]="A",WORKDAY(Main[[#This Row],[Tech Start Date]],2),""))))</f>
        <v/>
      </c>
      <c r="N128" s="77" t="str">
        <f>IF(Main[[#This Row],[Tech Start Date]]&lt;1/1/1990,"",IF(Main[[#This Row],[Class]]="C",WORKDAY(Main[[#This Row],[Tech Start Date]],19),IF(Main[[#This Row],[Class]]="B", WORKDAY(Main[[#This Row],[Tech Start Date]],12),IF(Main[[#This Row],[Class]]="A",WORKDAY(Main[[#This Row],[Tech Start Date]],4),""))))</f>
        <v/>
      </c>
      <c r="O128" s="77" t="str">
        <f>IF(Main[[#This Row],[Tech Start Date]]&lt;1/1/1990,"",IF(Main[[#This Row],[Class]]="C",WORKDAY(Main[[#This Row],[Tech Start Date]],23),IF(Main[[#This Row],[Class]]="B", WORKDAY(Main[[#This Row],[Tech Start Date]],15),IF(Main[[#This Row],[Class]]="A",WORKDAY(Main[[#This Row],[Tech Start Date]],5),""))))</f>
        <v/>
      </c>
      <c r="P128" s="77" t="str">
        <f>IF(Main[[#This Row],[Tech Start Date]]&lt;1/1/1990,"",IF(Main[[#This Row],[Class]]="C",WORKDAY(Main[[#This Row],[Tech Start Date]],28),IF(Main[[#This Row],[Class]]="B", WORKDAY(Main[[#This Row],[Tech Start Date]],19),IF(Main[[#This Row],[Class]]="A",WORKDAY(Main[[#This Row],[Tech Start Date]],9),""))))</f>
        <v/>
      </c>
      <c r="Q128" s="74">
        <v>40368</v>
      </c>
      <c r="R128" s="74"/>
      <c r="S128" s="72" t="s">
        <v>6</v>
      </c>
      <c r="T128" s="80" t="s">
        <v>4</v>
      </c>
      <c r="U128" s="72" t="s">
        <v>14</v>
      </c>
      <c r="V128" s="72" t="s">
        <v>1942</v>
      </c>
      <c r="W128" s="72" t="s">
        <v>1934</v>
      </c>
      <c r="X128" s="72" t="s">
        <v>50</v>
      </c>
      <c r="Y128" s="72" t="s">
        <v>3034</v>
      </c>
      <c r="Z128" s="72" t="s">
        <v>4</v>
      </c>
      <c r="AA128" s="147" t="s">
        <v>983</v>
      </c>
    </row>
    <row r="129" spans="1:27" ht="18.600000000000001" customHeight="1">
      <c r="A129" s="140" t="str">
        <f>IF(priority(Main[[#This Row],[Comments]])&lt;&gt;0, priority(Main[[#This Row],[Comments]]),"")</f>
        <v/>
      </c>
      <c r="B129" s="90" t="s">
        <v>1036</v>
      </c>
      <c r="C129" s="72" t="s">
        <v>33</v>
      </c>
      <c r="D129" s="73" t="s">
        <v>41</v>
      </c>
      <c r="E129" s="74"/>
      <c r="F129" s="74"/>
      <c r="G129" s="75" t="str">
        <f>IF(stdProdLT(Main[[#This Row],[Comments]])=0.1,"N/A",IF(stdProdLT(Main[[#This Row],[Comments]])=0,"",stdProdLT(Main[[#This Row],[Comments]])))</f>
        <v/>
      </c>
      <c r="H129" s="76" t="str">
        <f>IF(AND(Main[[#This Row],[In Stock Date]]&lt;&gt;"",Main[[#This Row],[Revised Due Date]]&lt;&gt;""),Main[[#This Row],[In Stock Date]]-Main[[#This Row],[Revised Due Date]],"")</f>
        <v/>
      </c>
      <c r="I129" s="72" t="s">
        <v>4</v>
      </c>
      <c r="J129" s="72" t="s">
        <v>4</v>
      </c>
      <c r="K129" s="72" t="s">
        <v>4</v>
      </c>
      <c r="L129" s="74"/>
      <c r="M129" s="77" t="str">
        <f>IF(Main[[#This Row],[Tech Start Date]]&lt;1/1/1990,"",IF(Main[[#This Row],[Class]]="C",WORKDAY(Main[[#This Row],[Tech Start Date]],9),IF(Main[[#This Row],[Class]]="B", WORKDAY(Main[[#This Row],[Tech Start Date]],6),IF(Main[[#This Row],[Class]]="A",WORKDAY(Main[[#This Row],[Tech Start Date]],2),""))))</f>
        <v/>
      </c>
      <c r="N129" s="77" t="str">
        <f>IF(Main[[#This Row],[Tech Start Date]]&lt;1/1/1990,"",IF(Main[[#This Row],[Class]]="C",WORKDAY(Main[[#This Row],[Tech Start Date]],19),IF(Main[[#This Row],[Class]]="B", WORKDAY(Main[[#This Row],[Tech Start Date]],12),IF(Main[[#This Row],[Class]]="A",WORKDAY(Main[[#This Row],[Tech Start Date]],4),""))))</f>
        <v/>
      </c>
      <c r="O129" s="77" t="str">
        <f>IF(Main[[#This Row],[Tech Start Date]]&lt;1/1/1990,"",IF(Main[[#This Row],[Class]]="C",WORKDAY(Main[[#This Row],[Tech Start Date]],23),IF(Main[[#This Row],[Class]]="B", WORKDAY(Main[[#This Row],[Tech Start Date]],15),IF(Main[[#This Row],[Class]]="A",WORKDAY(Main[[#This Row],[Tech Start Date]],5),""))))</f>
        <v/>
      </c>
      <c r="P129" s="77" t="str">
        <f>IF(Main[[#This Row],[Tech Start Date]]&lt;1/1/1990,"",IF(Main[[#This Row],[Class]]="C",WORKDAY(Main[[#This Row],[Tech Start Date]],28),IF(Main[[#This Row],[Class]]="B", WORKDAY(Main[[#This Row],[Tech Start Date]],19),IF(Main[[#This Row],[Class]]="A",WORKDAY(Main[[#This Row],[Tech Start Date]],9),""))))</f>
        <v/>
      </c>
      <c r="Q129" s="74"/>
      <c r="R129" s="74"/>
      <c r="S129" s="72" t="s">
        <v>11</v>
      </c>
      <c r="T129" s="80" t="s">
        <v>4</v>
      </c>
      <c r="U129" s="72" t="s">
        <v>14</v>
      </c>
      <c r="V129" s="72" t="s">
        <v>1933</v>
      </c>
      <c r="W129" s="72" t="s">
        <v>1940</v>
      </c>
      <c r="X129" s="72" t="s">
        <v>2911</v>
      </c>
      <c r="Y129" s="72" t="s">
        <v>3035</v>
      </c>
      <c r="Z129" s="72" t="s">
        <v>4</v>
      </c>
      <c r="AA129" s="147" t="s">
        <v>2911</v>
      </c>
    </row>
    <row r="130" spans="1:27" ht="18.600000000000001" customHeight="1">
      <c r="A130" s="140" t="str">
        <f>IF(priority(Main[[#This Row],[Comments]])&lt;&gt;0, priority(Main[[#This Row],[Comments]]),"")</f>
        <v/>
      </c>
      <c r="B130" s="90" t="s">
        <v>1037</v>
      </c>
      <c r="C130" s="72" t="s">
        <v>4</v>
      </c>
      <c r="D130" s="73" t="s">
        <v>43</v>
      </c>
      <c r="E130" s="74">
        <v>40500.605023148149</v>
      </c>
      <c r="F130" s="74"/>
      <c r="G130" s="75" t="str">
        <f>IF(stdProdLT(Main[[#This Row],[Comments]])=0.1,"N/A",IF(stdProdLT(Main[[#This Row],[Comments]])=0,"",stdProdLT(Main[[#This Row],[Comments]])))</f>
        <v/>
      </c>
      <c r="H130" s="76" t="str">
        <f>IF(AND(Main[[#This Row],[In Stock Date]]&lt;&gt;"",Main[[#This Row],[Revised Due Date]]&lt;&gt;""),Main[[#This Row],[In Stock Date]]-Main[[#This Row],[Revised Due Date]],"")</f>
        <v/>
      </c>
      <c r="I130" s="72" t="s">
        <v>4</v>
      </c>
      <c r="J130" s="72" t="s">
        <v>4</v>
      </c>
      <c r="K130" s="72" t="s">
        <v>4</v>
      </c>
      <c r="L130" s="74"/>
      <c r="M130" s="77" t="str">
        <f>IF(Main[[#This Row],[Tech Start Date]]&lt;1/1/1990,"",IF(Main[[#This Row],[Class]]="C",WORKDAY(Main[[#This Row],[Tech Start Date]],9),IF(Main[[#This Row],[Class]]="B", WORKDAY(Main[[#This Row],[Tech Start Date]],6),IF(Main[[#This Row],[Class]]="A",WORKDAY(Main[[#This Row],[Tech Start Date]],2),""))))</f>
        <v/>
      </c>
      <c r="N130" s="77" t="str">
        <f>IF(Main[[#This Row],[Tech Start Date]]&lt;1/1/1990,"",IF(Main[[#This Row],[Class]]="C",WORKDAY(Main[[#This Row],[Tech Start Date]],19),IF(Main[[#This Row],[Class]]="B", WORKDAY(Main[[#This Row],[Tech Start Date]],12),IF(Main[[#This Row],[Class]]="A",WORKDAY(Main[[#This Row],[Tech Start Date]],4),""))))</f>
        <v/>
      </c>
      <c r="O130" s="77" t="str">
        <f>IF(Main[[#This Row],[Tech Start Date]]&lt;1/1/1990,"",IF(Main[[#This Row],[Class]]="C",WORKDAY(Main[[#This Row],[Tech Start Date]],23),IF(Main[[#This Row],[Class]]="B", WORKDAY(Main[[#This Row],[Tech Start Date]],15),IF(Main[[#This Row],[Class]]="A",WORKDAY(Main[[#This Row],[Tech Start Date]],5),""))))</f>
        <v/>
      </c>
      <c r="P130" s="77" t="str">
        <f>IF(Main[[#This Row],[Tech Start Date]]&lt;1/1/1990,"",IF(Main[[#This Row],[Class]]="C",WORKDAY(Main[[#This Row],[Tech Start Date]],28),IF(Main[[#This Row],[Class]]="B", WORKDAY(Main[[#This Row],[Tech Start Date]],19),IF(Main[[#This Row],[Class]]="A",WORKDAY(Main[[#This Row],[Tech Start Date]],9),""))))</f>
        <v/>
      </c>
      <c r="Q130" s="74">
        <v>40519</v>
      </c>
      <c r="R130" s="74"/>
      <c r="S130" s="72" t="s">
        <v>4</v>
      </c>
      <c r="T130" s="80" t="s">
        <v>4</v>
      </c>
      <c r="U130" s="72" t="s">
        <v>7</v>
      </c>
      <c r="V130" s="72" t="s">
        <v>1932</v>
      </c>
      <c r="W130" s="72" t="s">
        <v>4</v>
      </c>
      <c r="X130" s="72" t="s">
        <v>2905</v>
      </c>
      <c r="Y130" s="72" t="s">
        <v>3023</v>
      </c>
      <c r="Z130" s="72" t="s">
        <v>4</v>
      </c>
      <c r="AA130" s="147" t="s">
        <v>2905</v>
      </c>
    </row>
    <row r="131" spans="1:27" ht="18.600000000000001" customHeight="1">
      <c r="A131" s="140" t="str">
        <f>IF(priority(Main[[#This Row],[Comments]])&lt;&gt;0, priority(Main[[#This Row],[Comments]]),"")</f>
        <v/>
      </c>
      <c r="B131" s="90" t="s">
        <v>1039</v>
      </c>
      <c r="C131" s="72" t="s">
        <v>4</v>
      </c>
      <c r="D131" s="73" t="s">
        <v>45</v>
      </c>
      <c r="E131" s="74">
        <v>40486.407523148147</v>
      </c>
      <c r="F131" s="74"/>
      <c r="G131" s="75" t="str">
        <f>IF(stdProdLT(Main[[#This Row],[Comments]])=0.1,"N/A",IF(stdProdLT(Main[[#This Row],[Comments]])=0,"",stdProdLT(Main[[#This Row],[Comments]])))</f>
        <v/>
      </c>
      <c r="H131" s="76" t="str">
        <f>IF(AND(Main[[#This Row],[In Stock Date]]&lt;&gt;"",Main[[#This Row],[Revised Due Date]]&lt;&gt;""),Main[[#This Row],[In Stock Date]]-Main[[#This Row],[Revised Due Date]],"")</f>
        <v/>
      </c>
      <c r="I131" s="72" t="s">
        <v>4</v>
      </c>
      <c r="J131" s="72" t="s">
        <v>4</v>
      </c>
      <c r="K131" s="72" t="s">
        <v>4</v>
      </c>
      <c r="L131" s="74"/>
      <c r="M131" s="77" t="str">
        <f>IF(Main[[#This Row],[Tech Start Date]]&lt;1/1/1990,"",IF(Main[[#This Row],[Class]]="C",WORKDAY(Main[[#This Row],[Tech Start Date]],9),IF(Main[[#This Row],[Class]]="B", WORKDAY(Main[[#This Row],[Tech Start Date]],6),IF(Main[[#This Row],[Class]]="A",WORKDAY(Main[[#This Row],[Tech Start Date]],2),""))))</f>
        <v/>
      </c>
      <c r="N131" s="77" t="str">
        <f>IF(Main[[#This Row],[Tech Start Date]]&lt;1/1/1990,"",IF(Main[[#This Row],[Class]]="C",WORKDAY(Main[[#This Row],[Tech Start Date]],19),IF(Main[[#This Row],[Class]]="B", WORKDAY(Main[[#This Row],[Tech Start Date]],12),IF(Main[[#This Row],[Class]]="A",WORKDAY(Main[[#This Row],[Tech Start Date]],4),""))))</f>
        <v/>
      </c>
      <c r="O131" s="77" t="str">
        <f>IF(Main[[#This Row],[Tech Start Date]]&lt;1/1/1990,"",IF(Main[[#This Row],[Class]]="C",WORKDAY(Main[[#This Row],[Tech Start Date]],23),IF(Main[[#This Row],[Class]]="B", WORKDAY(Main[[#This Row],[Tech Start Date]],15),IF(Main[[#This Row],[Class]]="A",WORKDAY(Main[[#This Row],[Tech Start Date]],5),""))))</f>
        <v/>
      </c>
      <c r="P131" s="77" t="str">
        <f>IF(Main[[#This Row],[Tech Start Date]]&lt;1/1/1990,"",IF(Main[[#This Row],[Class]]="C",WORKDAY(Main[[#This Row],[Tech Start Date]],28),IF(Main[[#This Row],[Class]]="B", WORKDAY(Main[[#This Row],[Tech Start Date]],19),IF(Main[[#This Row],[Class]]="A",WORKDAY(Main[[#This Row],[Tech Start Date]],9),""))))</f>
        <v/>
      </c>
      <c r="Q131" s="74">
        <v>40522</v>
      </c>
      <c r="R131" s="74"/>
      <c r="S131" s="72" t="s">
        <v>6</v>
      </c>
      <c r="T131" s="80" t="s">
        <v>4</v>
      </c>
      <c r="U131" s="72" t="s">
        <v>7</v>
      </c>
      <c r="V131" s="72" t="s">
        <v>1932</v>
      </c>
      <c r="W131" s="72" t="s">
        <v>4</v>
      </c>
      <c r="X131" s="72" t="s">
        <v>2902</v>
      </c>
      <c r="Y131" s="72" t="s">
        <v>3016</v>
      </c>
      <c r="Z131" s="72" t="s">
        <v>4</v>
      </c>
      <c r="AA131" s="147" t="s">
        <v>2902</v>
      </c>
    </row>
    <row r="132" spans="1:27" ht="18.600000000000001" customHeight="1">
      <c r="A132" s="140" t="str">
        <f>IF(priority(Main[[#This Row],[Comments]])&lt;&gt;0, priority(Main[[#This Row],[Comments]]),"")</f>
        <v/>
      </c>
      <c r="B132" s="90" t="s">
        <v>1041</v>
      </c>
      <c r="C132" s="72" t="s">
        <v>47</v>
      </c>
      <c r="D132" s="73" t="s">
        <v>48</v>
      </c>
      <c r="E132" s="74"/>
      <c r="F132" s="74"/>
      <c r="G132" s="75" t="str">
        <f>IF(stdProdLT(Main[[#This Row],[Comments]])=0.1,"N/A",IF(stdProdLT(Main[[#This Row],[Comments]])=0,"",stdProdLT(Main[[#This Row],[Comments]])))</f>
        <v/>
      </c>
      <c r="H132" s="76" t="str">
        <f>IF(AND(Main[[#This Row],[In Stock Date]]&lt;&gt;"",Main[[#This Row],[Revised Due Date]]&lt;&gt;""),Main[[#This Row],[In Stock Date]]-Main[[#This Row],[Revised Due Date]],"")</f>
        <v/>
      </c>
      <c r="I132" s="72" t="s">
        <v>4</v>
      </c>
      <c r="J132" s="72" t="s">
        <v>4</v>
      </c>
      <c r="K132" s="72" t="s">
        <v>4</v>
      </c>
      <c r="L132" s="74"/>
      <c r="M132" s="77" t="str">
        <f>IF(Main[[#This Row],[Tech Start Date]]&lt;1/1/1990,"",IF(Main[[#This Row],[Class]]="C",WORKDAY(Main[[#This Row],[Tech Start Date]],9),IF(Main[[#This Row],[Class]]="B", WORKDAY(Main[[#This Row],[Tech Start Date]],6),IF(Main[[#This Row],[Class]]="A",WORKDAY(Main[[#This Row],[Tech Start Date]],2),""))))</f>
        <v/>
      </c>
      <c r="N132" s="77" t="str">
        <f>IF(Main[[#This Row],[Tech Start Date]]&lt;1/1/1990,"",IF(Main[[#This Row],[Class]]="C",WORKDAY(Main[[#This Row],[Tech Start Date]],19),IF(Main[[#This Row],[Class]]="B", WORKDAY(Main[[#This Row],[Tech Start Date]],12),IF(Main[[#This Row],[Class]]="A",WORKDAY(Main[[#This Row],[Tech Start Date]],4),""))))</f>
        <v/>
      </c>
      <c r="O132" s="77" t="str">
        <f>IF(Main[[#This Row],[Tech Start Date]]&lt;1/1/1990,"",IF(Main[[#This Row],[Class]]="C",WORKDAY(Main[[#This Row],[Tech Start Date]],23),IF(Main[[#This Row],[Class]]="B", WORKDAY(Main[[#This Row],[Tech Start Date]],15),IF(Main[[#This Row],[Class]]="A",WORKDAY(Main[[#This Row],[Tech Start Date]],5),""))))</f>
        <v/>
      </c>
      <c r="P132" s="77" t="str">
        <f>IF(Main[[#This Row],[Tech Start Date]]&lt;1/1/1990,"",IF(Main[[#This Row],[Class]]="C",WORKDAY(Main[[#This Row],[Tech Start Date]],28),IF(Main[[#This Row],[Class]]="B", WORKDAY(Main[[#This Row],[Tech Start Date]],19),IF(Main[[#This Row],[Class]]="A",WORKDAY(Main[[#This Row],[Tech Start Date]],9),""))))</f>
        <v/>
      </c>
      <c r="Q132" s="74"/>
      <c r="R132" s="74"/>
      <c r="S132" s="72" t="s">
        <v>49</v>
      </c>
      <c r="T132" s="80" t="s">
        <v>4</v>
      </c>
      <c r="U132" s="72" t="s">
        <v>14</v>
      </c>
      <c r="V132" s="72" t="s">
        <v>1935</v>
      </c>
      <c r="W132" s="72" t="s">
        <v>1936</v>
      </c>
      <c r="X132" s="72" t="s">
        <v>310</v>
      </c>
      <c r="Y132" s="72" t="s">
        <v>3028</v>
      </c>
      <c r="Z132" s="72" t="s">
        <v>4</v>
      </c>
      <c r="AA132" s="147" t="s">
        <v>3564</v>
      </c>
    </row>
    <row r="133" spans="1:27" ht="18.600000000000001" customHeight="1">
      <c r="A133" s="140" t="str">
        <f>IF(priority(Main[[#This Row],[Comments]])&lt;&gt;0, priority(Main[[#This Row],[Comments]]),"")</f>
        <v/>
      </c>
      <c r="B133" s="90" t="s">
        <v>1055</v>
      </c>
      <c r="C133" s="72" t="s">
        <v>67</v>
      </c>
      <c r="D133" s="73" t="s">
        <v>68</v>
      </c>
      <c r="E133" s="74"/>
      <c r="F133" s="74"/>
      <c r="G133" s="75" t="str">
        <f>IF(stdProdLT(Main[[#This Row],[Comments]])=0.1,"N/A",IF(stdProdLT(Main[[#This Row],[Comments]])=0,"",stdProdLT(Main[[#This Row],[Comments]])))</f>
        <v/>
      </c>
      <c r="H133" s="76" t="str">
        <f>IF(AND(Main[[#This Row],[In Stock Date]]&lt;&gt;"",Main[[#This Row],[Revised Due Date]]&lt;&gt;""),Main[[#This Row],[In Stock Date]]-Main[[#This Row],[Revised Due Date]],"")</f>
        <v/>
      </c>
      <c r="I133" s="72" t="s">
        <v>4</v>
      </c>
      <c r="J133" s="72" t="s">
        <v>4</v>
      </c>
      <c r="K133" s="72" t="s">
        <v>4</v>
      </c>
      <c r="L133" s="74"/>
      <c r="M133" s="77" t="str">
        <f>IF(Main[[#This Row],[Tech Start Date]]&lt;1/1/1990,"",IF(Main[[#This Row],[Class]]="C",WORKDAY(Main[[#This Row],[Tech Start Date]],9),IF(Main[[#This Row],[Class]]="B", WORKDAY(Main[[#This Row],[Tech Start Date]],6),IF(Main[[#This Row],[Class]]="A",WORKDAY(Main[[#This Row],[Tech Start Date]],2),""))))</f>
        <v/>
      </c>
      <c r="N133" s="77" t="str">
        <f>IF(Main[[#This Row],[Tech Start Date]]&lt;1/1/1990,"",IF(Main[[#This Row],[Class]]="C",WORKDAY(Main[[#This Row],[Tech Start Date]],19),IF(Main[[#This Row],[Class]]="B", WORKDAY(Main[[#This Row],[Tech Start Date]],12),IF(Main[[#This Row],[Class]]="A",WORKDAY(Main[[#This Row],[Tech Start Date]],4),""))))</f>
        <v/>
      </c>
      <c r="O133" s="77" t="str">
        <f>IF(Main[[#This Row],[Tech Start Date]]&lt;1/1/1990,"",IF(Main[[#This Row],[Class]]="C",WORKDAY(Main[[#This Row],[Tech Start Date]],23),IF(Main[[#This Row],[Class]]="B", WORKDAY(Main[[#This Row],[Tech Start Date]],15),IF(Main[[#This Row],[Class]]="A",WORKDAY(Main[[#This Row],[Tech Start Date]],5),""))))</f>
        <v/>
      </c>
      <c r="P133" s="77" t="str">
        <f>IF(Main[[#This Row],[Tech Start Date]]&lt;1/1/1990,"",IF(Main[[#This Row],[Class]]="C",WORKDAY(Main[[#This Row],[Tech Start Date]],28),IF(Main[[#This Row],[Class]]="B", WORKDAY(Main[[#This Row],[Tech Start Date]],19),IF(Main[[#This Row],[Class]]="A",WORKDAY(Main[[#This Row],[Tech Start Date]],9),""))))</f>
        <v/>
      </c>
      <c r="Q133" s="74">
        <v>40298</v>
      </c>
      <c r="R133" s="74"/>
      <c r="S133" s="72" t="s">
        <v>17</v>
      </c>
      <c r="T133" s="80" t="s">
        <v>4</v>
      </c>
      <c r="U133" s="72" t="s">
        <v>14</v>
      </c>
      <c r="V133" s="72" t="s">
        <v>1935</v>
      </c>
      <c r="W133" s="72" t="s">
        <v>1940</v>
      </c>
      <c r="X133" s="72" t="s">
        <v>310</v>
      </c>
      <c r="Y133" s="72" t="s">
        <v>3036</v>
      </c>
      <c r="Z133" s="72" t="s">
        <v>4</v>
      </c>
      <c r="AA133" s="147" t="s">
        <v>420</v>
      </c>
    </row>
    <row r="134" spans="1:27" ht="18.600000000000001" customHeight="1">
      <c r="A134" s="140" t="str">
        <f>IF(priority(Main[[#This Row],[Comments]])&lt;&gt;0, priority(Main[[#This Row],[Comments]]),"")</f>
        <v/>
      </c>
      <c r="B134" s="90" t="s">
        <v>1290</v>
      </c>
      <c r="C134" s="72" t="s">
        <v>4</v>
      </c>
      <c r="D134" s="73" t="s">
        <v>2355</v>
      </c>
      <c r="E134" s="74">
        <v>40578.5078587963</v>
      </c>
      <c r="F134" s="74"/>
      <c r="G134" s="75" t="str">
        <f>IF(stdProdLT(Main[[#This Row],[Comments]])=0.1,"N/A",IF(stdProdLT(Main[[#This Row],[Comments]])=0,"",stdProdLT(Main[[#This Row],[Comments]])))</f>
        <v/>
      </c>
      <c r="H134" s="76" t="str">
        <f>IF(AND(Main[[#This Row],[In Stock Date]]&lt;&gt;"",Main[[#This Row],[Revised Due Date]]&lt;&gt;""),Main[[#This Row],[In Stock Date]]-Main[[#This Row],[Revised Due Date]],"")</f>
        <v/>
      </c>
      <c r="I134" s="72" t="s">
        <v>923</v>
      </c>
      <c r="J134" s="72" t="s">
        <v>52</v>
      </c>
      <c r="K134" s="72" t="s">
        <v>4</v>
      </c>
      <c r="L134" s="74"/>
      <c r="M134" s="77" t="str">
        <f>IF(Main[[#This Row],[Tech Start Date]]&lt;1/1/1990,"",IF(Main[[#This Row],[Class]]="C",WORKDAY(Main[[#This Row],[Tech Start Date]],9),IF(Main[[#This Row],[Class]]="B", WORKDAY(Main[[#This Row],[Tech Start Date]],6),IF(Main[[#This Row],[Class]]="A",WORKDAY(Main[[#This Row],[Tech Start Date]],2),""))))</f>
        <v/>
      </c>
      <c r="N134" s="77" t="str">
        <f>IF(Main[[#This Row],[Tech Start Date]]&lt;1/1/1990,"",IF(Main[[#This Row],[Class]]="C",WORKDAY(Main[[#This Row],[Tech Start Date]],19),IF(Main[[#This Row],[Class]]="B", WORKDAY(Main[[#This Row],[Tech Start Date]],12),IF(Main[[#This Row],[Class]]="A",WORKDAY(Main[[#This Row],[Tech Start Date]],4),""))))</f>
        <v/>
      </c>
      <c r="O134" s="77" t="str">
        <f>IF(Main[[#This Row],[Tech Start Date]]&lt;1/1/1990,"",IF(Main[[#This Row],[Class]]="C",WORKDAY(Main[[#This Row],[Tech Start Date]],23),IF(Main[[#This Row],[Class]]="B", WORKDAY(Main[[#This Row],[Tech Start Date]],15),IF(Main[[#This Row],[Class]]="A",WORKDAY(Main[[#This Row],[Tech Start Date]],5),""))))</f>
        <v/>
      </c>
      <c r="P134" s="77" t="str">
        <f>IF(Main[[#This Row],[Tech Start Date]]&lt;1/1/1990,"",IF(Main[[#This Row],[Class]]="C",WORKDAY(Main[[#This Row],[Tech Start Date]],28),IF(Main[[#This Row],[Class]]="B", WORKDAY(Main[[#This Row],[Tech Start Date]],19),IF(Main[[#This Row],[Class]]="A",WORKDAY(Main[[#This Row],[Tech Start Date]],9),""))))</f>
        <v/>
      </c>
      <c r="Q134" s="74">
        <v>40592</v>
      </c>
      <c r="R134" s="74"/>
      <c r="S134" s="72" t="s">
        <v>6</v>
      </c>
      <c r="T134" s="80" t="s">
        <v>4</v>
      </c>
      <c r="U134" s="72" t="s">
        <v>29</v>
      </c>
      <c r="V134" s="72" t="s">
        <v>1932</v>
      </c>
      <c r="W134" s="72" t="s">
        <v>1936</v>
      </c>
      <c r="X134" s="72" t="s">
        <v>2912</v>
      </c>
      <c r="Y134" s="72" t="s">
        <v>3037</v>
      </c>
      <c r="Z134" s="72" t="s">
        <v>4</v>
      </c>
      <c r="AA134" s="147" t="s">
        <v>2912</v>
      </c>
    </row>
    <row r="135" spans="1:27" ht="18.600000000000001" customHeight="1">
      <c r="A135" s="140" t="str">
        <f>IF(priority(Main[[#This Row],[Comments]])&lt;&gt;0, priority(Main[[#This Row],[Comments]]),"")</f>
        <v/>
      </c>
      <c r="B135" s="90" t="s">
        <v>1056</v>
      </c>
      <c r="C135" s="72" t="s">
        <v>4</v>
      </c>
      <c r="D135" s="73" t="s">
        <v>71</v>
      </c>
      <c r="E135" s="74"/>
      <c r="F135" s="74"/>
      <c r="G135" s="75" t="str">
        <f>IF(stdProdLT(Main[[#This Row],[Comments]])=0.1,"N/A",IF(stdProdLT(Main[[#This Row],[Comments]])=0,"",stdProdLT(Main[[#This Row],[Comments]])))</f>
        <v/>
      </c>
      <c r="H135" s="76" t="str">
        <f>IF(AND(Main[[#This Row],[In Stock Date]]&lt;&gt;"",Main[[#This Row],[Revised Due Date]]&lt;&gt;""),Main[[#This Row],[In Stock Date]]-Main[[#This Row],[Revised Due Date]],"")</f>
        <v/>
      </c>
      <c r="I135" s="72" t="s">
        <v>4</v>
      </c>
      <c r="J135" s="72" t="s">
        <v>4</v>
      </c>
      <c r="K135" s="72" t="s">
        <v>4</v>
      </c>
      <c r="L135" s="74"/>
      <c r="M135" s="77" t="str">
        <f>IF(Main[[#This Row],[Tech Start Date]]&lt;1/1/1990,"",IF(Main[[#This Row],[Class]]="C",WORKDAY(Main[[#This Row],[Tech Start Date]],9),IF(Main[[#This Row],[Class]]="B", WORKDAY(Main[[#This Row],[Tech Start Date]],6),IF(Main[[#This Row],[Class]]="A",WORKDAY(Main[[#This Row],[Tech Start Date]],2),""))))</f>
        <v/>
      </c>
      <c r="N135" s="77" t="str">
        <f>IF(Main[[#This Row],[Tech Start Date]]&lt;1/1/1990,"",IF(Main[[#This Row],[Class]]="C",WORKDAY(Main[[#This Row],[Tech Start Date]],19),IF(Main[[#This Row],[Class]]="B", WORKDAY(Main[[#This Row],[Tech Start Date]],12),IF(Main[[#This Row],[Class]]="A",WORKDAY(Main[[#This Row],[Tech Start Date]],4),""))))</f>
        <v/>
      </c>
      <c r="O135" s="77" t="str">
        <f>IF(Main[[#This Row],[Tech Start Date]]&lt;1/1/1990,"",IF(Main[[#This Row],[Class]]="C",WORKDAY(Main[[#This Row],[Tech Start Date]],23),IF(Main[[#This Row],[Class]]="B", WORKDAY(Main[[#This Row],[Tech Start Date]],15),IF(Main[[#This Row],[Class]]="A",WORKDAY(Main[[#This Row],[Tech Start Date]],5),""))))</f>
        <v/>
      </c>
      <c r="P135" s="77" t="str">
        <f>IF(Main[[#This Row],[Tech Start Date]]&lt;1/1/1990,"",IF(Main[[#This Row],[Class]]="C",WORKDAY(Main[[#This Row],[Tech Start Date]],28),IF(Main[[#This Row],[Class]]="B", WORKDAY(Main[[#This Row],[Tech Start Date]],19),IF(Main[[#This Row],[Class]]="A",WORKDAY(Main[[#This Row],[Tech Start Date]],9),""))))</f>
        <v/>
      </c>
      <c r="Q135" s="74"/>
      <c r="R135" s="74"/>
      <c r="S135" s="72" t="s">
        <v>23</v>
      </c>
      <c r="T135" s="80" t="s">
        <v>4</v>
      </c>
      <c r="U135" s="72" t="s">
        <v>14</v>
      </c>
      <c r="V135" s="72" t="s">
        <v>1932</v>
      </c>
      <c r="W135" s="72" t="s">
        <v>1936</v>
      </c>
      <c r="X135" s="72" t="s">
        <v>403</v>
      </c>
      <c r="Y135" s="72" t="s">
        <v>4</v>
      </c>
      <c r="Z135" s="72" t="s">
        <v>4</v>
      </c>
      <c r="AA135" s="147" t="s">
        <v>3562</v>
      </c>
    </row>
    <row r="136" spans="1:27" ht="18.600000000000001" customHeight="1">
      <c r="A136" s="140" t="str">
        <f>IF(priority(Main[[#This Row],[Comments]])&lt;&gt;0, priority(Main[[#This Row],[Comments]]),"")</f>
        <v/>
      </c>
      <c r="B136" s="90" t="s">
        <v>1023</v>
      </c>
      <c r="C136" s="72" t="s">
        <v>15</v>
      </c>
      <c r="D136" s="73" t="s">
        <v>16</v>
      </c>
      <c r="E136" s="74">
        <v>40611.379872685182</v>
      </c>
      <c r="F136" s="74"/>
      <c r="G136" s="75" t="str">
        <f>IF(stdProdLT(Main[[#This Row],[Comments]])=0.1,"N/A",IF(stdProdLT(Main[[#This Row],[Comments]])=0,"",stdProdLT(Main[[#This Row],[Comments]])))</f>
        <v/>
      </c>
      <c r="H136" s="76" t="str">
        <f>IF(AND(Main[[#This Row],[In Stock Date]]&lt;&gt;"",Main[[#This Row],[Revised Due Date]]&lt;&gt;""),Main[[#This Row],[In Stock Date]]-Main[[#This Row],[Revised Due Date]],"")</f>
        <v/>
      </c>
      <c r="I136" s="72" t="s">
        <v>4</v>
      </c>
      <c r="J136" s="72" t="s">
        <v>4</v>
      </c>
      <c r="K136" s="72" t="s">
        <v>4</v>
      </c>
      <c r="L136" s="74"/>
      <c r="M136" s="77" t="str">
        <f>IF(Main[[#This Row],[Tech Start Date]]&lt;1/1/1990,"",IF(Main[[#This Row],[Class]]="C",WORKDAY(Main[[#This Row],[Tech Start Date]],9),IF(Main[[#This Row],[Class]]="B", WORKDAY(Main[[#This Row],[Tech Start Date]],6),IF(Main[[#This Row],[Class]]="A",WORKDAY(Main[[#This Row],[Tech Start Date]],2),""))))</f>
        <v/>
      </c>
      <c r="N136" s="77" t="str">
        <f>IF(Main[[#This Row],[Tech Start Date]]&lt;1/1/1990,"",IF(Main[[#This Row],[Class]]="C",WORKDAY(Main[[#This Row],[Tech Start Date]],19),IF(Main[[#This Row],[Class]]="B", WORKDAY(Main[[#This Row],[Tech Start Date]],12),IF(Main[[#This Row],[Class]]="A",WORKDAY(Main[[#This Row],[Tech Start Date]],4),""))))</f>
        <v/>
      </c>
      <c r="O136" s="77" t="str">
        <f>IF(Main[[#This Row],[Tech Start Date]]&lt;1/1/1990,"",IF(Main[[#This Row],[Class]]="C",WORKDAY(Main[[#This Row],[Tech Start Date]],23),IF(Main[[#This Row],[Class]]="B", WORKDAY(Main[[#This Row],[Tech Start Date]],15),IF(Main[[#This Row],[Class]]="A",WORKDAY(Main[[#This Row],[Tech Start Date]],5),""))))</f>
        <v/>
      </c>
      <c r="P136" s="77" t="str">
        <f>IF(Main[[#This Row],[Tech Start Date]]&lt;1/1/1990,"",IF(Main[[#This Row],[Class]]="C",WORKDAY(Main[[#This Row],[Tech Start Date]],28),IF(Main[[#This Row],[Class]]="B", WORKDAY(Main[[#This Row],[Tech Start Date]],19),IF(Main[[#This Row],[Class]]="A",WORKDAY(Main[[#This Row],[Tech Start Date]],9),""))))</f>
        <v/>
      </c>
      <c r="Q136" s="74">
        <v>40695</v>
      </c>
      <c r="R136" s="74"/>
      <c r="S136" s="72" t="s">
        <v>17</v>
      </c>
      <c r="T136" s="80" t="s">
        <v>4</v>
      </c>
      <c r="U136" s="72" t="s">
        <v>7</v>
      </c>
      <c r="V136" s="72" t="s">
        <v>1935</v>
      </c>
      <c r="W136" s="72" t="s">
        <v>1937</v>
      </c>
      <c r="X136" s="72" t="s">
        <v>559</v>
      </c>
      <c r="Y136" s="72" t="s">
        <v>3039</v>
      </c>
      <c r="Z136" s="72" t="s">
        <v>4</v>
      </c>
      <c r="AA136" s="147" t="s">
        <v>559</v>
      </c>
    </row>
    <row r="137" spans="1:27" ht="18.600000000000001" customHeight="1">
      <c r="A137" s="140" t="str">
        <f>IF(priority(Main[[#This Row],[Comments]])&lt;&gt;0, priority(Main[[#This Row],[Comments]]),"")</f>
        <v/>
      </c>
      <c r="B137" s="90" t="s">
        <v>2194</v>
      </c>
      <c r="C137" s="72" t="s">
        <v>2186</v>
      </c>
      <c r="D137" s="73" t="s">
        <v>3361</v>
      </c>
      <c r="E137" s="74">
        <v>40781.402488425927</v>
      </c>
      <c r="F137" s="74"/>
      <c r="G137" s="75" t="str">
        <f>IF(stdProdLT(Main[[#This Row],[Comments]])=0.1,"N/A",IF(stdProdLT(Main[[#This Row],[Comments]])=0,"",stdProdLT(Main[[#This Row],[Comments]])))</f>
        <v/>
      </c>
      <c r="H137" s="76" t="str">
        <f>IF(AND(Main[[#This Row],[In Stock Date]]&lt;&gt;"",Main[[#This Row],[Revised Due Date]]&lt;&gt;""),Main[[#This Row],[In Stock Date]]-Main[[#This Row],[Revised Due Date]],"")</f>
        <v/>
      </c>
      <c r="I137" s="72" t="s">
        <v>434</v>
      </c>
      <c r="J137" s="72" t="s">
        <v>70</v>
      </c>
      <c r="K137" s="72" t="s">
        <v>1941</v>
      </c>
      <c r="L137" s="74"/>
      <c r="M137" s="77" t="str">
        <f>IF(Main[[#This Row],[Tech Start Date]]&lt;1/1/1990,"",IF(Main[[#This Row],[Class]]="C",WORKDAY(Main[[#This Row],[Tech Start Date]],9),IF(Main[[#This Row],[Class]]="B", WORKDAY(Main[[#This Row],[Tech Start Date]],6),IF(Main[[#This Row],[Class]]="A",WORKDAY(Main[[#This Row],[Tech Start Date]],2),""))))</f>
        <v/>
      </c>
      <c r="N137" s="77" t="str">
        <f>IF(Main[[#This Row],[Tech Start Date]]&lt;1/1/1990,"",IF(Main[[#This Row],[Class]]="C",WORKDAY(Main[[#This Row],[Tech Start Date]],19),IF(Main[[#This Row],[Class]]="B", WORKDAY(Main[[#This Row],[Tech Start Date]],12),IF(Main[[#This Row],[Class]]="A",WORKDAY(Main[[#This Row],[Tech Start Date]],4),""))))</f>
        <v/>
      </c>
      <c r="O137" s="77" t="str">
        <f>IF(Main[[#This Row],[Tech Start Date]]&lt;1/1/1990,"",IF(Main[[#This Row],[Class]]="C",WORKDAY(Main[[#This Row],[Tech Start Date]],23),IF(Main[[#This Row],[Class]]="B", WORKDAY(Main[[#This Row],[Tech Start Date]],15),IF(Main[[#This Row],[Class]]="A",WORKDAY(Main[[#This Row],[Tech Start Date]],5),""))))</f>
        <v/>
      </c>
      <c r="P137" s="77" t="str">
        <f>IF(Main[[#This Row],[Tech Start Date]]&lt;1/1/1990,"",IF(Main[[#This Row],[Class]]="C",WORKDAY(Main[[#This Row],[Tech Start Date]],28),IF(Main[[#This Row],[Class]]="B", WORKDAY(Main[[#This Row],[Tech Start Date]],19),IF(Main[[#This Row],[Class]]="A",WORKDAY(Main[[#This Row],[Tech Start Date]],9),""))))</f>
        <v/>
      </c>
      <c r="Q137" s="74">
        <v>40836</v>
      </c>
      <c r="R137" s="74"/>
      <c r="S137" s="72" t="s">
        <v>6</v>
      </c>
      <c r="T137" s="80" t="s">
        <v>4</v>
      </c>
      <c r="U137" s="72" t="s">
        <v>29</v>
      </c>
      <c r="V137" s="72" t="s">
        <v>1935</v>
      </c>
      <c r="W137" s="72" t="s">
        <v>1936</v>
      </c>
      <c r="X137" s="72" t="s">
        <v>2920</v>
      </c>
      <c r="Y137" s="72" t="s">
        <v>3052</v>
      </c>
      <c r="Z137" s="72" t="s">
        <v>30</v>
      </c>
      <c r="AA137" s="147" t="s">
        <v>2920</v>
      </c>
    </row>
    <row r="138" spans="1:27" ht="18.600000000000001" customHeight="1">
      <c r="A138" s="140" t="str">
        <f>IF(priority(Main[[#This Row],[Comments]])&lt;&gt;0, priority(Main[[#This Row],[Comments]]),"")</f>
        <v/>
      </c>
      <c r="B138" s="90" t="s">
        <v>1058</v>
      </c>
      <c r="C138" s="72" t="s">
        <v>31</v>
      </c>
      <c r="D138" s="73" t="s">
        <v>77</v>
      </c>
      <c r="E138" s="74"/>
      <c r="F138" s="74">
        <v>40512</v>
      </c>
      <c r="G138" s="75" t="str">
        <f>IF(stdProdLT(Main[[#This Row],[Comments]])=0.1,"N/A",IF(stdProdLT(Main[[#This Row],[Comments]])=0,"",stdProdLT(Main[[#This Row],[Comments]])))</f>
        <v/>
      </c>
      <c r="H138" s="76" t="str">
        <f>IF(AND(Main[[#This Row],[In Stock Date]]&lt;&gt;"",Main[[#This Row],[Revised Due Date]]&lt;&gt;""),Main[[#This Row],[In Stock Date]]-Main[[#This Row],[Revised Due Date]],"")</f>
        <v/>
      </c>
      <c r="I138" s="72" t="s">
        <v>4</v>
      </c>
      <c r="J138" s="72" t="s">
        <v>4</v>
      </c>
      <c r="K138" s="72" t="s">
        <v>4</v>
      </c>
      <c r="L138" s="74"/>
      <c r="M138" s="77" t="str">
        <f>IF(Main[[#This Row],[Tech Start Date]]&lt;1/1/1990,"",IF(Main[[#This Row],[Class]]="C",WORKDAY(Main[[#This Row],[Tech Start Date]],9),IF(Main[[#This Row],[Class]]="B", WORKDAY(Main[[#This Row],[Tech Start Date]],6),IF(Main[[#This Row],[Class]]="A",WORKDAY(Main[[#This Row],[Tech Start Date]],2),""))))</f>
        <v/>
      </c>
      <c r="N138" s="77" t="str">
        <f>IF(Main[[#This Row],[Tech Start Date]]&lt;1/1/1990,"",IF(Main[[#This Row],[Class]]="C",WORKDAY(Main[[#This Row],[Tech Start Date]],19),IF(Main[[#This Row],[Class]]="B", WORKDAY(Main[[#This Row],[Tech Start Date]],12),IF(Main[[#This Row],[Class]]="A",WORKDAY(Main[[#This Row],[Tech Start Date]],4),""))))</f>
        <v/>
      </c>
      <c r="O138" s="77" t="str">
        <f>IF(Main[[#This Row],[Tech Start Date]]&lt;1/1/1990,"",IF(Main[[#This Row],[Class]]="C",WORKDAY(Main[[#This Row],[Tech Start Date]],23),IF(Main[[#This Row],[Class]]="B", WORKDAY(Main[[#This Row],[Tech Start Date]],15),IF(Main[[#This Row],[Class]]="A",WORKDAY(Main[[#This Row],[Tech Start Date]],5),""))))</f>
        <v/>
      </c>
      <c r="P138" s="77" t="str">
        <f>IF(Main[[#This Row],[Tech Start Date]]&lt;1/1/1990,"",IF(Main[[#This Row],[Class]]="C",WORKDAY(Main[[#This Row],[Tech Start Date]],28),IF(Main[[#This Row],[Class]]="B", WORKDAY(Main[[#This Row],[Tech Start Date]],19),IF(Main[[#This Row],[Class]]="A",WORKDAY(Main[[#This Row],[Tech Start Date]],9),""))))</f>
        <v/>
      </c>
      <c r="Q138" s="74">
        <v>40415</v>
      </c>
      <c r="R138" s="74"/>
      <c r="S138" s="72" t="s">
        <v>11</v>
      </c>
      <c r="T138" s="80" t="s">
        <v>4</v>
      </c>
      <c r="U138" s="72" t="s">
        <v>14</v>
      </c>
      <c r="V138" s="72" t="s">
        <v>1935</v>
      </c>
      <c r="W138" s="72" t="s">
        <v>1938</v>
      </c>
      <c r="X138" s="72" t="s">
        <v>2914</v>
      </c>
      <c r="Y138" s="72" t="s">
        <v>3040</v>
      </c>
      <c r="Z138" s="72" t="s">
        <v>4</v>
      </c>
      <c r="AA138" s="147" t="s">
        <v>2914</v>
      </c>
    </row>
    <row r="139" spans="1:27" ht="18.600000000000001" customHeight="1">
      <c r="A139" s="140" t="str">
        <f>IF(priority(Main[[#This Row],[Comments]])&lt;&gt;0, priority(Main[[#This Row],[Comments]]),"")</f>
        <v/>
      </c>
      <c r="B139" s="90" t="s">
        <v>1059</v>
      </c>
      <c r="C139" s="72" t="s">
        <v>4</v>
      </c>
      <c r="D139" s="73" t="s">
        <v>78</v>
      </c>
      <c r="E139" s="74"/>
      <c r="F139" s="74"/>
      <c r="G139" s="75" t="str">
        <f>IF(stdProdLT(Main[[#This Row],[Comments]])=0.1,"N/A",IF(stdProdLT(Main[[#This Row],[Comments]])=0,"",stdProdLT(Main[[#This Row],[Comments]])))</f>
        <v/>
      </c>
      <c r="H139" s="76" t="str">
        <f>IF(AND(Main[[#This Row],[In Stock Date]]&lt;&gt;"",Main[[#This Row],[Revised Due Date]]&lt;&gt;""),Main[[#This Row],[In Stock Date]]-Main[[#This Row],[Revised Due Date]],"")</f>
        <v/>
      </c>
      <c r="I139" s="72" t="s">
        <v>4</v>
      </c>
      <c r="J139" s="72" t="s">
        <v>4</v>
      </c>
      <c r="K139" s="72" t="s">
        <v>4</v>
      </c>
      <c r="L139" s="74"/>
      <c r="M139" s="77" t="str">
        <f>IF(Main[[#This Row],[Tech Start Date]]&lt;1/1/1990,"",IF(Main[[#This Row],[Class]]="C",WORKDAY(Main[[#This Row],[Tech Start Date]],9),IF(Main[[#This Row],[Class]]="B", WORKDAY(Main[[#This Row],[Tech Start Date]],6),IF(Main[[#This Row],[Class]]="A",WORKDAY(Main[[#This Row],[Tech Start Date]],2),""))))</f>
        <v/>
      </c>
      <c r="N139" s="77" t="str">
        <f>IF(Main[[#This Row],[Tech Start Date]]&lt;1/1/1990,"",IF(Main[[#This Row],[Class]]="C",WORKDAY(Main[[#This Row],[Tech Start Date]],19),IF(Main[[#This Row],[Class]]="B", WORKDAY(Main[[#This Row],[Tech Start Date]],12),IF(Main[[#This Row],[Class]]="A",WORKDAY(Main[[#This Row],[Tech Start Date]],4),""))))</f>
        <v/>
      </c>
      <c r="O139" s="77" t="str">
        <f>IF(Main[[#This Row],[Tech Start Date]]&lt;1/1/1990,"",IF(Main[[#This Row],[Class]]="C",WORKDAY(Main[[#This Row],[Tech Start Date]],23),IF(Main[[#This Row],[Class]]="B", WORKDAY(Main[[#This Row],[Tech Start Date]],15),IF(Main[[#This Row],[Class]]="A",WORKDAY(Main[[#This Row],[Tech Start Date]],5),""))))</f>
        <v/>
      </c>
      <c r="P139" s="77" t="str">
        <f>IF(Main[[#This Row],[Tech Start Date]]&lt;1/1/1990,"",IF(Main[[#This Row],[Class]]="C",WORKDAY(Main[[#This Row],[Tech Start Date]],28),IF(Main[[#This Row],[Class]]="B", WORKDAY(Main[[#This Row],[Tech Start Date]],19),IF(Main[[#This Row],[Class]]="A",WORKDAY(Main[[#This Row],[Tech Start Date]],9),""))))</f>
        <v/>
      </c>
      <c r="Q139" s="74"/>
      <c r="R139" s="74"/>
      <c r="S139" s="72" t="s">
        <v>49</v>
      </c>
      <c r="T139" s="80" t="s">
        <v>4</v>
      </c>
      <c r="U139" s="72" t="s">
        <v>14</v>
      </c>
      <c r="V139" s="72" t="s">
        <v>1932</v>
      </c>
      <c r="W139" s="72" t="s">
        <v>1936</v>
      </c>
      <c r="X139" s="72" t="s">
        <v>310</v>
      </c>
      <c r="Y139" s="72" t="s">
        <v>4</v>
      </c>
      <c r="Z139" s="72" t="s">
        <v>4</v>
      </c>
      <c r="AA139" s="147" t="s">
        <v>4</v>
      </c>
    </row>
    <row r="140" spans="1:27" ht="18.600000000000001" customHeight="1">
      <c r="A140" s="140" t="str">
        <f>IF(priority(Main[[#This Row],[Comments]])&lt;&gt;0, priority(Main[[#This Row],[Comments]]),"")</f>
        <v/>
      </c>
      <c r="B140" s="90" t="s">
        <v>2110</v>
      </c>
      <c r="C140" s="72" t="s">
        <v>2111</v>
      </c>
      <c r="D140" s="73" t="s">
        <v>2112</v>
      </c>
      <c r="E140" s="74"/>
      <c r="F140" s="74">
        <v>40831</v>
      </c>
      <c r="G140" s="75" t="str">
        <f>IF(stdProdLT(Main[[#This Row],[Comments]])=0.1,"N/A",IF(stdProdLT(Main[[#This Row],[Comments]])=0,"",stdProdLT(Main[[#This Row],[Comments]])))</f>
        <v/>
      </c>
      <c r="H140" s="76" t="str">
        <f>IF(AND(Main[[#This Row],[In Stock Date]]&lt;&gt;"",Main[[#This Row],[Revised Due Date]]&lt;&gt;""),Main[[#This Row],[In Stock Date]]-Main[[#This Row],[Revised Due Date]],"")</f>
        <v/>
      </c>
      <c r="I140" s="72" t="s">
        <v>4</v>
      </c>
      <c r="J140" s="72" t="s">
        <v>4</v>
      </c>
      <c r="K140" s="81" t="s">
        <v>4</v>
      </c>
      <c r="L140" s="74"/>
      <c r="M140" s="77" t="str">
        <f>IF(Main[[#This Row],[Tech Start Date]]&lt;1/1/1990,"",IF(Main[[#This Row],[Class]]="C",WORKDAY(Main[[#This Row],[Tech Start Date]],9),IF(Main[[#This Row],[Class]]="B", WORKDAY(Main[[#This Row],[Tech Start Date]],6),IF(Main[[#This Row],[Class]]="A",WORKDAY(Main[[#This Row],[Tech Start Date]],2),""))))</f>
        <v/>
      </c>
      <c r="N140" s="77" t="str">
        <f>IF(Main[[#This Row],[Tech Start Date]]&lt;1/1/1990,"",IF(Main[[#This Row],[Class]]="C",WORKDAY(Main[[#This Row],[Tech Start Date]],19),IF(Main[[#This Row],[Class]]="B", WORKDAY(Main[[#This Row],[Tech Start Date]],12),IF(Main[[#This Row],[Class]]="A",WORKDAY(Main[[#This Row],[Tech Start Date]],4),""))))</f>
        <v/>
      </c>
      <c r="O140" s="77" t="str">
        <f>IF(Main[[#This Row],[Tech Start Date]]&lt;1/1/1990,"",IF(Main[[#This Row],[Class]]="C",WORKDAY(Main[[#This Row],[Tech Start Date]],23),IF(Main[[#This Row],[Class]]="B", WORKDAY(Main[[#This Row],[Tech Start Date]],15),IF(Main[[#This Row],[Class]]="A",WORKDAY(Main[[#This Row],[Tech Start Date]],5),""))))</f>
        <v/>
      </c>
      <c r="P140" s="77" t="str">
        <f>IF(Main[[#This Row],[Tech Start Date]]&lt;1/1/1990,"",IF(Main[[#This Row],[Class]]="C",WORKDAY(Main[[#This Row],[Tech Start Date]],28),IF(Main[[#This Row],[Class]]="B", WORKDAY(Main[[#This Row],[Tech Start Date]],19),IF(Main[[#This Row],[Class]]="A",WORKDAY(Main[[#This Row],[Tech Start Date]],9),""))))</f>
        <v/>
      </c>
      <c r="Q140" s="74">
        <v>40786</v>
      </c>
      <c r="R140" s="74"/>
      <c r="S140" s="72" t="s">
        <v>11</v>
      </c>
      <c r="T140" s="80" t="s">
        <v>4</v>
      </c>
      <c r="U140" s="72" t="s">
        <v>12</v>
      </c>
      <c r="V140" s="72" t="s">
        <v>1935</v>
      </c>
      <c r="W140" s="72" t="s">
        <v>1940</v>
      </c>
      <c r="X140" s="72" t="s">
        <v>2915</v>
      </c>
      <c r="Y140" s="72" t="s">
        <v>3041</v>
      </c>
      <c r="Z140" s="72" t="s">
        <v>4</v>
      </c>
      <c r="AA140" s="147" t="s">
        <v>2915</v>
      </c>
    </row>
    <row r="141" spans="1:27" ht="18.600000000000001" customHeight="1">
      <c r="A141" s="140" t="str">
        <f>IF(priority(Main[[#This Row],[Comments]])&lt;&gt;0, priority(Main[[#This Row],[Comments]]),"")</f>
        <v/>
      </c>
      <c r="B141" s="90" t="s">
        <v>2239</v>
      </c>
      <c r="C141" s="72" t="s">
        <v>2240</v>
      </c>
      <c r="D141" s="73" t="s">
        <v>2241</v>
      </c>
      <c r="E141" s="74">
        <v>40798.585381944446</v>
      </c>
      <c r="F141" s="74">
        <v>40848</v>
      </c>
      <c r="G141" s="75" t="str">
        <f>IF(stdProdLT(Main[[#This Row],[Comments]])=0.1,"N/A",IF(stdProdLT(Main[[#This Row],[Comments]])=0,"",stdProdLT(Main[[#This Row],[Comments]])))</f>
        <v/>
      </c>
      <c r="H141" s="76" t="str">
        <f>IF(AND(Main[[#This Row],[In Stock Date]]&lt;&gt;"",Main[[#This Row],[Revised Due Date]]&lt;&gt;""),Main[[#This Row],[In Stock Date]]-Main[[#This Row],[Revised Due Date]],"")</f>
        <v/>
      </c>
      <c r="I141" s="72" t="s">
        <v>4</v>
      </c>
      <c r="J141" s="72" t="s">
        <v>4</v>
      </c>
      <c r="K141" s="72" t="s">
        <v>4</v>
      </c>
      <c r="L141" s="74"/>
      <c r="M141" s="77" t="str">
        <f>IF(Main[[#This Row],[Tech Start Date]]&lt;1/1/1990,"",IF(Main[[#This Row],[Class]]="C",WORKDAY(Main[[#This Row],[Tech Start Date]],9),IF(Main[[#This Row],[Class]]="B", WORKDAY(Main[[#This Row],[Tech Start Date]],6),IF(Main[[#This Row],[Class]]="A",WORKDAY(Main[[#This Row],[Tech Start Date]],2),""))))</f>
        <v/>
      </c>
      <c r="N141" s="77" t="str">
        <f>IF(Main[[#This Row],[Tech Start Date]]&lt;1/1/1990,"",IF(Main[[#This Row],[Class]]="C",WORKDAY(Main[[#This Row],[Tech Start Date]],19),IF(Main[[#This Row],[Class]]="B", WORKDAY(Main[[#This Row],[Tech Start Date]],12),IF(Main[[#This Row],[Class]]="A",WORKDAY(Main[[#This Row],[Tech Start Date]],4),""))))</f>
        <v/>
      </c>
      <c r="O141" s="77" t="str">
        <f>IF(Main[[#This Row],[Tech Start Date]]&lt;1/1/1990,"",IF(Main[[#This Row],[Class]]="C",WORKDAY(Main[[#This Row],[Tech Start Date]],23),IF(Main[[#This Row],[Class]]="B", WORKDAY(Main[[#This Row],[Tech Start Date]],15),IF(Main[[#This Row],[Class]]="A",WORKDAY(Main[[#This Row],[Tech Start Date]],5),""))))</f>
        <v/>
      </c>
      <c r="P141" s="77" t="str">
        <f>IF(Main[[#This Row],[Tech Start Date]]&lt;1/1/1990,"",IF(Main[[#This Row],[Class]]="C",WORKDAY(Main[[#This Row],[Tech Start Date]],28),IF(Main[[#This Row],[Class]]="B", WORKDAY(Main[[#This Row],[Tech Start Date]],19),IF(Main[[#This Row],[Class]]="A",WORKDAY(Main[[#This Row],[Tech Start Date]],9),""))))</f>
        <v/>
      </c>
      <c r="Q141" s="74"/>
      <c r="R141" s="74"/>
      <c r="S141" s="72" t="s">
        <v>49</v>
      </c>
      <c r="T141" s="80" t="s">
        <v>4</v>
      </c>
      <c r="U141" s="72" t="s">
        <v>7</v>
      </c>
      <c r="V141" s="72" t="s">
        <v>1932</v>
      </c>
      <c r="W141" s="72" t="s">
        <v>1937</v>
      </c>
      <c r="X141" s="72" t="s">
        <v>2916</v>
      </c>
      <c r="Y141" s="72" t="s">
        <v>3042</v>
      </c>
      <c r="Z141" s="72" t="s">
        <v>4</v>
      </c>
      <c r="AA141" s="147" t="s">
        <v>2916</v>
      </c>
    </row>
    <row r="142" spans="1:27" ht="18.600000000000001" customHeight="1">
      <c r="A142" s="140" t="str">
        <f>IF(priority(Main[[#This Row],[Comments]])&lt;&gt;0, priority(Main[[#This Row],[Comments]]),"")</f>
        <v/>
      </c>
      <c r="B142" s="90" t="s">
        <v>1060</v>
      </c>
      <c r="C142" s="72" t="s">
        <v>79</v>
      </c>
      <c r="D142" s="73" t="s">
        <v>80</v>
      </c>
      <c r="E142" s="74"/>
      <c r="F142" s="74"/>
      <c r="G142" s="75" t="str">
        <f>IF(stdProdLT(Main[[#This Row],[Comments]])=0.1,"N/A",IF(stdProdLT(Main[[#This Row],[Comments]])=0,"",stdProdLT(Main[[#This Row],[Comments]])))</f>
        <v/>
      </c>
      <c r="H142" s="76" t="str">
        <f>IF(AND(Main[[#This Row],[In Stock Date]]&lt;&gt;"",Main[[#This Row],[Revised Due Date]]&lt;&gt;""),Main[[#This Row],[In Stock Date]]-Main[[#This Row],[Revised Due Date]],"")</f>
        <v/>
      </c>
      <c r="I142" s="72" t="s">
        <v>81</v>
      </c>
      <c r="J142" s="72" t="s">
        <v>4</v>
      </c>
      <c r="K142" s="72" t="s">
        <v>4</v>
      </c>
      <c r="L142" s="74"/>
      <c r="M142" s="77" t="str">
        <f>IF(Main[[#This Row],[Tech Start Date]]&lt;1/1/1990,"",IF(Main[[#This Row],[Class]]="C",WORKDAY(Main[[#This Row],[Tech Start Date]],9),IF(Main[[#This Row],[Class]]="B", WORKDAY(Main[[#This Row],[Tech Start Date]],6),IF(Main[[#This Row],[Class]]="A",WORKDAY(Main[[#This Row],[Tech Start Date]],2),""))))</f>
        <v/>
      </c>
      <c r="N142" s="77" t="str">
        <f>IF(Main[[#This Row],[Tech Start Date]]&lt;1/1/1990,"",IF(Main[[#This Row],[Class]]="C",WORKDAY(Main[[#This Row],[Tech Start Date]],19),IF(Main[[#This Row],[Class]]="B", WORKDAY(Main[[#This Row],[Tech Start Date]],12),IF(Main[[#This Row],[Class]]="A",WORKDAY(Main[[#This Row],[Tech Start Date]],4),""))))</f>
        <v/>
      </c>
      <c r="O142" s="77" t="str">
        <f>IF(Main[[#This Row],[Tech Start Date]]&lt;1/1/1990,"",IF(Main[[#This Row],[Class]]="C",WORKDAY(Main[[#This Row],[Tech Start Date]],23),IF(Main[[#This Row],[Class]]="B", WORKDAY(Main[[#This Row],[Tech Start Date]],15),IF(Main[[#This Row],[Class]]="A",WORKDAY(Main[[#This Row],[Tech Start Date]],5),""))))</f>
        <v/>
      </c>
      <c r="P142" s="77" t="str">
        <f>IF(Main[[#This Row],[Tech Start Date]]&lt;1/1/1990,"",IF(Main[[#This Row],[Class]]="C",WORKDAY(Main[[#This Row],[Tech Start Date]],28),IF(Main[[#This Row],[Class]]="B", WORKDAY(Main[[#This Row],[Tech Start Date]],19),IF(Main[[#This Row],[Class]]="A",WORKDAY(Main[[#This Row],[Tech Start Date]],9),""))))</f>
        <v/>
      </c>
      <c r="Q142" s="74">
        <v>39986</v>
      </c>
      <c r="R142" s="74"/>
      <c r="S142" s="72" t="s">
        <v>11</v>
      </c>
      <c r="T142" s="80" t="s">
        <v>4</v>
      </c>
      <c r="U142" s="72" t="s">
        <v>14</v>
      </c>
      <c r="V142" s="72" t="s">
        <v>1935</v>
      </c>
      <c r="W142" s="72" t="s">
        <v>1943</v>
      </c>
      <c r="X142" s="72" t="s">
        <v>2904</v>
      </c>
      <c r="Y142" s="72" t="s">
        <v>3043</v>
      </c>
      <c r="Z142" s="72" t="s">
        <v>4</v>
      </c>
      <c r="AA142" s="147" t="s">
        <v>2945</v>
      </c>
    </row>
    <row r="143" spans="1:27" ht="18.600000000000001" customHeight="1">
      <c r="A143" s="140" t="str">
        <f>IF(priority(Main[[#This Row],[Comments]])&lt;&gt;0, priority(Main[[#This Row],[Comments]]),"")</f>
        <v/>
      </c>
      <c r="B143" s="90" t="s">
        <v>1061</v>
      </c>
      <c r="C143" s="72" t="s">
        <v>4</v>
      </c>
      <c r="D143" s="73" t="s">
        <v>82</v>
      </c>
      <c r="E143" s="74"/>
      <c r="F143" s="74"/>
      <c r="G143" s="75" t="str">
        <f>IF(stdProdLT(Main[[#This Row],[Comments]])=0.1,"N/A",IF(stdProdLT(Main[[#This Row],[Comments]])=0,"",stdProdLT(Main[[#This Row],[Comments]])))</f>
        <v/>
      </c>
      <c r="H143" s="76" t="str">
        <f>IF(AND(Main[[#This Row],[In Stock Date]]&lt;&gt;"",Main[[#This Row],[Revised Due Date]]&lt;&gt;""),Main[[#This Row],[In Stock Date]]-Main[[#This Row],[Revised Due Date]],"")</f>
        <v/>
      </c>
      <c r="I143" s="72" t="s">
        <v>4</v>
      </c>
      <c r="J143" s="72" t="s">
        <v>4</v>
      </c>
      <c r="K143" s="72" t="s">
        <v>4</v>
      </c>
      <c r="L143" s="74"/>
      <c r="M143" s="77" t="str">
        <f>IF(Main[[#This Row],[Tech Start Date]]&lt;1/1/1990,"",IF(Main[[#This Row],[Class]]="C",WORKDAY(Main[[#This Row],[Tech Start Date]],9),IF(Main[[#This Row],[Class]]="B", WORKDAY(Main[[#This Row],[Tech Start Date]],6),IF(Main[[#This Row],[Class]]="A",WORKDAY(Main[[#This Row],[Tech Start Date]],2),""))))</f>
        <v/>
      </c>
      <c r="N143" s="77" t="str">
        <f>IF(Main[[#This Row],[Tech Start Date]]&lt;1/1/1990,"",IF(Main[[#This Row],[Class]]="C",WORKDAY(Main[[#This Row],[Tech Start Date]],19),IF(Main[[#This Row],[Class]]="B", WORKDAY(Main[[#This Row],[Tech Start Date]],12),IF(Main[[#This Row],[Class]]="A",WORKDAY(Main[[#This Row],[Tech Start Date]],4),""))))</f>
        <v/>
      </c>
      <c r="O143" s="77" t="str">
        <f>IF(Main[[#This Row],[Tech Start Date]]&lt;1/1/1990,"",IF(Main[[#This Row],[Class]]="C",WORKDAY(Main[[#This Row],[Tech Start Date]],23),IF(Main[[#This Row],[Class]]="B", WORKDAY(Main[[#This Row],[Tech Start Date]],15),IF(Main[[#This Row],[Class]]="A",WORKDAY(Main[[#This Row],[Tech Start Date]],5),""))))</f>
        <v/>
      </c>
      <c r="P143" s="77" t="str">
        <f>IF(Main[[#This Row],[Tech Start Date]]&lt;1/1/1990,"",IF(Main[[#This Row],[Class]]="C",WORKDAY(Main[[#This Row],[Tech Start Date]],28),IF(Main[[#This Row],[Class]]="B", WORKDAY(Main[[#This Row],[Tech Start Date]],19),IF(Main[[#This Row],[Class]]="A",WORKDAY(Main[[#This Row],[Tech Start Date]],9),""))))</f>
        <v/>
      </c>
      <c r="Q143" s="74">
        <v>40602</v>
      </c>
      <c r="R143" s="74"/>
      <c r="S143" s="72" t="s">
        <v>6</v>
      </c>
      <c r="T143" s="80" t="s">
        <v>4</v>
      </c>
      <c r="U143" s="72" t="s">
        <v>14</v>
      </c>
      <c r="V143" s="72" t="s">
        <v>1942</v>
      </c>
      <c r="W143" s="72" t="s">
        <v>1936</v>
      </c>
      <c r="X143" s="72" t="s">
        <v>30</v>
      </c>
      <c r="Y143" s="72" t="s">
        <v>3044</v>
      </c>
      <c r="Z143" s="72" t="s">
        <v>4</v>
      </c>
      <c r="AA143" s="147" t="s">
        <v>30</v>
      </c>
    </row>
    <row r="144" spans="1:27" ht="18.600000000000001" customHeight="1">
      <c r="A144" s="140" t="str">
        <f>IF(priority(Main[[#This Row],[Comments]])&lt;&gt;0, priority(Main[[#This Row],[Comments]]),"")</f>
        <v/>
      </c>
      <c r="B144" s="90" t="s">
        <v>2735</v>
      </c>
      <c r="C144" s="72" t="s">
        <v>2736</v>
      </c>
      <c r="D144" s="73" t="s">
        <v>2737</v>
      </c>
      <c r="E144" s="74"/>
      <c r="F144" s="74"/>
      <c r="G144" s="75" t="str">
        <f>IF(stdProdLT(Main[[#This Row],[Comments]])=0.1,"N/A",IF(stdProdLT(Main[[#This Row],[Comments]])=0,"",stdProdLT(Main[[#This Row],[Comments]])))</f>
        <v/>
      </c>
      <c r="H144" s="76" t="str">
        <f>IF(AND(Main[[#This Row],[In Stock Date]]&lt;&gt;"",Main[[#This Row],[Revised Due Date]]&lt;&gt;""),Main[[#This Row],[In Stock Date]]-Main[[#This Row],[Revised Due Date]],"")</f>
        <v/>
      </c>
      <c r="I144" s="72" t="s">
        <v>4</v>
      </c>
      <c r="J144" s="72" t="s">
        <v>4</v>
      </c>
      <c r="K144" s="81" t="s">
        <v>4</v>
      </c>
      <c r="L144" s="74"/>
      <c r="M144" s="77" t="str">
        <f>IF(Main[[#This Row],[Tech Start Date]]&lt;1/1/1990,"",IF(Main[[#This Row],[Class]]="C",WORKDAY(Main[[#This Row],[Tech Start Date]],9),IF(Main[[#This Row],[Class]]="B", WORKDAY(Main[[#This Row],[Tech Start Date]],6),IF(Main[[#This Row],[Class]]="A",WORKDAY(Main[[#This Row],[Tech Start Date]],2),""))))</f>
        <v/>
      </c>
      <c r="N144" s="77" t="str">
        <f>IF(Main[[#This Row],[Tech Start Date]]&lt;1/1/1990,"",IF(Main[[#This Row],[Class]]="C",WORKDAY(Main[[#This Row],[Tech Start Date]],19),IF(Main[[#This Row],[Class]]="B", WORKDAY(Main[[#This Row],[Tech Start Date]],12),IF(Main[[#This Row],[Class]]="A",WORKDAY(Main[[#This Row],[Tech Start Date]],4),""))))</f>
        <v/>
      </c>
      <c r="O144" s="77" t="str">
        <f>IF(Main[[#This Row],[Tech Start Date]]&lt;1/1/1990,"",IF(Main[[#This Row],[Class]]="C",WORKDAY(Main[[#This Row],[Tech Start Date]],23),IF(Main[[#This Row],[Class]]="B", WORKDAY(Main[[#This Row],[Tech Start Date]],15),IF(Main[[#This Row],[Class]]="A",WORKDAY(Main[[#This Row],[Tech Start Date]],5),""))))</f>
        <v/>
      </c>
      <c r="P144" s="77" t="str">
        <f>IF(Main[[#This Row],[Tech Start Date]]&lt;1/1/1990,"",IF(Main[[#This Row],[Class]]="C",WORKDAY(Main[[#This Row],[Tech Start Date]],28),IF(Main[[#This Row],[Class]]="B", WORKDAY(Main[[#This Row],[Tech Start Date]],19),IF(Main[[#This Row],[Class]]="A",WORKDAY(Main[[#This Row],[Tech Start Date]],9),""))))</f>
        <v/>
      </c>
      <c r="Q144" s="74"/>
      <c r="R144" s="74"/>
      <c r="S144" s="72" t="s">
        <v>6</v>
      </c>
      <c r="T144" s="80" t="s">
        <v>4</v>
      </c>
      <c r="U144" s="72" t="s">
        <v>14</v>
      </c>
      <c r="V144" s="72" t="s">
        <v>1935</v>
      </c>
      <c r="W144" s="72" t="s">
        <v>1940</v>
      </c>
      <c r="X144" s="72" t="s">
        <v>894</v>
      </c>
      <c r="Y144" s="72" t="s">
        <v>3045</v>
      </c>
      <c r="Z144" s="72" t="s">
        <v>4</v>
      </c>
      <c r="AA144" s="147" t="s">
        <v>3565</v>
      </c>
    </row>
    <row r="145" spans="1:27" ht="18.600000000000001" customHeight="1">
      <c r="A145" s="140" t="str">
        <f>IF(priority(Main[[#This Row],[Comments]])&lt;&gt;0, priority(Main[[#This Row],[Comments]]),"")</f>
        <v/>
      </c>
      <c r="B145" s="90" t="s">
        <v>1053</v>
      </c>
      <c r="C145" s="72" t="s">
        <v>83</v>
      </c>
      <c r="D145" s="73" t="s">
        <v>84</v>
      </c>
      <c r="E145" s="74"/>
      <c r="F145" s="74"/>
      <c r="G145" s="75" t="str">
        <f>IF(stdProdLT(Main[[#This Row],[Comments]])=0.1,"N/A",IF(stdProdLT(Main[[#This Row],[Comments]])=0,"",stdProdLT(Main[[#This Row],[Comments]])))</f>
        <v/>
      </c>
      <c r="H145" s="76" t="str">
        <f>IF(AND(Main[[#This Row],[In Stock Date]]&lt;&gt;"",Main[[#This Row],[Revised Due Date]]&lt;&gt;""),Main[[#This Row],[In Stock Date]]-Main[[#This Row],[Revised Due Date]],"")</f>
        <v/>
      </c>
      <c r="I145" s="72" t="s">
        <v>4</v>
      </c>
      <c r="J145" s="72" t="s">
        <v>4</v>
      </c>
      <c r="K145" s="72" t="s">
        <v>4</v>
      </c>
      <c r="L145" s="74"/>
      <c r="M145" s="77" t="str">
        <f>IF(Main[[#This Row],[Tech Start Date]]&lt;1/1/1990,"",IF(Main[[#This Row],[Class]]="C",WORKDAY(Main[[#This Row],[Tech Start Date]],9),IF(Main[[#This Row],[Class]]="B", WORKDAY(Main[[#This Row],[Tech Start Date]],6),IF(Main[[#This Row],[Class]]="A",WORKDAY(Main[[#This Row],[Tech Start Date]],2),""))))</f>
        <v/>
      </c>
      <c r="N145" s="77" t="str">
        <f>IF(Main[[#This Row],[Tech Start Date]]&lt;1/1/1990,"",IF(Main[[#This Row],[Class]]="C",WORKDAY(Main[[#This Row],[Tech Start Date]],19),IF(Main[[#This Row],[Class]]="B", WORKDAY(Main[[#This Row],[Tech Start Date]],12),IF(Main[[#This Row],[Class]]="A",WORKDAY(Main[[#This Row],[Tech Start Date]],4),""))))</f>
        <v/>
      </c>
      <c r="O145" s="77" t="str">
        <f>IF(Main[[#This Row],[Tech Start Date]]&lt;1/1/1990,"",IF(Main[[#This Row],[Class]]="C",WORKDAY(Main[[#This Row],[Tech Start Date]],23),IF(Main[[#This Row],[Class]]="B", WORKDAY(Main[[#This Row],[Tech Start Date]],15),IF(Main[[#This Row],[Class]]="A",WORKDAY(Main[[#This Row],[Tech Start Date]],5),""))))</f>
        <v/>
      </c>
      <c r="P145" s="77" t="str">
        <f>IF(Main[[#This Row],[Tech Start Date]]&lt;1/1/1990,"",IF(Main[[#This Row],[Class]]="C",WORKDAY(Main[[#This Row],[Tech Start Date]],28),IF(Main[[#This Row],[Class]]="B", WORKDAY(Main[[#This Row],[Tech Start Date]],19),IF(Main[[#This Row],[Class]]="A",WORKDAY(Main[[#This Row],[Tech Start Date]],9),""))))</f>
        <v/>
      </c>
      <c r="Q145" s="74">
        <v>40259</v>
      </c>
      <c r="R145" s="74"/>
      <c r="S145" s="72" t="s">
        <v>11</v>
      </c>
      <c r="T145" s="80" t="s">
        <v>4</v>
      </c>
      <c r="U145" s="72" t="s">
        <v>14</v>
      </c>
      <c r="V145" s="72" t="s">
        <v>1932</v>
      </c>
      <c r="W145" s="72" t="s">
        <v>1943</v>
      </c>
      <c r="X145" s="72" t="s">
        <v>2901</v>
      </c>
      <c r="Y145" s="72" t="s">
        <v>4</v>
      </c>
      <c r="Z145" s="72" t="s">
        <v>4</v>
      </c>
      <c r="AA145" s="147" t="s">
        <v>2901</v>
      </c>
    </row>
    <row r="146" spans="1:27" ht="18.600000000000001" customHeight="1">
      <c r="A146" s="140" t="str">
        <f>IF(priority(Main[[#This Row],[Comments]])&lt;&gt;0, priority(Main[[#This Row],[Comments]]),"")</f>
        <v/>
      </c>
      <c r="B146" s="90" t="s">
        <v>3398</v>
      </c>
      <c r="C146" s="72" t="s">
        <v>47</v>
      </c>
      <c r="D146" s="73" t="s">
        <v>3488</v>
      </c>
      <c r="E146" s="74">
        <v>40933.456712962965</v>
      </c>
      <c r="F146" s="74"/>
      <c r="G146" s="75" t="str">
        <f>IF(stdProdLT(Main[[#This Row],[Comments]])=0.1,"N/A",IF(stdProdLT(Main[[#This Row],[Comments]])=0,"",stdProdLT(Main[[#This Row],[Comments]])))</f>
        <v/>
      </c>
      <c r="H146" s="76" t="str">
        <f>IF(AND(Main[[#This Row],[In Stock Date]]&lt;&gt;"",Main[[#This Row],[Revised Due Date]]&lt;&gt;""),Main[[#This Row],[In Stock Date]]-Main[[#This Row],[Revised Due Date]],"")</f>
        <v/>
      </c>
      <c r="I146" s="72" t="s">
        <v>4</v>
      </c>
      <c r="J146" s="72" t="s">
        <v>4</v>
      </c>
      <c r="K146" s="72" t="s">
        <v>4</v>
      </c>
      <c r="L146" s="74"/>
      <c r="M146" s="77" t="str">
        <f>IF(Main[[#This Row],[Tech Start Date]]&lt;1/1/1990,"",IF(Main[[#This Row],[Class]]="C",WORKDAY(Main[[#This Row],[Tech Start Date]],9),IF(Main[[#This Row],[Class]]="B", WORKDAY(Main[[#This Row],[Tech Start Date]],6),IF(Main[[#This Row],[Class]]="A",WORKDAY(Main[[#This Row],[Tech Start Date]],2),""))))</f>
        <v/>
      </c>
      <c r="N146" s="77" t="str">
        <f>IF(Main[[#This Row],[Tech Start Date]]&lt;1/1/1990,"",IF(Main[[#This Row],[Class]]="C",WORKDAY(Main[[#This Row],[Tech Start Date]],19),IF(Main[[#This Row],[Class]]="B", WORKDAY(Main[[#This Row],[Tech Start Date]],12),IF(Main[[#This Row],[Class]]="A",WORKDAY(Main[[#This Row],[Tech Start Date]],4),""))))</f>
        <v/>
      </c>
      <c r="O146" s="77" t="str">
        <f>IF(Main[[#This Row],[Tech Start Date]]&lt;1/1/1990,"",IF(Main[[#This Row],[Class]]="C",WORKDAY(Main[[#This Row],[Tech Start Date]],23),IF(Main[[#This Row],[Class]]="B", WORKDAY(Main[[#This Row],[Tech Start Date]],15),IF(Main[[#This Row],[Class]]="A",WORKDAY(Main[[#This Row],[Tech Start Date]],5),""))))</f>
        <v/>
      </c>
      <c r="P146" s="77" t="str">
        <f>IF(Main[[#This Row],[Tech Start Date]]&lt;1/1/1990,"",IF(Main[[#This Row],[Class]]="C",WORKDAY(Main[[#This Row],[Tech Start Date]],28),IF(Main[[#This Row],[Class]]="B", WORKDAY(Main[[#This Row],[Tech Start Date]],19),IF(Main[[#This Row],[Class]]="A",WORKDAY(Main[[#This Row],[Tech Start Date]],9),""))))</f>
        <v/>
      </c>
      <c r="Q146" s="74">
        <v>40939</v>
      </c>
      <c r="R146" s="74"/>
      <c r="S146" s="72" t="s">
        <v>6</v>
      </c>
      <c r="T146" s="80" t="s">
        <v>4</v>
      </c>
      <c r="U146" s="72" t="s">
        <v>29</v>
      </c>
      <c r="V146" s="72" t="s">
        <v>2312</v>
      </c>
      <c r="W146" s="72" t="s">
        <v>4</v>
      </c>
      <c r="X146" s="72" t="s">
        <v>2949</v>
      </c>
      <c r="Y146" s="72" t="s">
        <v>3097</v>
      </c>
      <c r="Z146" s="72" t="s">
        <v>4</v>
      </c>
      <c r="AA146" s="147" t="s">
        <v>2949</v>
      </c>
    </row>
    <row r="147" spans="1:27" ht="18.600000000000001" customHeight="1">
      <c r="A147" s="140" t="str">
        <f>IF(priority(Main[[#This Row],[Comments]])&lt;&gt;0, priority(Main[[#This Row],[Comments]]),"")</f>
        <v/>
      </c>
      <c r="B147" s="90" t="s">
        <v>1765</v>
      </c>
      <c r="C147" s="72" t="s">
        <v>4</v>
      </c>
      <c r="D147" s="73" t="s">
        <v>2360</v>
      </c>
      <c r="E147" s="74"/>
      <c r="F147" s="74"/>
      <c r="G147" s="75" t="str">
        <f>IF(stdProdLT(Main[[#This Row],[Comments]])=0.1,"N/A",IF(stdProdLT(Main[[#This Row],[Comments]])=0,"",stdProdLT(Main[[#This Row],[Comments]])))</f>
        <v/>
      </c>
      <c r="H147" s="76" t="str">
        <f>IF(AND(Main[[#This Row],[In Stock Date]]&lt;&gt;"",Main[[#This Row],[Revised Due Date]]&lt;&gt;""),Main[[#This Row],[In Stock Date]]-Main[[#This Row],[Revised Due Date]],"")</f>
        <v/>
      </c>
      <c r="I147" s="72" t="s">
        <v>131</v>
      </c>
      <c r="J147" s="72" t="s">
        <v>70</v>
      </c>
      <c r="K147" s="72" t="s">
        <v>1941</v>
      </c>
      <c r="L147" s="74"/>
      <c r="M147" s="77" t="str">
        <f>IF(Main[[#This Row],[Tech Start Date]]&lt;1/1/1990,"",IF(Main[[#This Row],[Class]]="C",WORKDAY(Main[[#This Row],[Tech Start Date]],9),IF(Main[[#This Row],[Class]]="B", WORKDAY(Main[[#This Row],[Tech Start Date]],6),IF(Main[[#This Row],[Class]]="A",WORKDAY(Main[[#This Row],[Tech Start Date]],2),""))))</f>
        <v/>
      </c>
      <c r="N147" s="77" t="str">
        <f>IF(Main[[#This Row],[Tech Start Date]]&lt;1/1/1990,"",IF(Main[[#This Row],[Class]]="C",WORKDAY(Main[[#This Row],[Tech Start Date]],19),IF(Main[[#This Row],[Class]]="B", WORKDAY(Main[[#This Row],[Tech Start Date]],12),IF(Main[[#This Row],[Class]]="A",WORKDAY(Main[[#This Row],[Tech Start Date]],4),""))))</f>
        <v/>
      </c>
      <c r="O147" s="77" t="str">
        <f>IF(Main[[#This Row],[Tech Start Date]]&lt;1/1/1990,"",IF(Main[[#This Row],[Class]]="C",WORKDAY(Main[[#This Row],[Tech Start Date]],23),IF(Main[[#This Row],[Class]]="B", WORKDAY(Main[[#This Row],[Tech Start Date]],15),IF(Main[[#This Row],[Class]]="A",WORKDAY(Main[[#This Row],[Tech Start Date]],5),""))))</f>
        <v/>
      </c>
      <c r="P147" s="77" t="str">
        <f>IF(Main[[#This Row],[Tech Start Date]]&lt;1/1/1990,"",IF(Main[[#This Row],[Class]]="C",WORKDAY(Main[[#This Row],[Tech Start Date]],28),IF(Main[[#This Row],[Class]]="B", WORKDAY(Main[[#This Row],[Tech Start Date]],19),IF(Main[[#This Row],[Class]]="A",WORKDAY(Main[[#This Row],[Tech Start Date]],9),""))))</f>
        <v/>
      </c>
      <c r="Q147" s="74">
        <v>40786</v>
      </c>
      <c r="R147" s="74"/>
      <c r="S147" s="72" t="s">
        <v>6</v>
      </c>
      <c r="T147" s="80" t="s">
        <v>4</v>
      </c>
      <c r="U147" s="72" t="s">
        <v>14</v>
      </c>
      <c r="V147" s="72" t="s">
        <v>1935</v>
      </c>
      <c r="W147" s="72" t="s">
        <v>1936</v>
      </c>
      <c r="X147" s="72" t="s">
        <v>403</v>
      </c>
      <c r="Y147" s="72" t="s">
        <v>4</v>
      </c>
      <c r="Z147" s="72" t="s">
        <v>44</v>
      </c>
      <c r="AA147" s="147" t="s">
        <v>3566</v>
      </c>
    </row>
    <row r="148" spans="1:27" ht="18.600000000000001" customHeight="1">
      <c r="A148" s="140" t="str">
        <f>IF(priority(Main[[#This Row],[Comments]])&lt;&gt;0, priority(Main[[#This Row],[Comments]]),"")</f>
        <v/>
      </c>
      <c r="B148" s="90" t="s">
        <v>1964</v>
      </c>
      <c r="C148" s="72" t="s">
        <v>4</v>
      </c>
      <c r="D148" s="73" t="s">
        <v>3489</v>
      </c>
      <c r="E148" s="74">
        <v>40721.395208333335</v>
      </c>
      <c r="F148" s="74"/>
      <c r="G148" s="75" t="str">
        <f>IF(stdProdLT(Main[[#This Row],[Comments]])=0.1,"N/A",IF(stdProdLT(Main[[#This Row],[Comments]])=0,"",stdProdLT(Main[[#This Row],[Comments]])))</f>
        <v/>
      </c>
      <c r="H148" s="76" t="str">
        <f>IF(AND(Main[[#This Row],[In Stock Date]]&lt;&gt;"",Main[[#This Row],[Revised Due Date]]&lt;&gt;""),Main[[#This Row],[In Stock Date]]-Main[[#This Row],[Revised Due Date]],"")</f>
        <v/>
      </c>
      <c r="I148" s="72" t="s">
        <v>2073</v>
      </c>
      <c r="J148" s="72" t="s">
        <v>21</v>
      </c>
      <c r="K148" s="72" t="s">
        <v>1941</v>
      </c>
      <c r="L148" s="74"/>
      <c r="M148" s="77" t="str">
        <f>IF(Main[[#This Row],[Tech Start Date]]&lt;1/1/1990,"",IF(Main[[#This Row],[Class]]="C",WORKDAY(Main[[#This Row],[Tech Start Date]],9),IF(Main[[#This Row],[Class]]="B", WORKDAY(Main[[#This Row],[Tech Start Date]],6),IF(Main[[#This Row],[Class]]="A",WORKDAY(Main[[#This Row],[Tech Start Date]],2),""))))</f>
        <v/>
      </c>
      <c r="N148" s="77" t="str">
        <f>IF(Main[[#This Row],[Tech Start Date]]&lt;1/1/1990,"",IF(Main[[#This Row],[Class]]="C",WORKDAY(Main[[#This Row],[Tech Start Date]],19),IF(Main[[#This Row],[Class]]="B", WORKDAY(Main[[#This Row],[Tech Start Date]],12),IF(Main[[#This Row],[Class]]="A",WORKDAY(Main[[#This Row],[Tech Start Date]],4),""))))</f>
        <v/>
      </c>
      <c r="O148" s="77" t="str">
        <f>IF(Main[[#This Row],[Tech Start Date]]&lt;1/1/1990,"",IF(Main[[#This Row],[Class]]="C",WORKDAY(Main[[#This Row],[Tech Start Date]],23),IF(Main[[#This Row],[Class]]="B", WORKDAY(Main[[#This Row],[Tech Start Date]],15),IF(Main[[#This Row],[Class]]="A",WORKDAY(Main[[#This Row],[Tech Start Date]],5),""))))</f>
        <v/>
      </c>
      <c r="P148" s="77" t="str">
        <f>IF(Main[[#This Row],[Tech Start Date]]&lt;1/1/1990,"",IF(Main[[#This Row],[Class]]="C",WORKDAY(Main[[#This Row],[Tech Start Date]],28),IF(Main[[#This Row],[Class]]="B", WORKDAY(Main[[#This Row],[Tech Start Date]],19),IF(Main[[#This Row],[Class]]="A",WORKDAY(Main[[#This Row],[Tech Start Date]],9),""))))</f>
        <v/>
      </c>
      <c r="Q148" s="74">
        <v>40753</v>
      </c>
      <c r="R148" s="74"/>
      <c r="S148" s="72" t="s">
        <v>6</v>
      </c>
      <c r="T148" s="80" t="s">
        <v>4</v>
      </c>
      <c r="U148" s="72" t="s">
        <v>29</v>
      </c>
      <c r="V148" s="72" t="s">
        <v>1935</v>
      </c>
      <c r="W148" s="72" t="s">
        <v>1936</v>
      </c>
      <c r="X148" s="72" t="s">
        <v>2902</v>
      </c>
      <c r="Y148" s="72" t="s">
        <v>3016</v>
      </c>
      <c r="Z148" s="72" t="s">
        <v>44</v>
      </c>
      <c r="AA148" s="147" t="s">
        <v>2902</v>
      </c>
    </row>
    <row r="149" spans="1:27" ht="18.600000000000001" customHeight="1">
      <c r="A149" s="140" t="str">
        <f>IF(priority(Main[[#This Row],[Comments]])&lt;&gt;0, priority(Main[[#This Row],[Comments]]),"")</f>
        <v/>
      </c>
      <c r="B149" s="90" t="s">
        <v>1051</v>
      </c>
      <c r="C149" s="72" t="s">
        <v>4</v>
      </c>
      <c r="D149" s="73" t="s">
        <v>62</v>
      </c>
      <c r="E149" s="74"/>
      <c r="F149" s="74"/>
      <c r="G149" s="75" t="str">
        <f>IF(stdProdLT(Main[[#This Row],[Comments]])=0.1,"N/A",IF(stdProdLT(Main[[#This Row],[Comments]])=0,"",stdProdLT(Main[[#This Row],[Comments]])))</f>
        <v/>
      </c>
      <c r="H149" s="76" t="str">
        <f>IF(AND(Main[[#This Row],[In Stock Date]]&lt;&gt;"",Main[[#This Row],[Revised Due Date]]&lt;&gt;""),Main[[#This Row],[In Stock Date]]-Main[[#This Row],[Revised Due Date]],"")</f>
        <v/>
      </c>
      <c r="I149" s="72" t="s">
        <v>44</v>
      </c>
      <c r="J149" s="72" t="s">
        <v>28</v>
      </c>
      <c r="K149" s="81" t="s">
        <v>1941</v>
      </c>
      <c r="L149" s="74"/>
      <c r="M149" s="77" t="str">
        <f>IF(Main[[#This Row],[Tech Start Date]]&lt;1/1/1990,"",IF(Main[[#This Row],[Class]]="C",WORKDAY(Main[[#This Row],[Tech Start Date]],9),IF(Main[[#This Row],[Class]]="B", WORKDAY(Main[[#This Row],[Tech Start Date]],6),IF(Main[[#This Row],[Class]]="A",WORKDAY(Main[[#This Row],[Tech Start Date]],2),""))))</f>
        <v/>
      </c>
      <c r="N149" s="77" t="str">
        <f>IF(Main[[#This Row],[Tech Start Date]]&lt;1/1/1990,"",IF(Main[[#This Row],[Class]]="C",WORKDAY(Main[[#This Row],[Tech Start Date]],19),IF(Main[[#This Row],[Class]]="B", WORKDAY(Main[[#This Row],[Tech Start Date]],12),IF(Main[[#This Row],[Class]]="A",WORKDAY(Main[[#This Row],[Tech Start Date]],4),""))))</f>
        <v/>
      </c>
      <c r="O149" s="77" t="str">
        <f>IF(Main[[#This Row],[Tech Start Date]]&lt;1/1/1990,"",IF(Main[[#This Row],[Class]]="C",WORKDAY(Main[[#This Row],[Tech Start Date]],23),IF(Main[[#This Row],[Class]]="B", WORKDAY(Main[[#This Row],[Tech Start Date]],15),IF(Main[[#This Row],[Class]]="A",WORKDAY(Main[[#This Row],[Tech Start Date]],5),""))))</f>
        <v/>
      </c>
      <c r="P149" s="77" t="str">
        <f>IF(Main[[#This Row],[Tech Start Date]]&lt;1/1/1990,"",IF(Main[[#This Row],[Class]]="C",WORKDAY(Main[[#This Row],[Tech Start Date]],28),IF(Main[[#This Row],[Class]]="B", WORKDAY(Main[[#This Row],[Tech Start Date]],19),IF(Main[[#This Row],[Class]]="A",WORKDAY(Main[[#This Row],[Tech Start Date]],9),""))))</f>
        <v/>
      </c>
      <c r="Q149" s="74"/>
      <c r="R149" s="74"/>
      <c r="S149" s="72" t="s">
        <v>23</v>
      </c>
      <c r="T149" s="80" t="s">
        <v>4</v>
      </c>
      <c r="U149" s="72" t="s">
        <v>14</v>
      </c>
      <c r="V149" s="72" t="s">
        <v>1935</v>
      </c>
      <c r="W149" s="72" t="s">
        <v>1934</v>
      </c>
      <c r="X149" s="72" t="s">
        <v>102</v>
      </c>
      <c r="Y149" s="72" t="s">
        <v>4</v>
      </c>
      <c r="Z149" s="72" t="s">
        <v>44</v>
      </c>
      <c r="AA149" s="147" t="s">
        <v>3567</v>
      </c>
    </row>
    <row r="150" spans="1:27" ht="18.600000000000001" customHeight="1">
      <c r="A150" s="140" t="str">
        <f>IF(priority(Main[[#This Row],[Comments]])&lt;&gt;0, priority(Main[[#This Row],[Comments]]),"")</f>
        <v/>
      </c>
      <c r="B150" s="90" t="s">
        <v>1052</v>
      </c>
      <c r="C150" s="72" t="s">
        <v>63</v>
      </c>
      <c r="D150" s="73" t="s">
        <v>64</v>
      </c>
      <c r="E150" s="74"/>
      <c r="F150" s="74">
        <v>40513</v>
      </c>
      <c r="G150" s="75" t="str">
        <f>IF(stdProdLT(Main[[#This Row],[Comments]])=0.1,"N/A",IF(stdProdLT(Main[[#This Row],[Comments]])=0,"",stdProdLT(Main[[#This Row],[Comments]])))</f>
        <v/>
      </c>
      <c r="H150" s="76" t="str">
        <f>IF(AND(Main[[#This Row],[In Stock Date]]&lt;&gt;"",Main[[#This Row],[Revised Due Date]]&lt;&gt;""),Main[[#This Row],[In Stock Date]]-Main[[#This Row],[Revised Due Date]],"")</f>
        <v/>
      </c>
      <c r="I150" s="72" t="s">
        <v>65</v>
      </c>
      <c r="J150" s="72" t="s">
        <v>28</v>
      </c>
      <c r="K150" s="72" t="s">
        <v>4</v>
      </c>
      <c r="L150" s="74"/>
      <c r="M150" s="77" t="str">
        <f>IF(Main[[#This Row],[Tech Start Date]]&lt;1/1/1990,"",IF(Main[[#This Row],[Class]]="C",WORKDAY(Main[[#This Row],[Tech Start Date]],9),IF(Main[[#This Row],[Class]]="B", WORKDAY(Main[[#This Row],[Tech Start Date]],6),IF(Main[[#This Row],[Class]]="A",WORKDAY(Main[[#This Row],[Tech Start Date]],2),""))))</f>
        <v/>
      </c>
      <c r="N150" s="77" t="str">
        <f>IF(Main[[#This Row],[Tech Start Date]]&lt;1/1/1990,"",IF(Main[[#This Row],[Class]]="C",WORKDAY(Main[[#This Row],[Tech Start Date]],19),IF(Main[[#This Row],[Class]]="B", WORKDAY(Main[[#This Row],[Tech Start Date]],12),IF(Main[[#This Row],[Class]]="A",WORKDAY(Main[[#This Row],[Tech Start Date]],4),""))))</f>
        <v/>
      </c>
      <c r="O150" s="77" t="str">
        <f>IF(Main[[#This Row],[Tech Start Date]]&lt;1/1/1990,"",IF(Main[[#This Row],[Class]]="C",WORKDAY(Main[[#This Row],[Tech Start Date]],23),IF(Main[[#This Row],[Class]]="B", WORKDAY(Main[[#This Row],[Tech Start Date]],15),IF(Main[[#This Row],[Class]]="A",WORKDAY(Main[[#This Row],[Tech Start Date]],5),""))))</f>
        <v/>
      </c>
      <c r="P150" s="77" t="str">
        <f>IF(Main[[#This Row],[Tech Start Date]]&lt;1/1/1990,"",IF(Main[[#This Row],[Class]]="C",WORKDAY(Main[[#This Row],[Tech Start Date]],28),IF(Main[[#This Row],[Class]]="B", WORKDAY(Main[[#This Row],[Tech Start Date]],19),IF(Main[[#This Row],[Class]]="A",WORKDAY(Main[[#This Row],[Tech Start Date]],9),""))))</f>
        <v/>
      </c>
      <c r="Q150" s="74">
        <v>40513</v>
      </c>
      <c r="R150" s="74"/>
      <c r="S150" s="72" t="s">
        <v>11</v>
      </c>
      <c r="T150" s="80" t="s">
        <v>4</v>
      </c>
      <c r="U150" s="72" t="s">
        <v>14</v>
      </c>
      <c r="V150" s="72" t="s">
        <v>1935</v>
      </c>
      <c r="W150" s="72" t="s">
        <v>1937</v>
      </c>
      <c r="X150" s="72" t="s">
        <v>2898</v>
      </c>
      <c r="Y150" s="72" t="s">
        <v>3013</v>
      </c>
      <c r="Z150" s="72" t="s">
        <v>535</v>
      </c>
      <c r="AA150" s="147" t="s">
        <v>2898</v>
      </c>
    </row>
    <row r="151" spans="1:27" ht="18.600000000000001" customHeight="1">
      <c r="A151" s="140" t="str">
        <f>IF(priority(Main[[#This Row],[Comments]])&lt;&gt;0, priority(Main[[#This Row],[Comments]]),"")</f>
        <v/>
      </c>
      <c r="B151" s="90" t="s">
        <v>2071</v>
      </c>
      <c r="C151" s="72" t="s">
        <v>701</v>
      </c>
      <c r="D151" s="73" t="s">
        <v>2072</v>
      </c>
      <c r="E151" s="74"/>
      <c r="F151" s="74"/>
      <c r="G151" s="75" t="str">
        <f>IF(stdProdLT(Main[[#This Row],[Comments]])=0.1,"N/A",IF(stdProdLT(Main[[#This Row],[Comments]])=0,"",stdProdLT(Main[[#This Row],[Comments]])))</f>
        <v/>
      </c>
      <c r="H151" s="76" t="str">
        <f>IF(AND(Main[[#This Row],[In Stock Date]]&lt;&gt;"",Main[[#This Row],[Revised Due Date]]&lt;&gt;""),Main[[#This Row],[In Stock Date]]-Main[[#This Row],[Revised Due Date]],"")</f>
        <v/>
      </c>
      <c r="I151" s="72" t="s">
        <v>4</v>
      </c>
      <c r="J151" s="72" t="s">
        <v>4</v>
      </c>
      <c r="K151" s="72" t="s">
        <v>4</v>
      </c>
      <c r="L151" s="74"/>
      <c r="M151" s="77" t="str">
        <f>IF(Main[[#This Row],[Tech Start Date]]&lt;1/1/1990,"",IF(Main[[#This Row],[Class]]="C",WORKDAY(Main[[#This Row],[Tech Start Date]],9),IF(Main[[#This Row],[Class]]="B", WORKDAY(Main[[#This Row],[Tech Start Date]],6),IF(Main[[#This Row],[Class]]="A",WORKDAY(Main[[#This Row],[Tech Start Date]],2),""))))</f>
        <v/>
      </c>
      <c r="N151" s="77" t="str">
        <f>IF(Main[[#This Row],[Tech Start Date]]&lt;1/1/1990,"",IF(Main[[#This Row],[Class]]="C",WORKDAY(Main[[#This Row],[Tech Start Date]],19),IF(Main[[#This Row],[Class]]="B", WORKDAY(Main[[#This Row],[Tech Start Date]],12),IF(Main[[#This Row],[Class]]="A",WORKDAY(Main[[#This Row],[Tech Start Date]],4),""))))</f>
        <v/>
      </c>
      <c r="O151" s="77" t="str">
        <f>IF(Main[[#This Row],[Tech Start Date]]&lt;1/1/1990,"",IF(Main[[#This Row],[Class]]="C",WORKDAY(Main[[#This Row],[Tech Start Date]],23),IF(Main[[#This Row],[Class]]="B", WORKDAY(Main[[#This Row],[Tech Start Date]],15),IF(Main[[#This Row],[Class]]="A",WORKDAY(Main[[#This Row],[Tech Start Date]],5),""))))</f>
        <v/>
      </c>
      <c r="P151" s="77" t="str">
        <f>IF(Main[[#This Row],[Tech Start Date]]&lt;1/1/1990,"",IF(Main[[#This Row],[Class]]="C",WORKDAY(Main[[#This Row],[Tech Start Date]],28),IF(Main[[#This Row],[Class]]="B", WORKDAY(Main[[#This Row],[Tech Start Date]],19),IF(Main[[#This Row],[Class]]="A",WORKDAY(Main[[#This Row],[Tech Start Date]],9),""))))</f>
        <v/>
      </c>
      <c r="Q151" s="74">
        <v>40760</v>
      </c>
      <c r="R151" s="74"/>
      <c r="S151" s="72" t="s">
        <v>11</v>
      </c>
      <c r="T151" s="80" t="s">
        <v>4</v>
      </c>
      <c r="U151" s="72" t="s">
        <v>14</v>
      </c>
      <c r="V151" s="72" t="s">
        <v>1933</v>
      </c>
      <c r="W151" s="72" t="s">
        <v>1934</v>
      </c>
      <c r="X151" s="72" t="s">
        <v>2899</v>
      </c>
      <c r="Y151" s="72" t="s">
        <v>4</v>
      </c>
      <c r="Z151" s="72" t="s">
        <v>4</v>
      </c>
      <c r="AA151" s="147" t="s">
        <v>2899</v>
      </c>
    </row>
    <row r="152" spans="1:27" ht="18.600000000000001" customHeight="1">
      <c r="A152" s="140" t="str">
        <f>IF(priority(Main[[#This Row],[Comments]])&lt;&gt;0, priority(Main[[#This Row],[Comments]]),"")</f>
        <v/>
      </c>
      <c r="B152" s="90" t="s">
        <v>1043</v>
      </c>
      <c r="C152" s="72" t="s">
        <v>53</v>
      </c>
      <c r="D152" s="73" t="s">
        <v>54</v>
      </c>
      <c r="E152" s="74"/>
      <c r="F152" s="74"/>
      <c r="G152" s="75" t="str">
        <f>IF(stdProdLT(Main[[#This Row],[Comments]])=0.1,"N/A",IF(stdProdLT(Main[[#This Row],[Comments]])=0,"",stdProdLT(Main[[#This Row],[Comments]])))</f>
        <v/>
      </c>
      <c r="H152" s="76" t="str">
        <f>IF(AND(Main[[#This Row],[In Stock Date]]&lt;&gt;"",Main[[#This Row],[Revised Due Date]]&lt;&gt;""),Main[[#This Row],[In Stock Date]]-Main[[#This Row],[Revised Due Date]],"")</f>
        <v/>
      </c>
      <c r="I152" s="72" t="s">
        <v>4</v>
      </c>
      <c r="J152" s="72" t="s">
        <v>28</v>
      </c>
      <c r="K152" s="72" t="s">
        <v>1945</v>
      </c>
      <c r="L152" s="74"/>
      <c r="M152" s="77" t="str">
        <f>IF(Main[[#This Row],[Tech Start Date]]&lt;1/1/1990,"",IF(Main[[#This Row],[Class]]="C",WORKDAY(Main[[#This Row],[Tech Start Date]],9),IF(Main[[#This Row],[Class]]="B", WORKDAY(Main[[#This Row],[Tech Start Date]],6),IF(Main[[#This Row],[Class]]="A",WORKDAY(Main[[#This Row],[Tech Start Date]],2),""))))</f>
        <v/>
      </c>
      <c r="N152" s="77" t="str">
        <f>IF(Main[[#This Row],[Tech Start Date]]&lt;1/1/1990,"",IF(Main[[#This Row],[Class]]="C",WORKDAY(Main[[#This Row],[Tech Start Date]],19),IF(Main[[#This Row],[Class]]="B", WORKDAY(Main[[#This Row],[Tech Start Date]],12),IF(Main[[#This Row],[Class]]="A",WORKDAY(Main[[#This Row],[Tech Start Date]],4),""))))</f>
        <v/>
      </c>
      <c r="O152" s="77" t="str">
        <f>IF(Main[[#This Row],[Tech Start Date]]&lt;1/1/1990,"",IF(Main[[#This Row],[Class]]="C",WORKDAY(Main[[#This Row],[Tech Start Date]],23),IF(Main[[#This Row],[Class]]="B", WORKDAY(Main[[#This Row],[Tech Start Date]],15),IF(Main[[#This Row],[Class]]="A",WORKDAY(Main[[#This Row],[Tech Start Date]],5),""))))</f>
        <v/>
      </c>
      <c r="P152" s="77" t="str">
        <f>IF(Main[[#This Row],[Tech Start Date]]&lt;1/1/1990,"",IF(Main[[#This Row],[Class]]="C",WORKDAY(Main[[#This Row],[Tech Start Date]],28),IF(Main[[#This Row],[Class]]="B", WORKDAY(Main[[#This Row],[Tech Start Date]],19),IF(Main[[#This Row],[Class]]="A",WORKDAY(Main[[#This Row],[Tech Start Date]],9),""))))</f>
        <v/>
      </c>
      <c r="Q152" s="74">
        <v>40626</v>
      </c>
      <c r="R152" s="74"/>
      <c r="S152" s="72" t="s">
        <v>11</v>
      </c>
      <c r="T152" s="80" t="s">
        <v>4</v>
      </c>
      <c r="U152" s="72" t="s">
        <v>14</v>
      </c>
      <c r="V152" s="72" t="s">
        <v>1933</v>
      </c>
      <c r="W152" s="72" t="s">
        <v>1934</v>
      </c>
      <c r="X152" s="72" t="s">
        <v>2899</v>
      </c>
      <c r="Y152" s="72" t="s">
        <v>3014</v>
      </c>
      <c r="Z152" s="72" t="s">
        <v>3249</v>
      </c>
      <c r="AA152" s="147" t="s">
        <v>2899</v>
      </c>
    </row>
    <row r="153" spans="1:27" ht="18.600000000000001" customHeight="1">
      <c r="A153" s="140" t="str">
        <f>IF(priority(Main[[#This Row],[Comments]])&lt;&gt;0, priority(Main[[#This Row],[Comments]]),"")</f>
        <v/>
      </c>
      <c r="B153" s="90" t="s">
        <v>1044</v>
      </c>
      <c r="C153" s="72" t="s">
        <v>4</v>
      </c>
      <c r="D153" s="73" t="s">
        <v>55</v>
      </c>
      <c r="E153" s="74"/>
      <c r="F153" s="74"/>
      <c r="G153" s="75" t="str">
        <f>IF(stdProdLT(Main[[#This Row],[Comments]])=0.1,"N/A",IF(stdProdLT(Main[[#This Row],[Comments]])=0,"",stdProdLT(Main[[#This Row],[Comments]])))</f>
        <v/>
      </c>
      <c r="H153" s="76" t="str">
        <f>IF(AND(Main[[#This Row],[In Stock Date]]&lt;&gt;"",Main[[#This Row],[Revised Due Date]]&lt;&gt;""),Main[[#This Row],[In Stock Date]]-Main[[#This Row],[Revised Due Date]],"")</f>
        <v/>
      </c>
      <c r="I153" s="72" t="s">
        <v>4</v>
      </c>
      <c r="J153" s="72" t="s">
        <v>4</v>
      </c>
      <c r="K153" s="72" t="s">
        <v>4</v>
      </c>
      <c r="L153" s="74"/>
      <c r="M153" s="77" t="str">
        <f>IF(Main[[#This Row],[Tech Start Date]]&lt;1/1/1990,"",IF(Main[[#This Row],[Class]]="C",WORKDAY(Main[[#This Row],[Tech Start Date]],9),IF(Main[[#This Row],[Class]]="B", WORKDAY(Main[[#This Row],[Tech Start Date]],6),IF(Main[[#This Row],[Class]]="A",WORKDAY(Main[[#This Row],[Tech Start Date]],2),""))))</f>
        <v/>
      </c>
      <c r="N153" s="77" t="str">
        <f>IF(Main[[#This Row],[Tech Start Date]]&lt;1/1/1990,"",IF(Main[[#This Row],[Class]]="C",WORKDAY(Main[[#This Row],[Tech Start Date]],19),IF(Main[[#This Row],[Class]]="B", WORKDAY(Main[[#This Row],[Tech Start Date]],12),IF(Main[[#This Row],[Class]]="A",WORKDAY(Main[[#This Row],[Tech Start Date]],4),""))))</f>
        <v/>
      </c>
      <c r="O153" s="77" t="str">
        <f>IF(Main[[#This Row],[Tech Start Date]]&lt;1/1/1990,"",IF(Main[[#This Row],[Class]]="C",WORKDAY(Main[[#This Row],[Tech Start Date]],23),IF(Main[[#This Row],[Class]]="B", WORKDAY(Main[[#This Row],[Tech Start Date]],15),IF(Main[[#This Row],[Class]]="A",WORKDAY(Main[[#This Row],[Tech Start Date]],5),""))))</f>
        <v/>
      </c>
      <c r="P153" s="77" t="str">
        <f>IF(Main[[#This Row],[Tech Start Date]]&lt;1/1/1990,"",IF(Main[[#This Row],[Class]]="C",WORKDAY(Main[[#This Row],[Tech Start Date]],28),IF(Main[[#This Row],[Class]]="B", WORKDAY(Main[[#This Row],[Tech Start Date]],19),IF(Main[[#This Row],[Class]]="A",WORKDAY(Main[[#This Row],[Tech Start Date]],9),""))))</f>
        <v/>
      </c>
      <c r="Q153" s="74"/>
      <c r="R153" s="74"/>
      <c r="S153" s="72" t="s">
        <v>6</v>
      </c>
      <c r="T153" s="80" t="s">
        <v>4</v>
      </c>
      <c r="U153" s="72" t="s">
        <v>14</v>
      </c>
      <c r="V153" s="72" t="s">
        <v>1935</v>
      </c>
      <c r="W153" s="72" t="s">
        <v>1936</v>
      </c>
      <c r="X153" s="72" t="s">
        <v>310</v>
      </c>
      <c r="Y153" s="72" t="s">
        <v>4</v>
      </c>
      <c r="Z153" s="72" t="s">
        <v>4</v>
      </c>
      <c r="AA153" s="147" t="s">
        <v>4</v>
      </c>
    </row>
    <row r="154" spans="1:27" ht="18.600000000000001" customHeight="1">
      <c r="A154" s="140" t="str">
        <f>IF(priority(Main[[#This Row],[Comments]])&lt;&gt;0, priority(Main[[#This Row],[Comments]]),"")</f>
        <v/>
      </c>
      <c r="B154" s="90" t="s">
        <v>1045</v>
      </c>
      <c r="C154" s="72" t="s">
        <v>4</v>
      </c>
      <c r="D154" s="73" t="s">
        <v>56</v>
      </c>
      <c r="E154" s="74"/>
      <c r="F154" s="74"/>
      <c r="G154" s="75" t="str">
        <f>IF(stdProdLT(Main[[#This Row],[Comments]])=0.1,"N/A",IF(stdProdLT(Main[[#This Row],[Comments]])=0,"",stdProdLT(Main[[#This Row],[Comments]])))</f>
        <v/>
      </c>
      <c r="H154" s="76" t="str">
        <f>IF(AND(Main[[#This Row],[In Stock Date]]&lt;&gt;"",Main[[#This Row],[Revised Due Date]]&lt;&gt;""),Main[[#This Row],[In Stock Date]]-Main[[#This Row],[Revised Due Date]],"")</f>
        <v/>
      </c>
      <c r="I154" s="72" t="s">
        <v>4</v>
      </c>
      <c r="J154" s="72" t="s">
        <v>4</v>
      </c>
      <c r="K154" s="72" t="s">
        <v>4</v>
      </c>
      <c r="L154" s="74"/>
      <c r="M154" s="77" t="str">
        <f>IF(Main[[#This Row],[Tech Start Date]]&lt;1/1/1990,"",IF(Main[[#This Row],[Class]]="C",WORKDAY(Main[[#This Row],[Tech Start Date]],9),IF(Main[[#This Row],[Class]]="B", WORKDAY(Main[[#This Row],[Tech Start Date]],6),IF(Main[[#This Row],[Class]]="A",WORKDAY(Main[[#This Row],[Tech Start Date]],2),""))))</f>
        <v/>
      </c>
      <c r="N154" s="77" t="str">
        <f>IF(Main[[#This Row],[Tech Start Date]]&lt;1/1/1990,"",IF(Main[[#This Row],[Class]]="C",WORKDAY(Main[[#This Row],[Tech Start Date]],19),IF(Main[[#This Row],[Class]]="B", WORKDAY(Main[[#This Row],[Tech Start Date]],12),IF(Main[[#This Row],[Class]]="A",WORKDAY(Main[[#This Row],[Tech Start Date]],4),""))))</f>
        <v/>
      </c>
      <c r="O154" s="77" t="str">
        <f>IF(Main[[#This Row],[Tech Start Date]]&lt;1/1/1990,"",IF(Main[[#This Row],[Class]]="C",WORKDAY(Main[[#This Row],[Tech Start Date]],23),IF(Main[[#This Row],[Class]]="B", WORKDAY(Main[[#This Row],[Tech Start Date]],15),IF(Main[[#This Row],[Class]]="A",WORKDAY(Main[[#This Row],[Tech Start Date]],5),""))))</f>
        <v/>
      </c>
      <c r="P154" s="77" t="str">
        <f>IF(Main[[#This Row],[Tech Start Date]]&lt;1/1/1990,"",IF(Main[[#This Row],[Class]]="C",WORKDAY(Main[[#This Row],[Tech Start Date]],28),IF(Main[[#This Row],[Class]]="B", WORKDAY(Main[[#This Row],[Tech Start Date]],19),IF(Main[[#This Row],[Class]]="A",WORKDAY(Main[[#This Row],[Tech Start Date]],9),""))))</f>
        <v/>
      </c>
      <c r="Q154" s="74"/>
      <c r="R154" s="74"/>
      <c r="S154" s="72" t="s">
        <v>49</v>
      </c>
      <c r="T154" s="80" t="s">
        <v>4</v>
      </c>
      <c r="U154" s="72" t="s">
        <v>14</v>
      </c>
      <c r="V154" s="72" t="s">
        <v>1935</v>
      </c>
      <c r="W154" s="72" t="s">
        <v>1936</v>
      </c>
      <c r="X154" s="72" t="s">
        <v>310</v>
      </c>
      <c r="Y154" s="72" t="s">
        <v>4</v>
      </c>
      <c r="Z154" s="72" t="s">
        <v>4</v>
      </c>
      <c r="AA154" s="147" t="s">
        <v>4</v>
      </c>
    </row>
    <row r="155" spans="1:27" ht="18.600000000000001" customHeight="1">
      <c r="A155" s="140" t="str">
        <f>IF(priority(Main[[#This Row],[Comments]])&lt;&gt;0, priority(Main[[#This Row],[Comments]]),"")</f>
        <v/>
      </c>
      <c r="B155" s="90" t="s">
        <v>1046</v>
      </c>
      <c r="C155" s="72" t="s">
        <v>4</v>
      </c>
      <c r="D155" s="73" t="s">
        <v>57</v>
      </c>
      <c r="E155" s="74"/>
      <c r="F155" s="74"/>
      <c r="G155" s="75" t="str">
        <f>IF(stdProdLT(Main[[#This Row],[Comments]])=0.1,"N/A",IF(stdProdLT(Main[[#This Row],[Comments]])=0,"",stdProdLT(Main[[#This Row],[Comments]])))</f>
        <v/>
      </c>
      <c r="H155" s="76" t="str">
        <f>IF(AND(Main[[#This Row],[In Stock Date]]&lt;&gt;"",Main[[#This Row],[Revised Due Date]]&lt;&gt;""),Main[[#This Row],[In Stock Date]]-Main[[#This Row],[Revised Due Date]],"")</f>
        <v/>
      </c>
      <c r="I155" s="72" t="s">
        <v>4</v>
      </c>
      <c r="J155" s="72" t="s">
        <v>4</v>
      </c>
      <c r="K155" s="72" t="s">
        <v>4</v>
      </c>
      <c r="L155" s="74"/>
      <c r="M155" s="77" t="str">
        <f>IF(Main[[#This Row],[Tech Start Date]]&lt;1/1/1990,"",IF(Main[[#This Row],[Class]]="C",WORKDAY(Main[[#This Row],[Tech Start Date]],9),IF(Main[[#This Row],[Class]]="B", WORKDAY(Main[[#This Row],[Tech Start Date]],6),IF(Main[[#This Row],[Class]]="A",WORKDAY(Main[[#This Row],[Tech Start Date]],2),""))))</f>
        <v/>
      </c>
      <c r="N155" s="77" t="str">
        <f>IF(Main[[#This Row],[Tech Start Date]]&lt;1/1/1990,"",IF(Main[[#This Row],[Class]]="C",WORKDAY(Main[[#This Row],[Tech Start Date]],19),IF(Main[[#This Row],[Class]]="B", WORKDAY(Main[[#This Row],[Tech Start Date]],12),IF(Main[[#This Row],[Class]]="A",WORKDAY(Main[[#This Row],[Tech Start Date]],4),""))))</f>
        <v/>
      </c>
      <c r="O155" s="77" t="str">
        <f>IF(Main[[#This Row],[Tech Start Date]]&lt;1/1/1990,"",IF(Main[[#This Row],[Class]]="C",WORKDAY(Main[[#This Row],[Tech Start Date]],23),IF(Main[[#This Row],[Class]]="B", WORKDAY(Main[[#This Row],[Tech Start Date]],15),IF(Main[[#This Row],[Class]]="A",WORKDAY(Main[[#This Row],[Tech Start Date]],5),""))))</f>
        <v/>
      </c>
      <c r="P155" s="77" t="str">
        <f>IF(Main[[#This Row],[Tech Start Date]]&lt;1/1/1990,"",IF(Main[[#This Row],[Class]]="C",WORKDAY(Main[[#This Row],[Tech Start Date]],28),IF(Main[[#This Row],[Class]]="B", WORKDAY(Main[[#This Row],[Tech Start Date]],19),IF(Main[[#This Row],[Class]]="A",WORKDAY(Main[[#This Row],[Tech Start Date]],9),""))))</f>
        <v/>
      </c>
      <c r="Q155" s="74"/>
      <c r="R155" s="74"/>
      <c r="S155" s="72" t="s">
        <v>49</v>
      </c>
      <c r="T155" s="80" t="s">
        <v>4</v>
      </c>
      <c r="U155" s="72" t="s">
        <v>14</v>
      </c>
      <c r="V155" s="72" t="s">
        <v>1942</v>
      </c>
      <c r="W155" s="72" t="s">
        <v>1936</v>
      </c>
      <c r="X155" s="72" t="s">
        <v>310</v>
      </c>
      <c r="Y155" s="72" t="s">
        <v>4</v>
      </c>
      <c r="Z155" s="72" t="s">
        <v>4</v>
      </c>
      <c r="AA155" s="147" t="s">
        <v>4</v>
      </c>
    </row>
    <row r="156" spans="1:27" ht="18.600000000000001" customHeight="1">
      <c r="A156" s="140" t="str">
        <f>IF(priority(Main[[#This Row],[Comments]])&lt;&gt;0, priority(Main[[#This Row],[Comments]]),"")</f>
        <v/>
      </c>
      <c r="B156" s="90" t="s">
        <v>1047</v>
      </c>
      <c r="C156" s="72" t="s">
        <v>58</v>
      </c>
      <c r="D156" s="73" t="s">
        <v>59</v>
      </c>
      <c r="E156" s="74"/>
      <c r="F156" s="74"/>
      <c r="G156" s="75" t="str">
        <f>IF(stdProdLT(Main[[#This Row],[Comments]])=0.1,"N/A",IF(stdProdLT(Main[[#This Row],[Comments]])=0,"",stdProdLT(Main[[#This Row],[Comments]])))</f>
        <v/>
      </c>
      <c r="H156" s="76" t="str">
        <f>IF(AND(Main[[#This Row],[In Stock Date]]&lt;&gt;"",Main[[#This Row],[Revised Due Date]]&lt;&gt;""),Main[[#This Row],[In Stock Date]]-Main[[#This Row],[Revised Due Date]],"")</f>
        <v/>
      </c>
      <c r="I156" s="72" t="s">
        <v>4</v>
      </c>
      <c r="J156" s="72" t="s">
        <v>4</v>
      </c>
      <c r="K156" s="81" t="s">
        <v>4</v>
      </c>
      <c r="L156" s="74"/>
      <c r="M156" s="77" t="str">
        <f>IF(Main[[#This Row],[Tech Start Date]]&lt;1/1/1990,"",IF(Main[[#This Row],[Class]]="C",WORKDAY(Main[[#This Row],[Tech Start Date]],9),IF(Main[[#This Row],[Class]]="B", WORKDAY(Main[[#This Row],[Tech Start Date]],6),IF(Main[[#This Row],[Class]]="A",WORKDAY(Main[[#This Row],[Tech Start Date]],2),""))))</f>
        <v/>
      </c>
      <c r="N156" s="77" t="str">
        <f>IF(Main[[#This Row],[Tech Start Date]]&lt;1/1/1990,"",IF(Main[[#This Row],[Class]]="C",WORKDAY(Main[[#This Row],[Tech Start Date]],19),IF(Main[[#This Row],[Class]]="B", WORKDAY(Main[[#This Row],[Tech Start Date]],12),IF(Main[[#This Row],[Class]]="A",WORKDAY(Main[[#This Row],[Tech Start Date]],4),""))))</f>
        <v/>
      </c>
      <c r="O156" s="77" t="str">
        <f>IF(Main[[#This Row],[Tech Start Date]]&lt;1/1/1990,"",IF(Main[[#This Row],[Class]]="C",WORKDAY(Main[[#This Row],[Tech Start Date]],23),IF(Main[[#This Row],[Class]]="B", WORKDAY(Main[[#This Row],[Tech Start Date]],15),IF(Main[[#This Row],[Class]]="A",WORKDAY(Main[[#This Row],[Tech Start Date]],5),""))))</f>
        <v/>
      </c>
      <c r="P156" s="77" t="str">
        <f>IF(Main[[#This Row],[Tech Start Date]]&lt;1/1/1990,"",IF(Main[[#This Row],[Class]]="C",WORKDAY(Main[[#This Row],[Tech Start Date]],28),IF(Main[[#This Row],[Class]]="B", WORKDAY(Main[[#This Row],[Tech Start Date]],19),IF(Main[[#This Row],[Class]]="A",WORKDAY(Main[[#This Row],[Tech Start Date]],9),""))))</f>
        <v/>
      </c>
      <c r="Q156" s="74"/>
      <c r="R156" s="74"/>
      <c r="S156" s="72" t="s">
        <v>11</v>
      </c>
      <c r="T156" s="80" t="s">
        <v>4</v>
      </c>
      <c r="U156" s="72" t="s">
        <v>14</v>
      </c>
      <c r="V156" s="72" t="s">
        <v>1933</v>
      </c>
      <c r="W156" s="72" t="s">
        <v>1937</v>
      </c>
      <c r="X156" s="72" t="s">
        <v>2904</v>
      </c>
      <c r="Y156" s="72" t="s">
        <v>3021</v>
      </c>
      <c r="Z156" s="72" t="s">
        <v>4</v>
      </c>
      <c r="AA156" s="147" t="s">
        <v>3568</v>
      </c>
    </row>
    <row r="157" spans="1:27" ht="18.600000000000001" customHeight="1">
      <c r="A157" s="140" t="str">
        <f>IF(priority(Main[[#This Row],[Comments]])&lt;&gt;0, priority(Main[[#This Row],[Comments]]),"")</f>
        <v/>
      </c>
      <c r="B157" s="90" t="s">
        <v>1048</v>
      </c>
      <c r="C157" s="72" t="s">
        <v>4</v>
      </c>
      <c r="D157" s="73" t="s">
        <v>60</v>
      </c>
      <c r="E157" s="74"/>
      <c r="F157" s="74"/>
      <c r="G157" s="75" t="str">
        <f>IF(stdProdLT(Main[[#This Row],[Comments]])=0.1,"N/A",IF(stdProdLT(Main[[#This Row],[Comments]])=0,"",stdProdLT(Main[[#This Row],[Comments]])))</f>
        <v/>
      </c>
      <c r="H157" s="76" t="str">
        <f>IF(AND(Main[[#This Row],[In Stock Date]]&lt;&gt;"",Main[[#This Row],[Revised Due Date]]&lt;&gt;""),Main[[#This Row],[In Stock Date]]-Main[[#This Row],[Revised Due Date]],"")</f>
        <v/>
      </c>
      <c r="I157" s="72" t="s">
        <v>4</v>
      </c>
      <c r="J157" s="72" t="s">
        <v>4</v>
      </c>
      <c r="K157" s="72" t="s">
        <v>4</v>
      </c>
      <c r="L157" s="74"/>
      <c r="M157" s="77" t="str">
        <f>IF(Main[[#This Row],[Tech Start Date]]&lt;1/1/1990,"",IF(Main[[#This Row],[Class]]="C",WORKDAY(Main[[#This Row],[Tech Start Date]],9),IF(Main[[#This Row],[Class]]="B", WORKDAY(Main[[#This Row],[Tech Start Date]],6),IF(Main[[#This Row],[Class]]="A",WORKDAY(Main[[#This Row],[Tech Start Date]],2),""))))</f>
        <v/>
      </c>
      <c r="N157" s="77" t="str">
        <f>IF(Main[[#This Row],[Tech Start Date]]&lt;1/1/1990,"",IF(Main[[#This Row],[Class]]="C",WORKDAY(Main[[#This Row],[Tech Start Date]],19),IF(Main[[#This Row],[Class]]="B", WORKDAY(Main[[#This Row],[Tech Start Date]],12),IF(Main[[#This Row],[Class]]="A",WORKDAY(Main[[#This Row],[Tech Start Date]],4),""))))</f>
        <v/>
      </c>
      <c r="O157" s="77" t="str">
        <f>IF(Main[[#This Row],[Tech Start Date]]&lt;1/1/1990,"",IF(Main[[#This Row],[Class]]="C",WORKDAY(Main[[#This Row],[Tech Start Date]],23),IF(Main[[#This Row],[Class]]="B", WORKDAY(Main[[#This Row],[Tech Start Date]],15),IF(Main[[#This Row],[Class]]="A",WORKDAY(Main[[#This Row],[Tech Start Date]],5),""))))</f>
        <v/>
      </c>
      <c r="P157" s="77" t="str">
        <f>IF(Main[[#This Row],[Tech Start Date]]&lt;1/1/1990,"",IF(Main[[#This Row],[Class]]="C",WORKDAY(Main[[#This Row],[Tech Start Date]],28),IF(Main[[#This Row],[Class]]="B", WORKDAY(Main[[#This Row],[Tech Start Date]],19),IF(Main[[#This Row],[Class]]="A",WORKDAY(Main[[#This Row],[Tech Start Date]],9),""))))</f>
        <v/>
      </c>
      <c r="Q157" s="74"/>
      <c r="R157" s="74"/>
      <c r="S157" s="72" t="s">
        <v>49</v>
      </c>
      <c r="T157" s="80" t="s">
        <v>4</v>
      </c>
      <c r="U157" s="72" t="s">
        <v>14</v>
      </c>
      <c r="V157" s="72" t="s">
        <v>1933</v>
      </c>
      <c r="W157" s="72" t="s">
        <v>1936</v>
      </c>
      <c r="X157" s="72" t="s">
        <v>310</v>
      </c>
      <c r="Y157" s="72" t="s">
        <v>4</v>
      </c>
      <c r="Z157" s="72" t="s">
        <v>4</v>
      </c>
      <c r="AA157" s="147" t="s">
        <v>4</v>
      </c>
    </row>
    <row r="158" spans="1:27" ht="18.600000000000001" customHeight="1">
      <c r="A158" s="140" t="str">
        <f>IF(priority(Main[[#This Row],[Comments]])&lt;&gt;0, priority(Main[[#This Row],[Comments]]),"")</f>
        <v/>
      </c>
      <c r="B158" s="90" t="s">
        <v>2351</v>
      </c>
      <c r="C158" s="72" t="s">
        <v>4</v>
      </c>
      <c r="D158" s="73" t="s">
        <v>2352</v>
      </c>
      <c r="E158" s="74">
        <v>40841.712557870371</v>
      </c>
      <c r="F158" s="74"/>
      <c r="G158" s="75" t="str">
        <f>IF(stdProdLT(Main[[#This Row],[Comments]])=0.1,"N/A",IF(stdProdLT(Main[[#This Row],[Comments]])=0,"",stdProdLT(Main[[#This Row],[Comments]])))</f>
        <v/>
      </c>
      <c r="H158" s="76" t="str">
        <f>IF(AND(Main[[#This Row],[In Stock Date]]&lt;&gt;"",Main[[#This Row],[Revised Due Date]]&lt;&gt;""),Main[[#This Row],[In Stock Date]]-Main[[#This Row],[Revised Due Date]],"")</f>
        <v/>
      </c>
      <c r="I158" s="72" t="s">
        <v>923</v>
      </c>
      <c r="J158" s="72" t="s">
        <v>52</v>
      </c>
      <c r="K158" s="72" t="s">
        <v>4</v>
      </c>
      <c r="L158" s="74"/>
      <c r="M158" s="77" t="str">
        <f>IF(Main[[#This Row],[Tech Start Date]]&lt;1/1/1990,"",IF(Main[[#This Row],[Class]]="C",WORKDAY(Main[[#This Row],[Tech Start Date]],9),IF(Main[[#This Row],[Class]]="B", WORKDAY(Main[[#This Row],[Tech Start Date]],6),IF(Main[[#This Row],[Class]]="A",WORKDAY(Main[[#This Row],[Tech Start Date]],2),""))))</f>
        <v/>
      </c>
      <c r="N158" s="77" t="str">
        <f>IF(Main[[#This Row],[Tech Start Date]]&lt;1/1/1990,"",IF(Main[[#This Row],[Class]]="C",WORKDAY(Main[[#This Row],[Tech Start Date]],19),IF(Main[[#This Row],[Class]]="B", WORKDAY(Main[[#This Row],[Tech Start Date]],12),IF(Main[[#This Row],[Class]]="A",WORKDAY(Main[[#This Row],[Tech Start Date]],4),""))))</f>
        <v/>
      </c>
      <c r="O158" s="77" t="str">
        <f>IF(Main[[#This Row],[Tech Start Date]]&lt;1/1/1990,"",IF(Main[[#This Row],[Class]]="C",WORKDAY(Main[[#This Row],[Tech Start Date]],23),IF(Main[[#This Row],[Class]]="B", WORKDAY(Main[[#This Row],[Tech Start Date]],15),IF(Main[[#This Row],[Class]]="A",WORKDAY(Main[[#This Row],[Tech Start Date]],5),""))))</f>
        <v/>
      </c>
      <c r="P158" s="77" t="str">
        <f>IF(Main[[#This Row],[Tech Start Date]]&lt;1/1/1990,"",IF(Main[[#This Row],[Class]]="C",WORKDAY(Main[[#This Row],[Tech Start Date]],28),IF(Main[[#This Row],[Class]]="B", WORKDAY(Main[[#This Row],[Tech Start Date]],19),IF(Main[[#This Row],[Class]]="A",WORKDAY(Main[[#This Row],[Tech Start Date]],9),""))))</f>
        <v/>
      </c>
      <c r="Q158" s="74">
        <v>40856</v>
      </c>
      <c r="R158" s="74"/>
      <c r="S158" s="72" t="s">
        <v>6</v>
      </c>
      <c r="T158" s="80" t="s">
        <v>4</v>
      </c>
      <c r="U158" s="72" t="s">
        <v>29</v>
      </c>
      <c r="V158" s="72" t="s">
        <v>1932</v>
      </c>
      <c r="W158" s="72" t="s">
        <v>1940</v>
      </c>
      <c r="X158" s="72" t="s">
        <v>2905</v>
      </c>
      <c r="Y158" s="72" t="s">
        <v>3023</v>
      </c>
      <c r="Z158" s="72" t="s">
        <v>129</v>
      </c>
      <c r="AA158" s="147" t="s">
        <v>2905</v>
      </c>
    </row>
    <row r="159" spans="1:27" ht="18.600000000000001" customHeight="1">
      <c r="A159" s="140" t="str">
        <f>IF(priority(Main[[#This Row],[Comments]])&lt;&gt;0, priority(Main[[#This Row],[Comments]]),"")</f>
        <v/>
      </c>
      <c r="B159" s="90" t="s">
        <v>1050</v>
      </c>
      <c r="C159" s="72" t="s">
        <v>4</v>
      </c>
      <c r="D159" s="73" t="s">
        <v>61</v>
      </c>
      <c r="E159" s="74"/>
      <c r="F159" s="74"/>
      <c r="G159" s="75" t="str">
        <f>IF(stdProdLT(Main[[#This Row],[Comments]])=0.1,"N/A",IF(stdProdLT(Main[[#This Row],[Comments]])=0,"",stdProdLT(Main[[#This Row],[Comments]])))</f>
        <v/>
      </c>
      <c r="H159" s="76" t="str">
        <f>IF(AND(Main[[#This Row],[In Stock Date]]&lt;&gt;"",Main[[#This Row],[Revised Due Date]]&lt;&gt;""),Main[[#This Row],[In Stock Date]]-Main[[#This Row],[Revised Due Date]],"")</f>
        <v/>
      </c>
      <c r="I159" s="72" t="s">
        <v>4</v>
      </c>
      <c r="J159" s="72" t="s">
        <v>4</v>
      </c>
      <c r="K159" s="81" t="s">
        <v>4</v>
      </c>
      <c r="L159" s="74"/>
      <c r="M159" s="77" t="str">
        <f>IF(Main[[#This Row],[Tech Start Date]]&lt;1/1/1990,"",IF(Main[[#This Row],[Class]]="C",WORKDAY(Main[[#This Row],[Tech Start Date]],9),IF(Main[[#This Row],[Class]]="B", WORKDAY(Main[[#This Row],[Tech Start Date]],6),IF(Main[[#This Row],[Class]]="A",WORKDAY(Main[[#This Row],[Tech Start Date]],2),""))))</f>
        <v/>
      </c>
      <c r="N159" s="77" t="str">
        <f>IF(Main[[#This Row],[Tech Start Date]]&lt;1/1/1990,"",IF(Main[[#This Row],[Class]]="C",WORKDAY(Main[[#This Row],[Tech Start Date]],19),IF(Main[[#This Row],[Class]]="B", WORKDAY(Main[[#This Row],[Tech Start Date]],12),IF(Main[[#This Row],[Class]]="A",WORKDAY(Main[[#This Row],[Tech Start Date]],4),""))))</f>
        <v/>
      </c>
      <c r="O159" s="77" t="str">
        <f>IF(Main[[#This Row],[Tech Start Date]]&lt;1/1/1990,"",IF(Main[[#This Row],[Class]]="C",WORKDAY(Main[[#This Row],[Tech Start Date]],23),IF(Main[[#This Row],[Class]]="B", WORKDAY(Main[[#This Row],[Tech Start Date]],15),IF(Main[[#This Row],[Class]]="A",WORKDAY(Main[[#This Row],[Tech Start Date]],5),""))))</f>
        <v/>
      </c>
      <c r="P159" s="77" t="str">
        <f>IF(Main[[#This Row],[Tech Start Date]]&lt;1/1/1990,"",IF(Main[[#This Row],[Class]]="C",WORKDAY(Main[[#This Row],[Tech Start Date]],28),IF(Main[[#This Row],[Class]]="B", WORKDAY(Main[[#This Row],[Tech Start Date]],19),IF(Main[[#This Row],[Class]]="A",WORKDAY(Main[[#This Row],[Tech Start Date]],9),""))))</f>
        <v/>
      </c>
      <c r="Q159" s="74">
        <v>40564</v>
      </c>
      <c r="R159" s="74"/>
      <c r="S159" s="72" t="s">
        <v>23</v>
      </c>
      <c r="T159" s="80" t="s">
        <v>4</v>
      </c>
      <c r="U159" s="72" t="s">
        <v>12</v>
      </c>
      <c r="V159" s="72" t="s">
        <v>1935</v>
      </c>
      <c r="W159" s="72" t="s">
        <v>1936</v>
      </c>
      <c r="X159" s="72" t="s">
        <v>422</v>
      </c>
      <c r="Y159" s="72" t="s">
        <v>3024</v>
      </c>
      <c r="Z159" s="72" t="s">
        <v>4</v>
      </c>
      <c r="AA159" s="147" t="s">
        <v>3569</v>
      </c>
    </row>
    <row r="160" spans="1:27" ht="18.600000000000001" customHeight="1">
      <c r="A160" s="140" t="str">
        <f>IF(priority(Main[[#This Row],[Comments]])&lt;&gt;0, priority(Main[[#This Row],[Comments]]),"")</f>
        <v/>
      </c>
      <c r="B160" s="90" t="s">
        <v>1054</v>
      </c>
      <c r="C160" s="72" t="s">
        <v>53</v>
      </c>
      <c r="D160" s="73" t="s">
        <v>66</v>
      </c>
      <c r="E160" s="74"/>
      <c r="F160" s="74"/>
      <c r="G160" s="75" t="str">
        <f>IF(stdProdLT(Main[[#This Row],[Comments]])=0.1,"N/A",IF(stdProdLT(Main[[#This Row],[Comments]])=0,"",stdProdLT(Main[[#This Row],[Comments]])))</f>
        <v/>
      </c>
      <c r="H160" s="76" t="str">
        <f>IF(AND(Main[[#This Row],[In Stock Date]]&lt;&gt;"",Main[[#This Row],[Revised Due Date]]&lt;&gt;""),Main[[#This Row],[In Stock Date]]-Main[[#This Row],[Revised Due Date]],"")</f>
        <v/>
      </c>
      <c r="I160" s="72" t="s">
        <v>4</v>
      </c>
      <c r="J160" s="72" t="s">
        <v>4</v>
      </c>
      <c r="K160" s="81" t="s">
        <v>4</v>
      </c>
      <c r="L160" s="74"/>
      <c r="M160" s="77" t="str">
        <f>IF(Main[[#This Row],[Tech Start Date]]&lt;1/1/1990,"",IF(Main[[#This Row],[Class]]="C",WORKDAY(Main[[#This Row],[Tech Start Date]],9),IF(Main[[#This Row],[Class]]="B", WORKDAY(Main[[#This Row],[Tech Start Date]],6),IF(Main[[#This Row],[Class]]="A",WORKDAY(Main[[#This Row],[Tech Start Date]],2),""))))</f>
        <v/>
      </c>
      <c r="N160" s="77" t="str">
        <f>IF(Main[[#This Row],[Tech Start Date]]&lt;1/1/1990,"",IF(Main[[#This Row],[Class]]="C",WORKDAY(Main[[#This Row],[Tech Start Date]],19),IF(Main[[#This Row],[Class]]="B", WORKDAY(Main[[#This Row],[Tech Start Date]],12),IF(Main[[#This Row],[Class]]="A",WORKDAY(Main[[#This Row],[Tech Start Date]],4),""))))</f>
        <v/>
      </c>
      <c r="O160" s="77" t="str">
        <f>IF(Main[[#This Row],[Tech Start Date]]&lt;1/1/1990,"",IF(Main[[#This Row],[Class]]="C",WORKDAY(Main[[#This Row],[Tech Start Date]],23),IF(Main[[#This Row],[Class]]="B", WORKDAY(Main[[#This Row],[Tech Start Date]],15),IF(Main[[#This Row],[Class]]="A",WORKDAY(Main[[#This Row],[Tech Start Date]],5),""))))</f>
        <v/>
      </c>
      <c r="P160" s="77" t="str">
        <f>IF(Main[[#This Row],[Tech Start Date]]&lt;1/1/1990,"",IF(Main[[#This Row],[Class]]="C",WORKDAY(Main[[#This Row],[Tech Start Date]],28),IF(Main[[#This Row],[Class]]="B", WORKDAY(Main[[#This Row],[Tech Start Date]],19),IF(Main[[#This Row],[Class]]="A",WORKDAY(Main[[#This Row],[Tech Start Date]],9),""))))</f>
        <v/>
      </c>
      <c r="Q160" s="74">
        <v>40667</v>
      </c>
      <c r="R160" s="74"/>
      <c r="S160" s="72" t="s">
        <v>11</v>
      </c>
      <c r="T160" s="80" t="s">
        <v>4</v>
      </c>
      <c r="U160" s="72" t="s">
        <v>14</v>
      </c>
      <c r="V160" s="72" t="s">
        <v>1933</v>
      </c>
      <c r="W160" s="72" t="s">
        <v>1934</v>
      </c>
      <c r="X160" s="72" t="s">
        <v>2899</v>
      </c>
      <c r="Y160" s="72" t="s">
        <v>4</v>
      </c>
      <c r="Z160" s="72" t="s">
        <v>4</v>
      </c>
      <c r="AA160" s="147" t="s">
        <v>2899</v>
      </c>
    </row>
    <row r="161" spans="1:27" ht="18.600000000000001" customHeight="1">
      <c r="A161" s="140" t="str">
        <f>IF(priority(Main[[#This Row],[Comments]])&lt;&gt;0, priority(Main[[#This Row],[Comments]]),"")</f>
        <v/>
      </c>
      <c r="B161" s="90" t="s">
        <v>2049</v>
      </c>
      <c r="C161" s="72" t="s">
        <v>4</v>
      </c>
      <c r="D161" s="73" t="s">
        <v>2050</v>
      </c>
      <c r="E161" s="74">
        <v>40749.684224537035</v>
      </c>
      <c r="F161" s="74"/>
      <c r="G161" s="75" t="str">
        <f>IF(stdProdLT(Main[[#This Row],[Comments]])=0.1,"N/A",IF(stdProdLT(Main[[#This Row],[Comments]])=0,"",stdProdLT(Main[[#This Row],[Comments]])))</f>
        <v/>
      </c>
      <c r="H161" s="76" t="str">
        <f>IF(AND(Main[[#This Row],[In Stock Date]]&lt;&gt;"",Main[[#This Row],[Revised Due Date]]&lt;&gt;""),Main[[#This Row],[In Stock Date]]-Main[[#This Row],[Revised Due Date]],"")</f>
        <v/>
      </c>
      <c r="I161" s="72" t="s">
        <v>4</v>
      </c>
      <c r="J161" s="72" t="s">
        <v>4</v>
      </c>
      <c r="K161" s="81" t="s">
        <v>4</v>
      </c>
      <c r="L161" s="74"/>
      <c r="M161" s="77" t="str">
        <f>IF(Main[[#This Row],[Tech Start Date]]&lt;1/1/1990,"",IF(Main[[#This Row],[Class]]="C",WORKDAY(Main[[#This Row],[Tech Start Date]],9),IF(Main[[#This Row],[Class]]="B", WORKDAY(Main[[#This Row],[Tech Start Date]],6),IF(Main[[#This Row],[Class]]="A",WORKDAY(Main[[#This Row],[Tech Start Date]],2),""))))</f>
        <v/>
      </c>
      <c r="N161" s="77" t="str">
        <f>IF(Main[[#This Row],[Tech Start Date]]&lt;1/1/1990,"",IF(Main[[#This Row],[Class]]="C",WORKDAY(Main[[#This Row],[Tech Start Date]],19),IF(Main[[#This Row],[Class]]="B", WORKDAY(Main[[#This Row],[Tech Start Date]],12),IF(Main[[#This Row],[Class]]="A",WORKDAY(Main[[#This Row],[Tech Start Date]],4),""))))</f>
        <v/>
      </c>
      <c r="O161" s="77" t="str">
        <f>IF(Main[[#This Row],[Tech Start Date]]&lt;1/1/1990,"",IF(Main[[#This Row],[Class]]="C",WORKDAY(Main[[#This Row],[Tech Start Date]],23),IF(Main[[#This Row],[Class]]="B", WORKDAY(Main[[#This Row],[Tech Start Date]],15),IF(Main[[#This Row],[Class]]="A",WORKDAY(Main[[#This Row],[Tech Start Date]],5),""))))</f>
        <v/>
      </c>
      <c r="P161" s="77" t="str">
        <f>IF(Main[[#This Row],[Tech Start Date]]&lt;1/1/1990,"",IF(Main[[#This Row],[Class]]="C",WORKDAY(Main[[#This Row],[Tech Start Date]],28),IF(Main[[#This Row],[Class]]="B", WORKDAY(Main[[#This Row],[Tech Start Date]],19),IF(Main[[#This Row],[Class]]="A",WORKDAY(Main[[#This Row],[Tech Start Date]],9),""))))</f>
        <v/>
      </c>
      <c r="Q161" s="74">
        <v>40781</v>
      </c>
      <c r="R161" s="74"/>
      <c r="S161" s="72" t="s">
        <v>6</v>
      </c>
      <c r="T161" s="80" t="s">
        <v>4</v>
      </c>
      <c r="U161" s="72" t="s">
        <v>7</v>
      </c>
      <c r="V161" s="72" t="s">
        <v>1932</v>
      </c>
      <c r="W161" s="72" t="s">
        <v>4</v>
      </c>
      <c r="X161" s="72" t="s">
        <v>2903</v>
      </c>
      <c r="Y161" s="72" t="s">
        <v>3019</v>
      </c>
      <c r="Z161" s="72" t="s">
        <v>4</v>
      </c>
      <c r="AA161" s="147" t="s">
        <v>2903</v>
      </c>
    </row>
    <row r="162" spans="1:27" ht="18.600000000000001" customHeight="1">
      <c r="A162" s="140" t="str">
        <f>IF(priority(Main[[#This Row],[Comments]])&lt;&gt;0, priority(Main[[#This Row],[Comments]]),"")</f>
        <v/>
      </c>
      <c r="B162" s="90" t="s">
        <v>1065</v>
      </c>
      <c r="C162" s="72" t="s">
        <v>4</v>
      </c>
      <c r="D162" s="73" t="s">
        <v>85</v>
      </c>
      <c r="E162" s="74"/>
      <c r="F162" s="74"/>
      <c r="G162" s="75" t="str">
        <f>IF(stdProdLT(Main[[#This Row],[Comments]])=0.1,"N/A",IF(stdProdLT(Main[[#This Row],[Comments]])=0,"",stdProdLT(Main[[#This Row],[Comments]])))</f>
        <v/>
      </c>
      <c r="H162" s="76" t="str">
        <f>IF(AND(Main[[#This Row],[In Stock Date]]&lt;&gt;"",Main[[#This Row],[Revised Due Date]]&lt;&gt;""),Main[[#This Row],[In Stock Date]]-Main[[#This Row],[Revised Due Date]],"")</f>
        <v/>
      </c>
      <c r="I162" s="72" t="s">
        <v>4</v>
      </c>
      <c r="J162" s="72" t="s">
        <v>4</v>
      </c>
      <c r="K162" s="72" t="s">
        <v>4</v>
      </c>
      <c r="L162" s="74"/>
      <c r="M162" s="77" t="str">
        <f>IF(Main[[#This Row],[Tech Start Date]]&lt;1/1/1990,"",IF(Main[[#This Row],[Class]]="C",WORKDAY(Main[[#This Row],[Tech Start Date]],9),IF(Main[[#This Row],[Class]]="B", WORKDAY(Main[[#This Row],[Tech Start Date]],6),IF(Main[[#This Row],[Class]]="A",WORKDAY(Main[[#This Row],[Tech Start Date]],2),""))))</f>
        <v/>
      </c>
      <c r="N162" s="77" t="str">
        <f>IF(Main[[#This Row],[Tech Start Date]]&lt;1/1/1990,"",IF(Main[[#This Row],[Class]]="C",WORKDAY(Main[[#This Row],[Tech Start Date]],19),IF(Main[[#This Row],[Class]]="B", WORKDAY(Main[[#This Row],[Tech Start Date]],12),IF(Main[[#This Row],[Class]]="A",WORKDAY(Main[[#This Row],[Tech Start Date]],4),""))))</f>
        <v/>
      </c>
      <c r="O162" s="77" t="str">
        <f>IF(Main[[#This Row],[Tech Start Date]]&lt;1/1/1990,"",IF(Main[[#This Row],[Class]]="C",WORKDAY(Main[[#This Row],[Tech Start Date]],23),IF(Main[[#This Row],[Class]]="B", WORKDAY(Main[[#This Row],[Tech Start Date]],15),IF(Main[[#This Row],[Class]]="A",WORKDAY(Main[[#This Row],[Tech Start Date]],5),""))))</f>
        <v/>
      </c>
      <c r="P162" s="77" t="str">
        <f>IF(Main[[#This Row],[Tech Start Date]]&lt;1/1/1990,"",IF(Main[[#This Row],[Class]]="C",WORKDAY(Main[[#This Row],[Tech Start Date]],28),IF(Main[[#This Row],[Class]]="B", WORKDAY(Main[[#This Row],[Tech Start Date]],19),IF(Main[[#This Row],[Class]]="A",WORKDAY(Main[[#This Row],[Tech Start Date]],9),""))))</f>
        <v/>
      </c>
      <c r="Q162" s="74"/>
      <c r="R162" s="74"/>
      <c r="S162" s="72" t="s">
        <v>6</v>
      </c>
      <c r="T162" s="80" t="s">
        <v>4</v>
      </c>
      <c r="U162" s="72" t="s">
        <v>14</v>
      </c>
      <c r="V162" s="72" t="s">
        <v>1933</v>
      </c>
      <c r="W162" s="72" t="s">
        <v>1936</v>
      </c>
      <c r="X162" s="72" t="s">
        <v>403</v>
      </c>
      <c r="Y162" s="72" t="s">
        <v>4</v>
      </c>
      <c r="Z162" s="72" t="s">
        <v>4</v>
      </c>
      <c r="AA162" s="147" t="s">
        <v>3570</v>
      </c>
    </row>
    <row r="163" spans="1:27" ht="18.600000000000001" customHeight="1">
      <c r="A163" s="140" t="str">
        <f>IF(priority(Main[[#This Row],[Comments]])&lt;&gt;0, priority(Main[[#This Row],[Comments]]),"")</f>
        <v/>
      </c>
      <c r="B163" s="90" t="s">
        <v>1564</v>
      </c>
      <c r="C163" s="72" t="s">
        <v>4</v>
      </c>
      <c r="D163" s="73" t="s">
        <v>2741</v>
      </c>
      <c r="E163" s="74">
        <v>40718.447500000002</v>
      </c>
      <c r="F163" s="74"/>
      <c r="G163" s="75" t="str">
        <f>IF(stdProdLT(Main[[#This Row],[Comments]])=0.1,"N/A",IF(stdProdLT(Main[[#This Row],[Comments]])=0,"",stdProdLT(Main[[#This Row],[Comments]])))</f>
        <v/>
      </c>
      <c r="H163" s="76" t="str">
        <f>IF(AND(Main[[#This Row],[In Stock Date]]&lt;&gt;"",Main[[#This Row],[Revised Due Date]]&lt;&gt;""),Main[[#This Row],[In Stock Date]]-Main[[#This Row],[Revised Due Date]],"")</f>
        <v/>
      </c>
      <c r="I163" s="72" t="s">
        <v>535</v>
      </c>
      <c r="J163" s="72" t="s">
        <v>52</v>
      </c>
      <c r="K163" s="72" t="s">
        <v>1941</v>
      </c>
      <c r="L163" s="74"/>
      <c r="M163" s="77" t="str">
        <f>IF(Main[[#This Row],[Tech Start Date]]&lt;1/1/1990,"",IF(Main[[#This Row],[Class]]="C",WORKDAY(Main[[#This Row],[Tech Start Date]],9),IF(Main[[#This Row],[Class]]="B", WORKDAY(Main[[#This Row],[Tech Start Date]],6),IF(Main[[#This Row],[Class]]="A",WORKDAY(Main[[#This Row],[Tech Start Date]],2),""))))</f>
        <v/>
      </c>
      <c r="N163" s="77" t="str">
        <f>IF(Main[[#This Row],[Tech Start Date]]&lt;1/1/1990,"",IF(Main[[#This Row],[Class]]="C",WORKDAY(Main[[#This Row],[Tech Start Date]],19),IF(Main[[#This Row],[Class]]="B", WORKDAY(Main[[#This Row],[Tech Start Date]],12),IF(Main[[#This Row],[Class]]="A",WORKDAY(Main[[#This Row],[Tech Start Date]],4),""))))</f>
        <v/>
      </c>
      <c r="O163" s="77" t="str">
        <f>IF(Main[[#This Row],[Tech Start Date]]&lt;1/1/1990,"",IF(Main[[#This Row],[Class]]="C",WORKDAY(Main[[#This Row],[Tech Start Date]],23),IF(Main[[#This Row],[Class]]="B", WORKDAY(Main[[#This Row],[Tech Start Date]],15),IF(Main[[#This Row],[Class]]="A",WORKDAY(Main[[#This Row],[Tech Start Date]],5),""))))</f>
        <v/>
      </c>
      <c r="P163" s="77" t="str">
        <f>IF(Main[[#This Row],[Tech Start Date]]&lt;1/1/1990,"",IF(Main[[#This Row],[Class]]="C",WORKDAY(Main[[#This Row],[Tech Start Date]],28),IF(Main[[#This Row],[Class]]="B", WORKDAY(Main[[#This Row],[Tech Start Date]],19),IF(Main[[#This Row],[Class]]="A",WORKDAY(Main[[#This Row],[Tech Start Date]],9),""))))</f>
        <v/>
      </c>
      <c r="Q163" s="74">
        <v>40786</v>
      </c>
      <c r="R163" s="74"/>
      <c r="S163" s="72" t="s">
        <v>6</v>
      </c>
      <c r="T163" s="80" t="s">
        <v>4</v>
      </c>
      <c r="U163" s="72" t="s">
        <v>29</v>
      </c>
      <c r="V163" s="72" t="s">
        <v>1935</v>
      </c>
      <c r="W163" s="72" t="s">
        <v>1936</v>
      </c>
      <c r="X163" s="72" t="s">
        <v>310</v>
      </c>
      <c r="Y163" s="72" t="s">
        <v>3028</v>
      </c>
      <c r="Z163" s="72" t="s">
        <v>30</v>
      </c>
      <c r="AA163" s="147" t="s">
        <v>310</v>
      </c>
    </row>
    <row r="164" spans="1:27" ht="18.600000000000001" customHeight="1">
      <c r="A164" s="140" t="str">
        <f>IF(priority(Main[[#This Row],[Comments]])&lt;&gt;0, priority(Main[[#This Row],[Comments]]),"")</f>
        <v/>
      </c>
      <c r="B164" s="90" t="s">
        <v>1068</v>
      </c>
      <c r="C164" s="72" t="s">
        <v>4</v>
      </c>
      <c r="D164" s="73" t="s">
        <v>39</v>
      </c>
      <c r="E164" s="74"/>
      <c r="F164" s="74"/>
      <c r="G164" s="75" t="str">
        <f>IF(stdProdLT(Main[[#This Row],[Comments]])=0.1,"N/A",IF(stdProdLT(Main[[#This Row],[Comments]])=0,"",stdProdLT(Main[[#This Row],[Comments]])))</f>
        <v/>
      </c>
      <c r="H164" s="76" t="str">
        <f>IF(AND(Main[[#This Row],[In Stock Date]]&lt;&gt;"",Main[[#This Row],[Revised Due Date]]&lt;&gt;""),Main[[#This Row],[In Stock Date]]-Main[[#This Row],[Revised Due Date]],"")</f>
        <v/>
      </c>
      <c r="I164" s="72" t="s">
        <v>4</v>
      </c>
      <c r="J164" s="72" t="s">
        <v>4</v>
      </c>
      <c r="K164" s="72" t="s">
        <v>4</v>
      </c>
      <c r="L164" s="74"/>
      <c r="M164" s="77" t="str">
        <f>IF(Main[[#This Row],[Tech Start Date]]&lt;1/1/1990,"",IF(Main[[#This Row],[Class]]="C",WORKDAY(Main[[#This Row],[Tech Start Date]],9),IF(Main[[#This Row],[Class]]="B", WORKDAY(Main[[#This Row],[Tech Start Date]],6),IF(Main[[#This Row],[Class]]="A",WORKDAY(Main[[#This Row],[Tech Start Date]],2),""))))</f>
        <v/>
      </c>
      <c r="N164" s="77" t="str">
        <f>IF(Main[[#This Row],[Tech Start Date]]&lt;1/1/1990,"",IF(Main[[#This Row],[Class]]="C",WORKDAY(Main[[#This Row],[Tech Start Date]],19),IF(Main[[#This Row],[Class]]="B", WORKDAY(Main[[#This Row],[Tech Start Date]],12),IF(Main[[#This Row],[Class]]="A",WORKDAY(Main[[#This Row],[Tech Start Date]],4),""))))</f>
        <v/>
      </c>
      <c r="O164" s="77" t="str">
        <f>IF(Main[[#This Row],[Tech Start Date]]&lt;1/1/1990,"",IF(Main[[#This Row],[Class]]="C",WORKDAY(Main[[#This Row],[Tech Start Date]],23),IF(Main[[#This Row],[Class]]="B", WORKDAY(Main[[#This Row],[Tech Start Date]],15),IF(Main[[#This Row],[Class]]="A",WORKDAY(Main[[#This Row],[Tech Start Date]],5),""))))</f>
        <v/>
      </c>
      <c r="P164" s="77" t="str">
        <f>IF(Main[[#This Row],[Tech Start Date]]&lt;1/1/1990,"",IF(Main[[#This Row],[Class]]="C",WORKDAY(Main[[#This Row],[Tech Start Date]],28),IF(Main[[#This Row],[Class]]="B", WORKDAY(Main[[#This Row],[Tech Start Date]],19),IF(Main[[#This Row],[Class]]="A",WORKDAY(Main[[#This Row],[Tech Start Date]],9),""))))</f>
        <v/>
      </c>
      <c r="Q164" s="74">
        <v>40669</v>
      </c>
      <c r="R164" s="74"/>
      <c r="S164" s="72" t="s">
        <v>6</v>
      </c>
      <c r="T164" s="80" t="s">
        <v>4</v>
      </c>
      <c r="U164" s="72" t="s">
        <v>14</v>
      </c>
      <c r="V164" s="72" t="s">
        <v>1935</v>
      </c>
      <c r="W164" s="72" t="s">
        <v>4</v>
      </c>
      <c r="X164" s="72" t="s">
        <v>2902</v>
      </c>
      <c r="Y164" s="72" t="s">
        <v>3016</v>
      </c>
      <c r="Z164" s="72" t="s">
        <v>4</v>
      </c>
      <c r="AA164" s="147" t="s">
        <v>2902</v>
      </c>
    </row>
    <row r="165" spans="1:27" ht="18.600000000000001" customHeight="1">
      <c r="A165" s="140" t="str">
        <f>IF(priority(Main[[#This Row],[Comments]])&lt;&gt;0, priority(Main[[#This Row],[Comments]]),"")</f>
        <v/>
      </c>
      <c r="B165" s="90" t="s">
        <v>1069</v>
      </c>
      <c r="C165" s="72" t="s">
        <v>47</v>
      </c>
      <c r="D165" s="73" t="s">
        <v>91</v>
      </c>
      <c r="E165" s="74"/>
      <c r="F165" s="74"/>
      <c r="G165" s="75" t="str">
        <f>IF(stdProdLT(Main[[#This Row],[Comments]])=0.1,"N/A",IF(stdProdLT(Main[[#This Row],[Comments]])=0,"",stdProdLT(Main[[#This Row],[Comments]])))</f>
        <v/>
      </c>
      <c r="H165" s="76" t="str">
        <f>IF(AND(Main[[#This Row],[In Stock Date]]&lt;&gt;"",Main[[#This Row],[Revised Due Date]]&lt;&gt;""),Main[[#This Row],[In Stock Date]]-Main[[#This Row],[Revised Due Date]],"")</f>
        <v/>
      </c>
      <c r="I165" s="72" t="s">
        <v>4</v>
      </c>
      <c r="J165" s="72" t="s">
        <v>4</v>
      </c>
      <c r="K165" s="72" t="s">
        <v>4</v>
      </c>
      <c r="L165" s="74"/>
      <c r="M165" s="77" t="str">
        <f>IF(Main[[#This Row],[Tech Start Date]]&lt;1/1/1990,"",IF(Main[[#This Row],[Class]]="C",WORKDAY(Main[[#This Row],[Tech Start Date]],9),IF(Main[[#This Row],[Class]]="B", WORKDAY(Main[[#This Row],[Tech Start Date]],6),IF(Main[[#This Row],[Class]]="A",WORKDAY(Main[[#This Row],[Tech Start Date]],2),""))))</f>
        <v/>
      </c>
      <c r="N165" s="77" t="str">
        <f>IF(Main[[#This Row],[Tech Start Date]]&lt;1/1/1990,"",IF(Main[[#This Row],[Class]]="C",WORKDAY(Main[[#This Row],[Tech Start Date]],19),IF(Main[[#This Row],[Class]]="B", WORKDAY(Main[[#This Row],[Tech Start Date]],12),IF(Main[[#This Row],[Class]]="A",WORKDAY(Main[[#This Row],[Tech Start Date]],4),""))))</f>
        <v/>
      </c>
      <c r="O165" s="77" t="str">
        <f>IF(Main[[#This Row],[Tech Start Date]]&lt;1/1/1990,"",IF(Main[[#This Row],[Class]]="C",WORKDAY(Main[[#This Row],[Tech Start Date]],23),IF(Main[[#This Row],[Class]]="B", WORKDAY(Main[[#This Row],[Tech Start Date]],15),IF(Main[[#This Row],[Class]]="A",WORKDAY(Main[[#This Row],[Tech Start Date]],5),""))))</f>
        <v/>
      </c>
      <c r="P165" s="77" t="str">
        <f>IF(Main[[#This Row],[Tech Start Date]]&lt;1/1/1990,"",IF(Main[[#This Row],[Class]]="C",WORKDAY(Main[[#This Row],[Tech Start Date]],28),IF(Main[[#This Row],[Class]]="B", WORKDAY(Main[[#This Row],[Tech Start Date]],19),IF(Main[[#This Row],[Class]]="A",WORKDAY(Main[[#This Row],[Tech Start Date]],9),""))))</f>
        <v/>
      </c>
      <c r="Q165" s="74"/>
      <c r="R165" s="74"/>
      <c r="S165" s="72" t="s">
        <v>49</v>
      </c>
      <c r="T165" s="80" t="s">
        <v>4</v>
      </c>
      <c r="U165" s="72" t="s">
        <v>14</v>
      </c>
      <c r="V165" s="72" t="s">
        <v>1935</v>
      </c>
      <c r="W165" s="72" t="s">
        <v>1936</v>
      </c>
      <c r="X165" s="72" t="s">
        <v>310</v>
      </c>
      <c r="Y165" s="72" t="s">
        <v>3028</v>
      </c>
      <c r="Z165" s="72" t="s">
        <v>4</v>
      </c>
      <c r="AA165" s="147" t="s">
        <v>3564</v>
      </c>
    </row>
    <row r="166" spans="1:27" ht="18.600000000000001" customHeight="1">
      <c r="A166" s="140" t="str">
        <f>IF(priority(Main[[#This Row],[Comments]])&lt;&gt;0, priority(Main[[#This Row],[Comments]]),"")</f>
        <v/>
      </c>
      <c r="B166" s="90" t="s">
        <v>1070</v>
      </c>
      <c r="C166" s="72" t="s">
        <v>4</v>
      </c>
      <c r="D166" s="73" t="s">
        <v>92</v>
      </c>
      <c r="E166" s="74"/>
      <c r="F166" s="74"/>
      <c r="G166" s="75" t="str">
        <f>IF(stdProdLT(Main[[#This Row],[Comments]])=0.1,"N/A",IF(stdProdLT(Main[[#This Row],[Comments]])=0,"",stdProdLT(Main[[#This Row],[Comments]])))</f>
        <v/>
      </c>
      <c r="H166" s="76" t="str">
        <f>IF(AND(Main[[#This Row],[In Stock Date]]&lt;&gt;"",Main[[#This Row],[Revised Due Date]]&lt;&gt;""),Main[[#This Row],[In Stock Date]]-Main[[#This Row],[Revised Due Date]],"")</f>
        <v/>
      </c>
      <c r="I166" s="72" t="s">
        <v>4</v>
      </c>
      <c r="J166" s="72" t="s">
        <v>4</v>
      </c>
      <c r="K166" s="72" t="s">
        <v>4</v>
      </c>
      <c r="L166" s="74"/>
      <c r="M166" s="77" t="str">
        <f>IF(Main[[#This Row],[Tech Start Date]]&lt;1/1/1990,"",IF(Main[[#This Row],[Class]]="C",WORKDAY(Main[[#This Row],[Tech Start Date]],9),IF(Main[[#This Row],[Class]]="B", WORKDAY(Main[[#This Row],[Tech Start Date]],6),IF(Main[[#This Row],[Class]]="A",WORKDAY(Main[[#This Row],[Tech Start Date]],2),""))))</f>
        <v/>
      </c>
      <c r="N166" s="77" t="str">
        <f>IF(Main[[#This Row],[Tech Start Date]]&lt;1/1/1990,"",IF(Main[[#This Row],[Class]]="C",WORKDAY(Main[[#This Row],[Tech Start Date]],19),IF(Main[[#This Row],[Class]]="B", WORKDAY(Main[[#This Row],[Tech Start Date]],12),IF(Main[[#This Row],[Class]]="A",WORKDAY(Main[[#This Row],[Tech Start Date]],4),""))))</f>
        <v/>
      </c>
      <c r="O166" s="77" t="str">
        <f>IF(Main[[#This Row],[Tech Start Date]]&lt;1/1/1990,"",IF(Main[[#This Row],[Class]]="C",WORKDAY(Main[[#This Row],[Tech Start Date]],23),IF(Main[[#This Row],[Class]]="B", WORKDAY(Main[[#This Row],[Tech Start Date]],15),IF(Main[[#This Row],[Class]]="A",WORKDAY(Main[[#This Row],[Tech Start Date]],5),""))))</f>
        <v/>
      </c>
      <c r="P166" s="77" t="str">
        <f>IF(Main[[#This Row],[Tech Start Date]]&lt;1/1/1990,"",IF(Main[[#This Row],[Class]]="C",WORKDAY(Main[[#This Row],[Tech Start Date]],28),IF(Main[[#This Row],[Class]]="B", WORKDAY(Main[[#This Row],[Tech Start Date]],19),IF(Main[[#This Row],[Class]]="A",WORKDAY(Main[[#This Row],[Tech Start Date]],9),""))))</f>
        <v/>
      </c>
      <c r="Q166" s="74">
        <v>40289</v>
      </c>
      <c r="R166" s="74"/>
      <c r="S166" s="72" t="s">
        <v>11</v>
      </c>
      <c r="T166" s="80" t="s">
        <v>4</v>
      </c>
      <c r="U166" s="72" t="s">
        <v>14</v>
      </c>
      <c r="V166" s="72" t="s">
        <v>1932</v>
      </c>
      <c r="W166" s="72" t="s">
        <v>1934</v>
      </c>
      <c r="X166" s="72" t="s">
        <v>2905</v>
      </c>
      <c r="Y166" s="72" t="s">
        <v>3023</v>
      </c>
      <c r="Z166" s="72" t="s">
        <v>4</v>
      </c>
      <c r="AA166" s="147" t="s">
        <v>2905</v>
      </c>
    </row>
    <row r="167" spans="1:27" ht="18.600000000000001" customHeight="1">
      <c r="A167" s="140" t="str">
        <f>IF(priority(Main[[#This Row],[Comments]])&lt;&gt;0, priority(Main[[#This Row],[Comments]]),"")</f>
        <v/>
      </c>
      <c r="B167" s="90" t="s">
        <v>1071</v>
      </c>
      <c r="C167" s="72" t="s">
        <v>95</v>
      </c>
      <c r="D167" s="73" t="s">
        <v>96</v>
      </c>
      <c r="E167" s="74"/>
      <c r="F167" s="74"/>
      <c r="G167" s="75" t="str">
        <f>IF(stdProdLT(Main[[#This Row],[Comments]])=0.1,"N/A",IF(stdProdLT(Main[[#This Row],[Comments]])=0,"",stdProdLT(Main[[#This Row],[Comments]])))</f>
        <v/>
      </c>
      <c r="H167" s="76" t="str">
        <f>IF(AND(Main[[#This Row],[In Stock Date]]&lt;&gt;"",Main[[#This Row],[Revised Due Date]]&lt;&gt;""),Main[[#This Row],[In Stock Date]]-Main[[#This Row],[Revised Due Date]],"")</f>
        <v/>
      </c>
      <c r="I167" s="72" t="s">
        <v>4</v>
      </c>
      <c r="J167" s="72" t="s">
        <v>4</v>
      </c>
      <c r="K167" s="72" t="s">
        <v>4</v>
      </c>
      <c r="L167" s="74"/>
      <c r="M167" s="77" t="str">
        <f>IF(Main[[#This Row],[Tech Start Date]]&lt;1/1/1990,"",IF(Main[[#This Row],[Class]]="C",WORKDAY(Main[[#This Row],[Tech Start Date]],9),IF(Main[[#This Row],[Class]]="B", WORKDAY(Main[[#This Row],[Tech Start Date]],6),IF(Main[[#This Row],[Class]]="A",WORKDAY(Main[[#This Row],[Tech Start Date]],2),""))))</f>
        <v/>
      </c>
      <c r="N167" s="77" t="str">
        <f>IF(Main[[#This Row],[Tech Start Date]]&lt;1/1/1990,"",IF(Main[[#This Row],[Class]]="C",WORKDAY(Main[[#This Row],[Tech Start Date]],19),IF(Main[[#This Row],[Class]]="B", WORKDAY(Main[[#This Row],[Tech Start Date]],12),IF(Main[[#This Row],[Class]]="A",WORKDAY(Main[[#This Row],[Tech Start Date]],4),""))))</f>
        <v/>
      </c>
      <c r="O167" s="77" t="str">
        <f>IF(Main[[#This Row],[Tech Start Date]]&lt;1/1/1990,"",IF(Main[[#This Row],[Class]]="C",WORKDAY(Main[[#This Row],[Tech Start Date]],23),IF(Main[[#This Row],[Class]]="B", WORKDAY(Main[[#This Row],[Tech Start Date]],15),IF(Main[[#This Row],[Class]]="A",WORKDAY(Main[[#This Row],[Tech Start Date]],5),""))))</f>
        <v/>
      </c>
      <c r="P167" s="77" t="str">
        <f>IF(Main[[#This Row],[Tech Start Date]]&lt;1/1/1990,"",IF(Main[[#This Row],[Class]]="C",WORKDAY(Main[[#This Row],[Tech Start Date]],28),IF(Main[[#This Row],[Class]]="B", WORKDAY(Main[[#This Row],[Tech Start Date]],19),IF(Main[[#This Row],[Class]]="A",WORKDAY(Main[[#This Row],[Tech Start Date]],9),""))))</f>
        <v/>
      </c>
      <c r="Q167" s="74">
        <v>40302</v>
      </c>
      <c r="R167" s="74"/>
      <c r="S167" s="72" t="s">
        <v>6</v>
      </c>
      <c r="T167" s="80" t="s">
        <v>4</v>
      </c>
      <c r="U167" s="72" t="s">
        <v>14</v>
      </c>
      <c r="V167" s="72" t="s">
        <v>1932</v>
      </c>
      <c r="W167" s="72" t="s">
        <v>1938</v>
      </c>
      <c r="X167" s="72" t="s">
        <v>129</v>
      </c>
      <c r="Y167" s="72" t="s">
        <v>4</v>
      </c>
      <c r="Z167" s="72" t="s">
        <v>4</v>
      </c>
      <c r="AA167" s="147" t="s">
        <v>894</v>
      </c>
    </row>
    <row r="168" spans="1:27" ht="18.600000000000001" customHeight="1">
      <c r="A168" s="140" t="str">
        <f>IF(priority(Main[[#This Row],[Comments]])&lt;&gt;0, priority(Main[[#This Row],[Comments]]),"")</f>
        <v/>
      </c>
      <c r="B168" s="90" t="s">
        <v>1072</v>
      </c>
      <c r="C168" s="72" t="s">
        <v>4</v>
      </c>
      <c r="D168" s="73" t="s">
        <v>105</v>
      </c>
      <c r="E168" s="74"/>
      <c r="F168" s="74"/>
      <c r="G168" s="75" t="str">
        <f>IF(stdProdLT(Main[[#This Row],[Comments]])=0.1,"N/A",IF(stdProdLT(Main[[#This Row],[Comments]])=0,"",stdProdLT(Main[[#This Row],[Comments]])))</f>
        <v/>
      </c>
      <c r="H168" s="76" t="str">
        <f>IF(AND(Main[[#This Row],[In Stock Date]]&lt;&gt;"",Main[[#This Row],[Revised Due Date]]&lt;&gt;""),Main[[#This Row],[In Stock Date]]-Main[[#This Row],[Revised Due Date]],"")</f>
        <v/>
      </c>
      <c r="I168" s="72" t="s">
        <v>44</v>
      </c>
      <c r="J168" s="72" t="s">
        <v>28</v>
      </c>
      <c r="K168" s="72" t="s">
        <v>1941</v>
      </c>
      <c r="L168" s="74"/>
      <c r="M168" s="77" t="str">
        <f>IF(Main[[#This Row],[Tech Start Date]]&lt;1/1/1990,"",IF(Main[[#This Row],[Class]]="C",WORKDAY(Main[[#This Row],[Tech Start Date]],9),IF(Main[[#This Row],[Class]]="B", WORKDAY(Main[[#This Row],[Tech Start Date]],6),IF(Main[[#This Row],[Class]]="A",WORKDAY(Main[[#This Row],[Tech Start Date]],2),""))))</f>
        <v/>
      </c>
      <c r="N168" s="77" t="str">
        <f>IF(Main[[#This Row],[Tech Start Date]]&lt;1/1/1990,"",IF(Main[[#This Row],[Class]]="C",WORKDAY(Main[[#This Row],[Tech Start Date]],19),IF(Main[[#This Row],[Class]]="B", WORKDAY(Main[[#This Row],[Tech Start Date]],12),IF(Main[[#This Row],[Class]]="A",WORKDAY(Main[[#This Row],[Tech Start Date]],4),""))))</f>
        <v/>
      </c>
      <c r="O168" s="77" t="str">
        <f>IF(Main[[#This Row],[Tech Start Date]]&lt;1/1/1990,"",IF(Main[[#This Row],[Class]]="C",WORKDAY(Main[[#This Row],[Tech Start Date]],23),IF(Main[[#This Row],[Class]]="B", WORKDAY(Main[[#This Row],[Tech Start Date]],15),IF(Main[[#This Row],[Class]]="A",WORKDAY(Main[[#This Row],[Tech Start Date]],5),""))))</f>
        <v/>
      </c>
      <c r="P168" s="77" t="str">
        <f>IF(Main[[#This Row],[Tech Start Date]]&lt;1/1/1990,"",IF(Main[[#This Row],[Class]]="C",WORKDAY(Main[[#This Row],[Tech Start Date]],28),IF(Main[[#This Row],[Class]]="B", WORKDAY(Main[[#This Row],[Tech Start Date]],19),IF(Main[[#This Row],[Class]]="A",WORKDAY(Main[[#This Row],[Tech Start Date]],9),""))))</f>
        <v/>
      </c>
      <c r="Q168" s="74">
        <v>40725</v>
      </c>
      <c r="R168" s="74"/>
      <c r="S168" s="72" t="s">
        <v>6</v>
      </c>
      <c r="T168" s="80" t="s">
        <v>4</v>
      </c>
      <c r="U168" s="72" t="s">
        <v>14</v>
      </c>
      <c r="V168" s="72" t="s">
        <v>1935</v>
      </c>
      <c r="W168" s="72" t="s">
        <v>1936</v>
      </c>
      <c r="X168" s="72" t="s">
        <v>2903</v>
      </c>
      <c r="Y168" s="72" t="s">
        <v>3019</v>
      </c>
      <c r="Z168" s="72" t="s">
        <v>44</v>
      </c>
      <c r="AA168" s="147" t="s">
        <v>2903</v>
      </c>
    </row>
    <row r="169" spans="1:27" ht="18.600000000000001" customHeight="1">
      <c r="A169" s="140" t="str">
        <f>IF(priority(Main[[#This Row],[Comments]])&lt;&gt;0, priority(Main[[#This Row],[Comments]]),"")</f>
        <v/>
      </c>
      <c r="B169" s="90" t="s">
        <v>1073</v>
      </c>
      <c r="C169" s="72" t="s">
        <v>106</v>
      </c>
      <c r="D169" s="73" t="s">
        <v>107</v>
      </c>
      <c r="E169" s="74"/>
      <c r="F169" s="74"/>
      <c r="G169" s="75" t="str">
        <f>IF(stdProdLT(Main[[#This Row],[Comments]])=0.1,"N/A",IF(stdProdLT(Main[[#This Row],[Comments]])=0,"",stdProdLT(Main[[#This Row],[Comments]])))</f>
        <v/>
      </c>
      <c r="H169" s="76" t="str">
        <f>IF(AND(Main[[#This Row],[In Stock Date]]&lt;&gt;"",Main[[#This Row],[Revised Due Date]]&lt;&gt;""),Main[[#This Row],[In Stock Date]]-Main[[#This Row],[Revised Due Date]],"")</f>
        <v/>
      </c>
      <c r="I169" s="72" t="s">
        <v>108</v>
      </c>
      <c r="J169" s="72" t="s">
        <v>28</v>
      </c>
      <c r="K169" s="81" t="s">
        <v>1945</v>
      </c>
      <c r="L169" s="74"/>
      <c r="M169" s="77" t="str">
        <f>IF(Main[[#This Row],[Tech Start Date]]&lt;1/1/1990,"",IF(Main[[#This Row],[Class]]="C",WORKDAY(Main[[#This Row],[Tech Start Date]],9),IF(Main[[#This Row],[Class]]="B", WORKDAY(Main[[#This Row],[Tech Start Date]],6),IF(Main[[#This Row],[Class]]="A",WORKDAY(Main[[#This Row],[Tech Start Date]],2),""))))</f>
        <v/>
      </c>
      <c r="N169" s="77" t="str">
        <f>IF(Main[[#This Row],[Tech Start Date]]&lt;1/1/1990,"",IF(Main[[#This Row],[Class]]="C",WORKDAY(Main[[#This Row],[Tech Start Date]],19),IF(Main[[#This Row],[Class]]="B", WORKDAY(Main[[#This Row],[Tech Start Date]],12),IF(Main[[#This Row],[Class]]="A",WORKDAY(Main[[#This Row],[Tech Start Date]],4),""))))</f>
        <v/>
      </c>
      <c r="O169" s="77" t="str">
        <f>IF(Main[[#This Row],[Tech Start Date]]&lt;1/1/1990,"",IF(Main[[#This Row],[Class]]="C",WORKDAY(Main[[#This Row],[Tech Start Date]],23),IF(Main[[#This Row],[Class]]="B", WORKDAY(Main[[#This Row],[Tech Start Date]],15),IF(Main[[#This Row],[Class]]="A",WORKDAY(Main[[#This Row],[Tech Start Date]],5),""))))</f>
        <v/>
      </c>
      <c r="P169" s="77" t="str">
        <f>IF(Main[[#This Row],[Tech Start Date]]&lt;1/1/1990,"",IF(Main[[#This Row],[Class]]="C",WORKDAY(Main[[#This Row],[Tech Start Date]],28),IF(Main[[#This Row],[Class]]="B", WORKDAY(Main[[#This Row],[Tech Start Date]],19),IF(Main[[#This Row],[Class]]="A",WORKDAY(Main[[#This Row],[Tech Start Date]],9),""))))</f>
        <v/>
      </c>
      <c r="Q169" s="74">
        <v>40626</v>
      </c>
      <c r="R169" s="74"/>
      <c r="S169" s="72" t="s">
        <v>11</v>
      </c>
      <c r="T169" s="80" t="s">
        <v>4</v>
      </c>
      <c r="U169" s="72" t="s">
        <v>14</v>
      </c>
      <c r="V169" s="72" t="s">
        <v>1933</v>
      </c>
      <c r="W169" s="72" t="s">
        <v>1934</v>
      </c>
      <c r="X169" s="72" t="s">
        <v>2899</v>
      </c>
      <c r="Y169" s="72" t="s">
        <v>3014</v>
      </c>
      <c r="Z169" s="72" t="s">
        <v>108</v>
      </c>
      <c r="AA169" s="147" t="s">
        <v>2899</v>
      </c>
    </row>
    <row r="170" spans="1:27" ht="18.600000000000001" customHeight="1">
      <c r="A170" s="140" t="str">
        <f>IF(priority(Main[[#This Row],[Comments]])&lt;&gt;0, priority(Main[[#This Row],[Comments]]),"")</f>
        <v/>
      </c>
      <c r="B170" s="90" t="s">
        <v>1080</v>
      </c>
      <c r="C170" s="72" t="s">
        <v>31</v>
      </c>
      <c r="D170" s="73" t="s">
        <v>109</v>
      </c>
      <c r="E170" s="74"/>
      <c r="F170" s="74"/>
      <c r="G170" s="75" t="str">
        <f>IF(stdProdLT(Main[[#This Row],[Comments]])=0.1,"N/A",IF(stdProdLT(Main[[#This Row],[Comments]])=0,"",stdProdLT(Main[[#This Row],[Comments]])))</f>
        <v/>
      </c>
      <c r="H170" s="76" t="str">
        <f>IF(AND(Main[[#This Row],[In Stock Date]]&lt;&gt;"",Main[[#This Row],[Revised Due Date]]&lt;&gt;""),Main[[#This Row],[In Stock Date]]-Main[[#This Row],[Revised Due Date]],"")</f>
        <v/>
      </c>
      <c r="I170" s="72" t="s">
        <v>4</v>
      </c>
      <c r="J170" s="72" t="s">
        <v>4</v>
      </c>
      <c r="K170" s="72" t="s">
        <v>4</v>
      </c>
      <c r="L170" s="74"/>
      <c r="M170" s="77" t="str">
        <f>IF(Main[[#This Row],[Tech Start Date]]&lt;1/1/1990,"",IF(Main[[#This Row],[Class]]="C",WORKDAY(Main[[#This Row],[Tech Start Date]],9),IF(Main[[#This Row],[Class]]="B", WORKDAY(Main[[#This Row],[Tech Start Date]],6),IF(Main[[#This Row],[Class]]="A",WORKDAY(Main[[#This Row],[Tech Start Date]],2),""))))</f>
        <v/>
      </c>
      <c r="N170" s="77" t="str">
        <f>IF(Main[[#This Row],[Tech Start Date]]&lt;1/1/1990,"",IF(Main[[#This Row],[Class]]="C",WORKDAY(Main[[#This Row],[Tech Start Date]],19),IF(Main[[#This Row],[Class]]="B", WORKDAY(Main[[#This Row],[Tech Start Date]],12),IF(Main[[#This Row],[Class]]="A",WORKDAY(Main[[#This Row],[Tech Start Date]],4),""))))</f>
        <v/>
      </c>
      <c r="O170" s="77" t="str">
        <f>IF(Main[[#This Row],[Tech Start Date]]&lt;1/1/1990,"",IF(Main[[#This Row],[Class]]="C",WORKDAY(Main[[#This Row],[Tech Start Date]],23),IF(Main[[#This Row],[Class]]="B", WORKDAY(Main[[#This Row],[Tech Start Date]],15),IF(Main[[#This Row],[Class]]="A",WORKDAY(Main[[#This Row],[Tech Start Date]],5),""))))</f>
        <v/>
      </c>
      <c r="P170" s="77" t="str">
        <f>IF(Main[[#This Row],[Tech Start Date]]&lt;1/1/1990,"",IF(Main[[#This Row],[Class]]="C",WORKDAY(Main[[#This Row],[Tech Start Date]],28),IF(Main[[#This Row],[Class]]="B", WORKDAY(Main[[#This Row],[Tech Start Date]],19),IF(Main[[#This Row],[Class]]="A",WORKDAY(Main[[#This Row],[Tech Start Date]],9),""))))</f>
        <v/>
      </c>
      <c r="Q170" s="74">
        <v>40318</v>
      </c>
      <c r="R170" s="74"/>
      <c r="S170" s="72" t="s">
        <v>11</v>
      </c>
      <c r="T170" s="80" t="s">
        <v>4</v>
      </c>
      <c r="U170" s="72" t="s">
        <v>14</v>
      </c>
      <c r="V170" s="72" t="s">
        <v>1935</v>
      </c>
      <c r="W170" s="72" t="s">
        <v>1934</v>
      </c>
      <c r="X170" s="72" t="s">
        <v>2914</v>
      </c>
      <c r="Y170" s="72" t="s">
        <v>4</v>
      </c>
      <c r="Z170" s="72" t="s">
        <v>4</v>
      </c>
      <c r="AA170" s="147" t="s">
        <v>2914</v>
      </c>
    </row>
    <row r="171" spans="1:27" ht="18.600000000000001" customHeight="1">
      <c r="A171" s="140" t="str">
        <f>IF(priority(Main[[#This Row],[Comments]])&lt;&gt;0, priority(Main[[#This Row],[Comments]]),"")</f>
        <v/>
      </c>
      <c r="B171" s="90" t="s">
        <v>2064</v>
      </c>
      <c r="C171" s="72" t="s">
        <v>4</v>
      </c>
      <c r="D171" s="73" t="s">
        <v>2063</v>
      </c>
      <c r="E171" s="74"/>
      <c r="F171" s="74"/>
      <c r="G171" s="75" t="str">
        <f>IF(stdProdLT(Main[[#This Row],[Comments]])=0.1,"N/A",IF(stdProdLT(Main[[#This Row],[Comments]])=0,"",stdProdLT(Main[[#This Row],[Comments]])))</f>
        <v/>
      </c>
      <c r="H171" s="76" t="str">
        <f>IF(AND(Main[[#This Row],[In Stock Date]]&lt;&gt;"",Main[[#This Row],[Revised Due Date]]&lt;&gt;""),Main[[#This Row],[In Stock Date]]-Main[[#This Row],[Revised Due Date]],"")</f>
        <v/>
      </c>
      <c r="I171" s="72" t="s">
        <v>4</v>
      </c>
      <c r="J171" s="72" t="s">
        <v>4</v>
      </c>
      <c r="K171" s="72" t="s">
        <v>4</v>
      </c>
      <c r="L171" s="74"/>
      <c r="M171" s="77" t="str">
        <f>IF(Main[[#This Row],[Tech Start Date]]&lt;1/1/1990,"",IF(Main[[#This Row],[Class]]="C",WORKDAY(Main[[#This Row],[Tech Start Date]],9),IF(Main[[#This Row],[Class]]="B", WORKDAY(Main[[#This Row],[Tech Start Date]],6),IF(Main[[#This Row],[Class]]="A",WORKDAY(Main[[#This Row],[Tech Start Date]],2),""))))</f>
        <v/>
      </c>
      <c r="N171" s="77" t="str">
        <f>IF(Main[[#This Row],[Tech Start Date]]&lt;1/1/1990,"",IF(Main[[#This Row],[Class]]="C",WORKDAY(Main[[#This Row],[Tech Start Date]],19),IF(Main[[#This Row],[Class]]="B", WORKDAY(Main[[#This Row],[Tech Start Date]],12),IF(Main[[#This Row],[Class]]="A",WORKDAY(Main[[#This Row],[Tech Start Date]],4),""))))</f>
        <v/>
      </c>
      <c r="O171" s="77" t="str">
        <f>IF(Main[[#This Row],[Tech Start Date]]&lt;1/1/1990,"",IF(Main[[#This Row],[Class]]="C",WORKDAY(Main[[#This Row],[Tech Start Date]],23),IF(Main[[#This Row],[Class]]="B", WORKDAY(Main[[#This Row],[Tech Start Date]],15),IF(Main[[#This Row],[Class]]="A",WORKDAY(Main[[#This Row],[Tech Start Date]],5),""))))</f>
        <v/>
      </c>
      <c r="P171" s="77" t="str">
        <f>IF(Main[[#This Row],[Tech Start Date]]&lt;1/1/1990,"",IF(Main[[#This Row],[Class]]="C",WORKDAY(Main[[#This Row],[Tech Start Date]],28),IF(Main[[#This Row],[Class]]="B", WORKDAY(Main[[#This Row],[Tech Start Date]],19),IF(Main[[#This Row],[Class]]="A",WORKDAY(Main[[#This Row],[Tech Start Date]],9),""))))</f>
        <v/>
      </c>
      <c r="Q171" s="74"/>
      <c r="R171" s="74"/>
      <c r="S171" s="72" t="s">
        <v>6</v>
      </c>
      <c r="T171" s="80" t="s">
        <v>4</v>
      </c>
      <c r="U171" s="72" t="s">
        <v>14</v>
      </c>
      <c r="V171" s="72" t="s">
        <v>1933</v>
      </c>
      <c r="W171" s="72" t="s">
        <v>1936</v>
      </c>
      <c r="X171" s="72" t="s">
        <v>310</v>
      </c>
      <c r="Y171" s="72" t="s">
        <v>4</v>
      </c>
      <c r="Z171" s="72" t="s">
        <v>4</v>
      </c>
      <c r="AA171" s="147" t="s">
        <v>4</v>
      </c>
    </row>
    <row r="172" spans="1:27" ht="18.600000000000001" customHeight="1">
      <c r="A172" s="140" t="str">
        <f>IF(priority(Main[[#This Row],[Comments]])&lt;&gt;0, priority(Main[[#This Row],[Comments]]),"")</f>
        <v/>
      </c>
      <c r="B172" s="90" t="s">
        <v>1081</v>
      </c>
      <c r="C172" s="72" t="s">
        <v>19</v>
      </c>
      <c r="D172" s="73" t="s">
        <v>110</v>
      </c>
      <c r="E172" s="74"/>
      <c r="F172" s="74">
        <v>40548</v>
      </c>
      <c r="G172" s="75" t="str">
        <f>IF(stdProdLT(Main[[#This Row],[Comments]])=0.1,"N/A",IF(stdProdLT(Main[[#This Row],[Comments]])=0,"",stdProdLT(Main[[#This Row],[Comments]])))</f>
        <v/>
      </c>
      <c r="H172" s="76" t="str">
        <f>IF(AND(Main[[#This Row],[In Stock Date]]&lt;&gt;"",Main[[#This Row],[Revised Due Date]]&lt;&gt;""),Main[[#This Row],[In Stock Date]]-Main[[#This Row],[Revised Due Date]],"")</f>
        <v/>
      </c>
      <c r="I172" s="72" t="s">
        <v>4</v>
      </c>
      <c r="J172" s="72" t="s">
        <v>4</v>
      </c>
      <c r="K172" s="72" t="s">
        <v>4</v>
      </c>
      <c r="L172" s="74"/>
      <c r="M172" s="77" t="str">
        <f>IF(Main[[#This Row],[Tech Start Date]]&lt;1/1/1990,"",IF(Main[[#This Row],[Class]]="C",WORKDAY(Main[[#This Row],[Tech Start Date]],9),IF(Main[[#This Row],[Class]]="B", WORKDAY(Main[[#This Row],[Tech Start Date]],6),IF(Main[[#This Row],[Class]]="A",WORKDAY(Main[[#This Row],[Tech Start Date]],2),""))))</f>
        <v/>
      </c>
      <c r="N172" s="77" t="str">
        <f>IF(Main[[#This Row],[Tech Start Date]]&lt;1/1/1990,"",IF(Main[[#This Row],[Class]]="C",WORKDAY(Main[[#This Row],[Tech Start Date]],19),IF(Main[[#This Row],[Class]]="B", WORKDAY(Main[[#This Row],[Tech Start Date]],12),IF(Main[[#This Row],[Class]]="A",WORKDAY(Main[[#This Row],[Tech Start Date]],4),""))))</f>
        <v/>
      </c>
      <c r="O172" s="77" t="str">
        <f>IF(Main[[#This Row],[Tech Start Date]]&lt;1/1/1990,"",IF(Main[[#This Row],[Class]]="C",WORKDAY(Main[[#This Row],[Tech Start Date]],23),IF(Main[[#This Row],[Class]]="B", WORKDAY(Main[[#This Row],[Tech Start Date]],15),IF(Main[[#This Row],[Class]]="A",WORKDAY(Main[[#This Row],[Tech Start Date]],5),""))))</f>
        <v/>
      </c>
      <c r="P172" s="77" t="str">
        <f>IF(Main[[#This Row],[Tech Start Date]]&lt;1/1/1990,"",IF(Main[[#This Row],[Class]]="C",WORKDAY(Main[[#This Row],[Tech Start Date]],28),IF(Main[[#This Row],[Class]]="B", WORKDAY(Main[[#This Row],[Tech Start Date]],19),IF(Main[[#This Row],[Class]]="A",WORKDAY(Main[[#This Row],[Tech Start Date]],9),""))))</f>
        <v/>
      </c>
      <c r="Q172" s="74">
        <v>40415</v>
      </c>
      <c r="R172" s="74"/>
      <c r="S172" s="72" t="s">
        <v>17</v>
      </c>
      <c r="T172" s="80" t="s">
        <v>4</v>
      </c>
      <c r="U172" s="72" t="s">
        <v>12</v>
      </c>
      <c r="V172" s="72" t="s">
        <v>1935</v>
      </c>
      <c r="W172" s="72" t="s">
        <v>1940</v>
      </c>
      <c r="X172" s="72" t="s">
        <v>2917</v>
      </c>
      <c r="Y172" s="72" t="s">
        <v>3026</v>
      </c>
      <c r="Z172" s="72" t="s">
        <v>4</v>
      </c>
      <c r="AA172" s="147" t="s">
        <v>2917</v>
      </c>
    </row>
    <row r="173" spans="1:27" ht="18.600000000000001" customHeight="1">
      <c r="A173" s="140" t="str">
        <f>IF(priority(Main[[#This Row],[Comments]])&lt;&gt;0, priority(Main[[#This Row],[Comments]]),"")</f>
        <v/>
      </c>
      <c r="B173" s="90" t="s">
        <v>1074</v>
      </c>
      <c r="C173" s="72" t="s">
        <v>4</v>
      </c>
      <c r="D173" s="73" t="s">
        <v>97</v>
      </c>
      <c r="E173" s="74"/>
      <c r="F173" s="74"/>
      <c r="G173" s="75" t="str">
        <f>IF(stdProdLT(Main[[#This Row],[Comments]])=0.1,"N/A",IF(stdProdLT(Main[[#This Row],[Comments]])=0,"",stdProdLT(Main[[#This Row],[Comments]])))</f>
        <v/>
      </c>
      <c r="H173" s="76" t="str">
        <f>IF(AND(Main[[#This Row],[In Stock Date]]&lt;&gt;"",Main[[#This Row],[Revised Due Date]]&lt;&gt;""),Main[[#This Row],[In Stock Date]]-Main[[#This Row],[Revised Due Date]],"")</f>
        <v/>
      </c>
      <c r="I173" s="72" t="s">
        <v>4</v>
      </c>
      <c r="J173" s="72" t="s">
        <v>4</v>
      </c>
      <c r="K173" s="72" t="s">
        <v>4</v>
      </c>
      <c r="L173" s="74"/>
      <c r="M173" s="77" t="str">
        <f>IF(Main[[#This Row],[Tech Start Date]]&lt;1/1/1990,"",IF(Main[[#This Row],[Class]]="C",WORKDAY(Main[[#This Row],[Tech Start Date]],9),IF(Main[[#This Row],[Class]]="B", WORKDAY(Main[[#This Row],[Tech Start Date]],6),IF(Main[[#This Row],[Class]]="A",WORKDAY(Main[[#This Row],[Tech Start Date]],2),""))))</f>
        <v/>
      </c>
      <c r="N173" s="77" t="str">
        <f>IF(Main[[#This Row],[Tech Start Date]]&lt;1/1/1990,"",IF(Main[[#This Row],[Class]]="C",WORKDAY(Main[[#This Row],[Tech Start Date]],19),IF(Main[[#This Row],[Class]]="B", WORKDAY(Main[[#This Row],[Tech Start Date]],12),IF(Main[[#This Row],[Class]]="A",WORKDAY(Main[[#This Row],[Tech Start Date]],4),""))))</f>
        <v/>
      </c>
      <c r="O173" s="77" t="str">
        <f>IF(Main[[#This Row],[Tech Start Date]]&lt;1/1/1990,"",IF(Main[[#This Row],[Class]]="C",WORKDAY(Main[[#This Row],[Tech Start Date]],23),IF(Main[[#This Row],[Class]]="B", WORKDAY(Main[[#This Row],[Tech Start Date]],15),IF(Main[[#This Row],[Class]]="A",WORKDAY(Main[[#This Row],[Tech Start Date]],5),""))))</f>
        <v/>
      </c>
      <c r="P173" s="77" t="str">
        <f>IF(Main[[#This Row],[Tech Start Date]]&lt;1/1/1990,"",IF(Main[[#This Row],[Class]]="C",WORKDAY(Main[[#This Row],[Tech Start Date]],28),IF(Main[[#This Row],[Class]]="B", WORKDAY(Main[[#This Row],[Tech Start Date]],19),IF(Main[[#This Row],[Class]]="A",WORKDAY(Main[[#This Row],[Tech Start Date]],9),""))))</f>
        <v/>
      </c>
      <c r="Q173" s="74">
        <v>40858</v>
      </c>
      <c r="R173" s="74"/>
      <c r="S173" s="72" t="s">
        <v>17</v>
      </c>
      <c r="T173" s="80" t="s">
        <v>4</v>
      </c>
      <c r="U173" s="72" t="s">
        <v>14</v>
      </c>
      <c r="V173" s="72" t="s">
        <v>1932</v>
      </c>
      <c r="W173" s="72" t="s">
        <v>1937</v>
      </c>
      <c r="X173" s="72" t="s">
        <v>50</v>
      </c>
      <c r="Y173" s="72" t="s">
        <v>3046</v>
      </c>
      <c r="Z173" s="72" t="s">
        <v>4</v>
      </c>
      <c r="AA173" s="147" t="s">
        <v>2912</v>
      </c>
    </row>
    <row r="174" spans="1:27" ht="18.600000000000001" customHeight="1">
      <c r="A174" s="140" t="str">
        <f>IF(priority(Main[[#This Row],[Comments]])&lt;&gt;0, priority(Main[[#This Row],[Comments]]),"")</f>
        <v/>
      </c>
      <c r="B174" s="90" t="s">
        <v>1075</v>
      </c>
      <c r="C174" s="72" t="s">
        <v>4</v>
      </c>
      <c r="D174" s="73" t="s">
        <v>98</v>
      </c>
      <c r="E174" s="74">
        <v>40373.607708333337</v>
      </c>
      <c r="F174" s="74"/>
      <c r="G174" s="75" t="str">
        <f>IF(stdProdLT(Main[[#This Row],[Comments]])=0.1,"N/A",IF(stdProdLT(Main[[#This Row],[Comments]])=0,"",stdProdLT(Main[[#This Row],[Comments]])))</f>
        <v/>
      </c>
      <c r="H174" s="76" t="str">
        <f>IF(AND(Main[[#This Row],[In Stock Date]]&lt;&gt;"",Main[[#This Row],[Revised Due Date]]&lt;&gt;""),Main[[#This Row],[In Stock Date]]-Main[[#This Row],[Revised Due Date]],"")</f>
        <v/>
      </c>
      <c r="I174" s="72" t="s">
        <v>4</v>
      </c>
      <c r="J174" s="72" t="s">
        <v>4</v>
      </c>
      <c r="K174" s="72" t="s">
        <v>4</v>
      </c>
      <c r="L174" s="74"/>
      <c r="M174" s="77" t="str">
        <f>IF(Main[[#This Row],[Tech Start Date]]&lt;1/1/1990,"",IF(Main[[#This Row],[Class]]="C",WORKDAY(Main[[#This Row],[Tech Start Date]],9),IF(Main[[#This Row],[Class]]="B", WORKDAY(Main[[#This Row],[Tech Start Date]],6),IF(Main[[#This Row],[Class]]="A",WORKDAY(Main[[#This Row],[Tech Start Date]],2),""))))</f>
        <v/>
      </c>
      <c r="N174" s="77" t="str">
        <f>IF(Main[[#This Row],[Tech Start Date]]&lt;1/1/1990,"",IF(Main[[#This Row],[Class]]="C",WORKDAY(Main[[#This Row],[Tech Start Date]],19),IF(Main[[#This Row],[Class]]="B", WORKDAY(Main[[#This Row],[Tech Start Date]],12),IF(Main[[#This Row],[Class]]="A",WORKDAY(Main[[#This Row],[Tech Start Date]],4),""))))</f>
        <v/>
      </c>
      <c r="O174" s="77" t="str">
        <f>IF(Main[[#This Row],[Tech Start Date]]&lt;1/1/1990,"",IF(Main[[#This Row],[Class]]="C",WORKDAY(Main[[#This Row],[Tech Start Date]],23),IF(Main[[#This Row],[Class]]="B", WORKDAY(Main[[#This Row],[Tech Start Date]],15),IF(Main[[#This Row],[Class]]="A",WORKDAY(Main[[#This Row],[Tech Start Date]],5),""))))</f>
        <v/>
      </c>
      <c r="P174" s="77" t="str">
        <f>IF(Main[[#This Row],[Tech Start Date]]&lt;1/1/1990,"",IF(Main[[#This Row],[Class]]="C",WORKDAY(Main[[#This Row],[Tech Start Date]],28),IF(Main[[#This Row],[Class]]="B", WORKDAY(Main[[#This Row],[Tech Start Date]],19),IF(Main[[#This Row],[Class]]="A",WORKDAY(Main[[#This Row],[Tech Start Date]],9),""))))</f>
        <v/>
      </c>
      <c r="Q174" s="74">
        <v>40382</v>
      </c>
      <c r="R174" s="74"/>
      <c r="S174" s="72" t="s">
        <v>6</v>
      </c>
      <c r="T174" s="80" t="s">
        <v>4</v>
      </c>
      <c r="U174" s="72" t="s">
        <v>7</v>
      </c>
      <c r="V174" s="72" t="s">
        <v>1932</v>
      </c>
      <c r="W174" s="72" t="s">
        <v>1936</v>
      </c>
      <c r="X174" s="72" t="s">
        <v>403</v>
      </c>
      <c r="Y174" s="72" t="s">
        <v>4</v>
      </c>
      <c r="Z174" s="72" t="s">
        <v>4</v>
      </c>
      <c r="AA174" s="147" t="s">
        <v>3571</v>
      </c>
    </row>
    <row r="175" spans="1:27" ht="18.600000000000001" customHeight="1">
      <c r="A175" s="140" t="str">
        <f>IF(priority(Main[[#This Row],[Comments]])&lt;&gt;0, priority(Main[[#This Row],[Comments]]),"")</f>
        <v/>
      </c>
      <c r="B175" s="90" t="s">
        <v>1076</v>
      </c>
      <c r="C175" s="72" t="s">
        <v>99</v>
      </c>
      <c r="D175" s="73" t="s">
        <v>100</v>
      </c>
      <c r="E175" s="74"/>
      <c r="F175" s="74"/>
      <c r="G175" s="75" t="str">
        <f>IF(stdProdLT(Main[[#This Row],[Comments]])=0.1,"N/A",IF(stdProdLT(Main[[#This Row],[Comments]])=0,"",stdProdLT(Main[[#This Row],[Comments]])))</f>
        <v/>
      </c>
      <c r="H175" s="76" t="str">
        <f>IF(AND(Main[[#This Row],[In Stock Date]]&lt;&gt;"",Main[[#This Row],[Revised Due Date]]&lt;&gt;""),Main[[#This Row],[In Stock Date]]-Main[[#This Row],[Revised Due Date]],"")</f>
        <v/>
      </c>
      <c r="I175" s="72" t="s">
        <v>4</v>
      </c>
      <c r="J175" s="72" t="s">
        <v>4</v>
      </c>
      <c r="K175" s="72" t="s">
        <v>4</v>
      </c>
      <c r="L175" s="74"/>
      <c r="M175" s="77" t="str">
        <f>IF(Main[[#This Row],[Tech Start Date]]&lt;1/1/1990,"",IF(Main[[#This Row],[Class]]="C",WORKDAY(Main[[#This Row],[Tech Start Date]],9),IF(Main[[#This Row],[Class]]="B", WORKDAY(Main[[#This Row],[Tech Start Date]],6),IF(Main[[#This Row],[Class]]="A",WORKDAY(Main[[#This Row],[Tech Start Date]],2),""))))</f>
        <v/>
      </c>
      <c r="N175" s="77" t="str">
        <f>IF(Main[[#This Row],[Tech Start Date]]&lt;1/1/1990,"",IF(Main[[#This Row],[Class]]="C",WORKDAY(Main[[#This Row],[Tech Start Date]],19),IF(Main[[#This Row],[Class]]="B", WORKDAY(Main[[#This Row],[Tech Start Date]],12),IF(Main[[#This Row],[Class]]="A",WORKDAY(Main[[#This Row],[Tech Start Date]],4),""))))</f>
        <v/>
      </c>
      <c r="O175" s="77" t="str">
        <f>IF(Main[[#This Row],[Tech Start Date]]&lt;1/1/1990,"",IF(Main[[#This Row],[Class]]="C",WORKDAY(Main[[#This Row],[Tech Start Date]],23),IF(Main[[#This Row],[Class]]="B", WORKDAY(Main[[#This Row],[Tech Start Date]],15),IF(Main[[#This Row],[Class]]="A",WORKDAY(Main[[#This Row],[Tech Start Date]],5),""))))</f>
        <v/>
      </c>
      <c r="P175" s="77" t="str">
        <f>IF(Main[[#This Row],[Tech Start Date]]&lt;1/1/1990,"",IF(Main[[#This Row],[Class]]="C",WORKDAY(Main[[#This Row],[Tech Start Date]],28),IF(Main[[#This Row],[Class]]="B", WORKDAY(Main[[#This Row],[Tech Start Date]],19),IF(Main[[#This Row],[Class]]="A",WORKDAY(Main[[#This Row],[Tech Start Date]],9),""))))</f>
        <v/>
      </c>
      <c r="Q175" s="74"/>
      <c r="R175" s="74"/>
      <c r="S175" s="72" t="s">
        <v>49</v>
      </c>
      <c r="T175" s="80" t="s">
        <v>4</v>
      </c>
      <c r="U175" s="72" t="s">
        <v>12</v>
      </c>
      <c r="V175" s="72" t="s">
        <v>1933</v>
      </c>
      <c r="W175" s="72" t="s">
        <v>1934</v>
      </c>
      <c r="X175" s="72" t="s">
        <v>2918</v>
      </c>
      <c r="Y175" s="72" t="s">
        <v>3047</v>
      </c>
      <c r="Z175" s="72" t="s">
        <v>4</v>
      </c>
      <c r="AA175" s="147" t="s">
        <v>3572</v>
      </c>
    </row>
    <row r="176" spans="1:27" ht="18.600000000000001" customHeight="1">
      <c r="A176" s="140" t="str">
        <f>IF(priority(Main[[#This Row],[Comments]])&lt;&gt;0, priority(Main[[#This Row],[Comments]]),"")</f>
        <v/>
      </c>
      <c r="B176" s="90" t="s">
        <v>1077</v>
      </c>
      <c r="C176" s="72" t="s">
        <v>67</v>
      </c>
      <c r="D176" s="73" t="s">
        <v>101</v>
      </c>
      <c r="E176" s="74"/>
      <c r="F176" s="74">
        <v>40664</v>
      </c>
      <c r="G176" s="75" t="str">
        <f>IF(stdProdLT(Main[[#This Row],[Comments]])=0.1,"N/A",IF(stdProdLT(Main[[#This Row],[Comments]])=0,"",stdProdLT(Main[[#This Row],[Comments]])))</f>
        <v/>
      </c>
      <c r="H176" s="76" t="str">
        <f>IF(AND(Main[[#This Row],[In Stock Date]]&lt;&gt;"",Main[[#This Row],[Revised Due Date]]&lt;&gt;""),Main[[#This Row],[In Stock Date]]-Main[[#This Row],[Revised Due Date]],"")</f>
        <v/>
      </c>
      <c r="I176" s="72" t="s">
        <v>102</v>
      </c>
      <c r="J176" s="72" t="s">
        <v>51</v>
      </c>
      <c r="K176" s="72" t="s">
        <v>1941</v>
      </c>
      <c r="L176" s="74"/>
      <c r="M176" s="77" t="str">
        <f>IF(Main[[#This Row],[Tech Start Date]]&lt;1/1/1990,"",IF(Main[[#This Row],[Class]]="C",WORKDAY(Main[[#This Row],[Tech Start Date]],9),IF(Main[[#This Row],[Class]]="B", WORKDAY(Main[[#This Row],[Tech Start Date]],6),IF(Main[[#This Row],[Class]]="A",WORKDAY(Main[[#This Row],[Tech Start Date]],2),""))))</f>
        <v/>
      </c>
      <c r="N176" s="77" t="str">
        <f>IF(Main[[#This Row],[Tech Start Date]]&lt;1/1/1990,"",IF(Main[[#This Row],[Class]]="C",WORKDAY(Main[[#This Row],[Tech Start Date]],19),IF(Main[[#This Row],[Class]]="B", WORKDAY(Main[[#This Row],[Tech Start Date]],12),IF(Main[[#This Row],[Class]]="A",WORKDAY(Main[[#This Row],[Tech Start Date]],4),""))))</f>
        <v/>
      </c>
      <c r="O176" s="77" t="str">
        <f>IF(Main[[#This Row],[Tech Start Date]]&lt;1/1/1990,"",IF(Main[[#This Row],[Class]]="C",WORKDAY(Main[[#This Row],[Tech Start Date]],23),IF(Main[[#This Row],[Class]]="B", WORKDAY(Main[[#This Row],[Tech Start Date]],15),IF(Main[[#This Row],[Class]]="A",WORKDAY(Main[[#This Row],[Tech Start Date]],5),""))))</f>
        <v/>
      </c>
      <c r="P176" s="77" t="str">
        <f>IF(Main[[#This Row],[Tech Start Date]]&lt;1/1/1990,"",IF(Main[[#This Row],[Class]]="C",WORKDAY(Main[[#This Row],[Tech Start Date]],28),IF(Main[[#This Row],[Class]]="B", WORKDAY(Main[[#This Row],[Tech Start Date]],19),IF(Main[[#This Row],[Class]]="A",WORKDAY(Main[[#This Row],[Tech Start Date]],9),""))))</f>
        <v/>
      </c>
      <c r="Q176" s="74">
        <v>40585</v>
      </c>
      <c r="R176" s="74"/>
      <c r="S176" s="72" t="s">
        <v>11</v>
      </c>
      <c r="T176" s="80" t="s">
        <v>4</v>
      </c>
      <c r="U176" s="72" t="s">
        <v>14</v>
      </c>
      <c r="V176" s="72" t="s">
        <v>1932</v>
      </c>
      <c r="W176" s="72" t="s">
        <v>1938</v>
      </c>
      <c r="X176" s="72" t="s">
        <v>50</v>
      </c>
      <c r="Y176" s="72" t="s">
        <v>3048</v>
      </c>
      <c r="Z176" s="72" t="s">
        <v>129</v>
      </c>
      <c r="AA176" s="147" t="s">
        <v>50</v>
      </c>
    </row>
    <row r="177" spans="1:27" ht="18.600000000000001" customHeight="1">
      <c r="A177" s="140" t="str">
        <f>IF(priority(Main[[#This Row],[Comments]])&lt;&gt;0, priority(Main[[#This Row],[Comments]]),"")</f>
        <v/>
      </c>
      <c r="B177" s="90" t="s">
        <v>2483</v>
      </c>
      <c r="C177" s="72" t="s">
        <v>4</v>
      </c>
      <c r="D177" s="73" t="s">
        <v>2742</v>
      </c>
      <c r="E177" s="74">
        <v>40869.337650462963</v>
      </c>
      <c r="F177" s="74"/>
      <c r="G177" s="75" t="str">
        <f>IF(stdProdLT(Main[[#This Row],[Comments]])=0.1,"N/A",IF(stdProdLT(Main[[#This Row],[Comments]])=0,"",stdProdLT(Main[[#This Row],[Comments]])))</f>
        <v/>
      </c>
      <c r="H177" s="76" t="str">
        <f>IF(AND(Main[[#This Row],[In Stock Date]]&lt;&gt;"",Main[[#This Row],[Revised Due Date]]&lt;&gt;""),Main[[#This Row],[In Stock Date]]-Main[[#This Row],[Revised Due Date]],"")</f>
        <v/>
      </c>
      <c r="I177" s="72" t="s">
        <v>4</v>
      </c>
      <c r="J177" s="72" t="s">
        <v>4</v>
      </c>
      <c r="K177" s="72" t="s">
        <v>4</v>
      </c>
      <c r="L177" s="74"/>
      <c r="M177" s="77" t="str">
        <f>IF(Main[[#This Row],[Tech Start Date]]&lt;1/1/1990,"",IF(Main[[#This Row],[Class]]="C",WORKDAY(Main[[#This Row],[Tech Start Date]],9),IF(Main[[#This Row],[Class]]="B", WORKDAY(Main[[#This Row],[Tech Start Date]],6),IF(Main[[#This Row],[Class]]="A",WORKDAY(Main[[#This Row],[Tech Start Date]],2),""))))</f>
        <v/>
      </c>
      <c r="N177" s="77" t="str">
        <f>IF(Main[[#This Row],[Tech Start Date]]&lt;1/1/1990,"",IF(Main[[#This Row],[Class]]="C",WORKDAY(Main[[#This Row],[Tech Start Date]],19),IF(Main[[#This Row],[Class]]="B", WORKDAY(Main[[#This Row],[Tech Start Date]],12),IF(Main[[#This Row],[Class]]="A",WORKDAY(Main[[#This Row],[Tech Start Date]],4),""))))</f>
        <v/>
      </c>
      <c r="O177" s="77" t="str">
        <f>IF(Main[[#This Row],[Tech Start Date]]&lt;1/1/1990,"",IF(Main[[#This Row],[Class]]="C",WORKDAY(Main[[#This Row],[Tech Start Date]],23),IF(Main[[#This Row],[Class]]="B", WORKDAY(Main[[#This Row],[Tech Start Date]],15),IF(Main[[#This Row],[Class]]="A",WORKDAY(Main[[#This Row],[Tech Start Date]],5),""))))</f>
        <v/>
      </c>
      <c r="P177" s="77" t="str">
        <f>IF(Main[[#This Row],[Tech Start Date]]&lt;1/1/1990,"",IF(Main[[#This Row],[Class]]="C",WORKDAY(Main[[#This Row],[Tech Start Date]],28),IF(Main[[#This Row],[Class]]="B", WORKDAY(Main[[#This Row],[Tech Start Date]],19),IF(Main[[#This Row],[Class]]="A",WORKDAY(Main[[#This Row],[Tech Start Date]],9),""))))</f>
        <v/>
      </c>
      <c r="Q177" s="74"/>
      <c r="R177" s="74"/>
      <c r="S177" s="72" t="s">
        <v>6</v>
      </c>
      <c r="T177" s="80" t="s">
        <v>2743</v>
      </c>
      <c r="U177" s="72" t="s">
        <v>29</v>
      </c>
      <c r="V177" s="72" t="s">
        <v>1932</v>
      </c>
      <c r="W177" s="72" t="s">
        <v>1936</v>
      </c>
      <c r="X177" s="72" t="s">
        <v>102</v>
      </c>
      <c r="Y177" s="72" t="s">
        <v>3049</v>
      </c>
      <c r="Z177" s="72" t="s">
        <v>4</v>
      </c>
      <c r="AA177" s="147" t="s">
        <v>3573</v>
      </c>
    </row>
    <row r="178" spans="1:27" ht="18.600000000000001" customHeight="1">
      <c r="A178" s="140" t="str">
        <f>IF(priority(Main[[#This Row],[Comments]])&lt;&gt;0, priority(Main[[#This Row],[Comments]]),"")</f>
        <v/>
      </c>
      <c r="B178" s="90" t="s">
        <v>1079</v>
      </c>
      <c r="C178" s="72" t="s">
        <v>31</v>
      </c>
      <c r="D178" s="73" t="s">
        <v>104</v>
      </c>
      <c r="E178" s="74"/>
      <c r="F178" s="74"/>
      <c r="G178" s="75" t="str">
        <f>IF(stdProdLT(Main[[#This Row],[Comments]])=0.1,"N/A",IF(stdProdLT(Main[[#This Row],[Comments]])=0,"",stdProdLT(Main[[#This Row],[Comments]])))</f>
        <v/>
      </c>
      <c r="H178" s="76" t="str">
        <f>IF(AND(Main[[#This Row],[In Stock Date]]&lt;&gt;"",Main[[#This Row],[Revised Due Date]]&lt;&gt;""),Main[[#This Row],[In Stock Date]]-Main[[#This Row],[Revised Due Date]],"")</f>
        <v/>
      </c>
      <c r="I178" s="72" t="s">
        <v>4</v>
      </c>
      <c r="J178" s="72" t="s">
        <v>4</v>
      </c>
      <c r="K178" s="72" t="s">
        <v>4</v>
      </c>
      <c r="L178" s="74"/>
      <c r="M178" s="77" t="str">
        <f>IF(Main[[#This Row],[Tech Start Date]]&lt;1/1/1990,"",IF(Main[[#This Row],[Class]]="C",WORKDAY(Main[[#This Row],[Tech Start Date]],9),IF(Main[[#This Row],[Class]]="B", WORKDAY(Main[[#This Row],[Tech Start Date]],6),IF(Main[[#This Row],[Class]]="A",WORKDAY(Main[[#This Row],[Tech Start Date]],2),""))))</f>
        <v/>
      </c>
      <c r="N178" s="77" t="str">
        <f>IF(Main[[#This Row],[Tech Start Date]]&lt;1/1/1990,"",IF(Main[[#This Row],[Class]]="C",WORKDAY(Main[[#This Row],[Tech Start Date]],19),IF(Main[[#This Row],[Class]]="B", WORKDAY(Main[[#This Row],[Tech Start Date]],12),IF(Main[[#This Row],[Class]]="A",WORKDAY(Main[[#This Row],[Tech Start Date]],4),""))))</f>
        <v/>
      </c>
      <c r="O178" s="77" t="str">
        <f>IF(Main[[#This Row],[Tech Start Date]]&lt;1/1/1990,"",IF(Main[[#This Row],[Class]]="C",WORKDAY(Main[[#This Row],[Tech Start Date]],23),IF(Main[[#This Row],[Class]]="B", WORKDAY(Main[[#This Row],[Tech Start Date]],15),IF(Main[[#This Row],[Class]]="A",WORKDAY(Main[[#This Row],[Tech Start Date]],5),""))))</f>
        <v/>
      </c>
      <c r="P178" s="77" t="str">
        <f>IF(Main[[#This Row],[Tech Start Date]]&lt;1/1/1990,"",IF(Main[[#This Row],[Class]]="C",WORKDAY(Main[[#This Row],[Tech Start Date]],28),IF(Main[[#This Row],[Class]]="B", WORKDAY(Main[[#This Row],[Tech Start Date]],19),IF(Main[[#This Row],[Class]]="A",WORKDAY(Main[[#This Row],[Tech Start Date]],9),""))))</f>
        <v/>
      </c>
      <c r="Q178" s="74">
        <v>40318</v>
      </c>
      <c r="R178" s="74"/>
      <c r="S178" s="72" t="s">
        <v>11</v>
      </c>
      <c r="T178" s="80" t="s">
        <v>4</v>
      </c>
      <c r="U178" s="72" t="s">
        <v>14</v>
      </c>
      <c r="V178" s="72" t="s">
        <v>1942</v>
      </c>
      <c r="W178" s="72" t="s">
        <v>1934</v>
      </c>
      <c r="X178" s="72" t="s">
        <v>2914</v>
      </c>
      <c r="Y178" s="72" t="s">
        <v>4</v>
      </c>
      <c r="Z178" s="72" t="s">
        <v>4</v>
      </c>
      <c r="AA178" s="147" t="s">
        <v>2914</v>
      </c>
    </row>
    <row r="179" spans="1:27" ht="18.600000000000001" customHeight="1">
      <c r="A179" s="140" t="str">
        <f>IF(priority(Main[[#This Row],[Comments]])&lt;&gt;0, priority(Main[[#This Row],[Comments]]),"")</f>
        <v/>
      </c>
      <c r="B179" s="90" t="s">
        <v>2746</v>
      </c>
      <c r="C179" s="72" t="s">
        <v>2747</v>
      </c>
      <c r="D179" s="73" t="s">
        <v>2748</v>
      </c>
      <c r="E179" s="74"/>
      <c r="F179" s="74"/>
      <c r="G179" s="75" t="str">
        <f>IF(stdProdLT(Main[[#This Row],[Comments]])=0.1,"N/A",IF(stdProdLT(Main[[#This Row],[Comments]])=0,"",stdProdLT(Main[[#This Row],[Comments]])))</f>
        <v/>
      </c>
      <c r="H179" s="76" t="str">
        <f>IF(AND(Main[[#This Row],[In Stock Date]]&lt;&gt;"",Main[[#This Row],[Revised Due Date]]&lt;&gt;""),Main[[#This Row],[In Stock Date]]-Main[[#This Row],[Revised Due Date]],"")</f>
        <v/>
      </c>
      <c r="I179" s="72" t="s">
        <v>4</v>
      </c>
      <c r="J179" s="72" t="s">
        <v>4</v>
      </c>
      <c r="K179" s="81" t="s">
        <v>4</v>
      </c>
      <c r="L179" s="74"/>
      <c r="M179" s="77" t="str">
        <f>IF(Main[[#This Row],[Tech Start Date]]&lt;1/1/1990,"",IF(Main[[#This Row],[Class]]="C",WORKDAY(Main[[#This Row],[Tech Start Date]],9),IF(Main[[#This Row],[Class]]="B", WORKDAY(Main[[#This Row],[Tech Start Date]],6),IF(Main[[#This Row],[Class]]="A",WORKDAY(Main[[#This Row],[Tech Start Date]],2),""))))</f>
        <v/>
      </c>
      <c r="N179" s="77" t="str">
        <f>IF(Main[[#This Row],[Tech Start Date]]&lt;1/1/1990,"",IF(Main[[#This Row],[Class]]="C",WORKDAY(Main[[#This Row],[Tech Start Date]],19),IF(Main[[#This Row],[Class]]="B", WORKDAY(Main[[#This Row],[Tech Start Date]],12),IF(Main[[#This Row],[Class]]="A",WORKDAY(Main[[#This Row],[Tech Start Date]],4),""))))</f>
        <v/>
      </c>
      <c r="O179" s="77" t="str">
        <f>IF(Main[[#This Row],[Tech Start Date]]&lt;1/1/1990,"",IF(Main[[#This Row],[Class]]="C",WORKDAY(Main[[#This Row],[Tech Start Date]],23),IF(Main[[#This Row],[Class]]="B", WORKDAY(Main[[#This Row],[Tech Start Date]],15),IF(Main[[#This Row],[Class]]="A",WORKDAY(Main[[#This Row],[Tech Start Date]],5),""))))</f>
        <v/>
      </c>
      <c r="P179" s="77" t="str">
        <f>IF(Main[[#This Row],[Tech Start Date]]&lt;1/1/1990,"",IF(Main[[#This Row],[Class]]="C",WORKDAY(Main[[#This Row],[Tech Start Date]],28),IF(Main[[#This Row],[Class]]="B", WORKDAY(Main[[#This Row],[Tech Start Date]],19),IF(Main[[#This Row],[Class]]="A",WORKDAY(Main[[#This Row],[Tech Start Date]],9),""))))</f>
        <v/>
      </c>
      <c r="Q179" s="74">
        <v>40921</v>
      </c>
      <c r="R179" s="74"/>
      <c r="S179" s="72" t="s">
        <v>11</v>
      </c>
      <c r="T179" s="80" t="s">
        <v>4</v>
      </c>
      <c r="U179" s="72" t="s">
        <v>12</v>
      </c>
      <c r="V179" s="72" t="s">
        <v>1933</v>
      </c>
      <c r="W179" s="72" t="s">
        <v>1934</v>
      </c>
      <c r="X179" s="72" t="s">
        <v>2899</v>
      </c>
      <c r="Y179" s="72" t="s">
        <v>4</v>
      </c>
      <c r="Z179" s="72" t="s">
        <v>4</v>
      </c>
      <c r="AA179" s="147" t="s">
        <v>2899</v>
      </c>
    </row>
    <row r="180" spans="1:27" ht="18.600000000000001" customHeight="1">
      <c r="A180" s="140" t="str">
        <f>IF(priority(Main[[#This Row],[Comments]])&lt;&gt;0, priority(Main[[#This Row],[Comments]]),"")</f>
        <v/>
      </c>
      <c r="B180" s="90" t="s">
        <v>2597</v>
      </c>
      <c r="C180" s="72" t="s">
        <v>4</v>
      </c>
      <c r="D180" s="73" t="s">
        <v>2598</v>
      </c>
      <c r="E180" s="74"/>
      <c r="F180" s="74"/>
      <c r="G180" s="75" t="str">
        <f>IF(stdProdLT(Main[[#This Row],[Comments]])=0.1,"N/A",IF(stdProdLT(Main[[#This Row],[Comments]])=0,"",stdProdLT(Main[[#This Row],[Comments]])))</f>
        <v/>
      </c>
      <c r="H180" s="76" t="str">
        <f>IF(AND(Main[[#This Row],[In Stock Date]]&lt;&gt;"",Main[[#This Row],[Revised Due Date]]&lt;&gt;""),Main[[#This Row],[In Stock Date]]-Main[[#This Row],[Revised Due Date]],"")</f>
        <v/>
      </c>
      <c r="I180" s="72" t="s">
        <v>30</v>
      </c>
      <c r="J180" s="72" t="s">
        <v>21</v>
      </c>
      <c r="K180" s="72" t="s">
        <v>4</v>
      </c>
      <c r="L180" s="74"/>
      <c r="M180" s="77" t="str">
        <f>IF(Main[[#This Row],[Tech Start Date]]&lt;1/1/1990,"",IF(Main[[#This Row],[Class]]="C",WORKDAY(Main[[#This Row],[Tech Start Date]],9),IF(Main[[#This Row],[Class]]="B", WORKDAY(Main[[#This Row],[Tech Start Date]],6),IF(Main[[#This Row],[Class]]="A",WORKDAY(Main[[#This Row],[Tech Start Date]],2),""))))</f>
        <v/>
      </c>
      <c r="N180" s="77" t="str">
        <f>IF(Main[[#This Row],[Tech Start Date]]&lt;1/1/1990,"",IF(Main[[#This Row],[Class]]="C",WORKDAY(Main[[#This Row],[Tech Start Date]],19),IF(Main[[#This Row],[Class]]="B", WORKDAY(Main[[#This Row],[Tech Start Date]],12),IF(Main[[#This Row],[Class]]="A",WORKDAY(Main[[#This Row],[Tech Start Date]],4),""))))</f>
        <v/>
      </c>
      <c r="O180" s="77" t="str">
        <f>IF(Main[[#This Row],[Tech Start Date]]&lt;1/1/1990,"",IF(Main[[#This Row],[Class]]="C",WORKDAY(Main[[#This Row],[Tech Start Date]],23),IF(Main[[#This Row],[Class]]="B", WORKDAY(Main[[#This Row],[Tech Start Date]],15),IF(Main[[#This Row],[Class]]="A",WORKDAY(Main[[#This Row],[Tech Start Date]],5),""))))</f>
        <v/>
      </c>
      <c r="P180" s="77" t="str">
        <f>IF(Main[[#This Row],[Tech Start Date]]&lt;1/1/1990,"",IF(Main[[#This Row],[Class]]="C",WORKDAY(Main[[#This Row],[Tech Start Date]],28),IF(Main[[#This Row],[Class]]="B", WORKDAY(Main[[#This Row],[Tech Start Date]],19),IF(Main[[#This Row],[Class]]="A",WORKDAY(Main[[#This Row],[Tech Start Date]],9),""))))</f>
        <v/>
      </c>
      <c r="Q180" s="74"/>
      <c r="R180" s="74"/>
      <c r="S180" s="72" t="s">
        <v>6</v>
      </c>
      <c r="T180" s="80" t="s">
        <v>4</v>
      </c>
      <c r="U180" s="72" t="s">
        <v>14</v>
      </c>
      <c r="V180" s="72" t="s">
        <v>1935</v>
      </c>
      <c r="W180" s="72" t="s">
        <v>1934</v>
      </c>
      <c r="X180" s="72" t="s">
        <v>310</v>
      </c>
      <c r="Y180" s="72" t="s">
        <v>4</v>
      </c>
      <c r="Z180" s="72" t="s">
        <v>30</v>
      </c>
      <c r="AA180" s="147" t="s">
        <v>3574</v>
      </c>
    </row>
    <row r="181" spans="1:27" ht="18.600000000000001" customHeight="1">
      <c r="A181" s="140" t="str">
        <f>IF(priority(Main[[#This Row],[Comments]])&lt;&gt;0, priority(Main[[#This Row],[Comments]]),"")</f>
        <v/>
      </c>
      <c r="B181" s="90" t="s">
        <v>1082</v>
      </c>
      <c r="C181" s="72" t="s">
        <v>4</v>
      </c>
      <c r="D181" s="73" t="s">
        <v>111</v>
      </c>
      <c r="E181" s="74"/>
      <c r="F181" s="74"/>
      <c r="G181" s="75" t="str">
        <f>IF(stdProdLT(Main[[#This Row],[Comments]])=0.1,"N/A",IF(stdProdLT(Main[[#This Row],[Comments]])=0,"",stdProdLT(Main[[#This Row],[Comments]])))</f>
        <v/>
      </c>
      <c r="H181" s="76" t="str">
        <f>IF(AND(Main[[#This Row],[In Stock Date]]&lt;&gt;"",Main[[#This Row],[Revised Due Date]]&lt;&gt;""),Main[[#This Row],[In Stock Date]]-Main[[#This Row],[Revised Due Date]],"")</f>
        <v/>
      </c>
      <c r="I181" s="72" t="s">
        <v>310</v>
      </c>
      <c r="J181" s="72" t="s">
        <v>75</v>
      </c>
      <c r="K181" s="81" t="s">
        <v>1941</v>
      </c>
      <c r="L181" s="74"/>
      <c r="M181" s="77" t="str">
        <f>IF(Main[[#This Row],[Tech Start Date]]&lt;1/1/1990,"",IF(Main[[#This Row],[Class]]="C",WORKDAY(Main[[#This Row],[Tech Start Date]],9),IF(Main[[#This Row],[Class]]="B", WORKDAY(Main[[#This Row],[Tech Start Date]],6),IF(Main[[#This Row],[Class]]="A",WORKDAY(Main[[#This Row],[Tech Start Date]],2),""))))</f>
        <v/>
      </c>
      <c r="N181" s="77" t="str">
        <f>IF(Main[[#This Row],[Tech Start Date]]&lt;1/1/1990,"",IF(Main[[#This Row],[Class]]="C",WORKDAY(Main[[#This Row],[Tech Start Date]],19),IF(Main[[#This Row],[Class]]="B", WORKDAY(Main[[#This Row],[Tech Start Date]],12),IF(Main[[#This Row],[Class]]="A",WORKDAY(Main[[#This Row],[Tech Start Date]],4),""))))</f>
        <v/>
      </c>
      <c r="O181" s="77" t="str">
        <f>IF(Main[[#This Row],[Tech Start Date]]&lt;1/1/1990,"",IF(Main[[#This Row],[Class]]="C",WORKDAY(Main[[#This Row],[Tech Start Date]],23),IF(Main[[#This Row],[Class]]="B", WORKDAY(Main[[#This Row],[Tech Start Date]],15),IF(Main[[#This Row],[Class]]="A",WORKDAY(Main[[#This Row],[Tech Start Date]],5),""))))</f>
        <v/>
      </c>
      <c r="P181" s="77" t="str">
        <f>IF(Main[[#This Row],[Tech Start Date]]&lt;1/1/1990,"",IF(Main[[#This Row],[Class]]="C",WORKDAY(Main[[#This Row],[Tech Start Date]],28),IF(Main[[#This Row],[Class]]="B", WORKDAY(Main[[#This Row],[Tech Start Date]],19),IF(Main[[#This Row],[Class]]="A",WORKDAY(Main[[#This Row],[Tech Start Date]],9),""))))</f>
        <v/>
      </c>
      <c r="Q181" s="74">
        <v>40336</v>
      </c>
      <c r="R181" s="74"/>
      <c r="S181" s="72" t="s">
        <v>6</v>
      </c>
      <c r="T181" s="80" t="s">
        <v>4</v>
      </c>
      <c r="U181" s="72" t="s">
        <v>14</v>
      </c>
      <c r="V181" s="72" t="s">
        <v>1935</v>
      </c>
      <c r="W181" s="72" t="s">
        <v>1934</v>
      </c>
      <c r="X181" s="72" t="s">
        <v>894</v>
      </c>
      <c r="Y181" s="72" t="s">
        <v>3050</v>
      </c>
      <c r="Z181" s="72" t="s">
        <v>30</v>
      </c>
      <c r="AA181" s="147" t="s">
        <v>894</v>
      </c>
    </row>
    <row r="182" spans="1:27" ht="18.600000000000001" customHeight="1">
      <c r="A182" s="140" t="str">
        <f>IF(priority(Main[[#This Row],[Comments]])&lt;&gt;0, priority(Main[[#This Row],[Comments]]),"")</f>
        <v/>
      </c>
      <c r="B182" s="90" t="s">
        <v>2182</v>
      </c>
      <c r="C182" s="72" t="s">
        <v>2183</v>
      </c>
      <c r="D182" s="73" t="s">
        <v>2184</v>
      </c>
      <c r="E182" s="74"/>
      <c r="F182" s="74">
        <v>40920</v>
      </c>
      <c r="G182" s="75" t="str">
        <f>IF(stdProdLT(Main[[#This Row],[Comments]])=0.1,"N/A",IF(stdProdLT(Main[[#This Row],[Comments]])=0,"",stdProdLT(Main[[#This Row],[Comments]])))</f>
        <v/>
      </c>
      <c r="H182" s="76" t="str">
        <f>IF(AND(Main[[#This Row],[In Stock Date]]&lt;&gt;"",Main[[#This Row],[Revised Due Date]]&lt;&gt;""),Main[[#This Row],[In Stock Date]]-Main[[#This Row],[Revised Due Date]],"")</f>
        <v/>
      </c>
      <c r="I182" s="72" t="s">
        <v>4</v>
      </c>
      <c r="J182" s="72" t="s">
        <v>28</v>
      </c>
      <c r="K182" s="72" t="s">
        <v>1941</v>
      </c>
      <c r="L182" s="74"/>
      <c r="M182" s="77" t="str">
        <f>IF(Main[[#This Row],[Tech Start Date]]&lt;1/1/1990,"",IF(Main[[#This Row],[Class]]="C",WORKDAY(Main[[#This Row],[Tech Start Date]],9),IF(Main[[#This Row],[Class]]="B", WORKDAY(Main[[#This Row],[Tech Start Date]],6),IF(Main[[#This Row],[Class]]="A",WORKDAY(Main[[#This Row],[Tech Start Date]],2),""))))</f>
        <v/>
      </c>
      <c r="N182" s="77" t="str">
        <f>IF(Main[[#This Row],[Tech Start Date]]&lt;1/1/1990,"",IF(Main[[#This Row],[Class]]="C",WORKDAY(Main[[#This Row],[Tech Start Date]],19),IF(Main[[#This Row],[Class]]="B", WORKDAY(Main[[#This Row],[Tech Start Date]],12),IF(Main[[#This Row],[Class]]="A",WORKDAY(Main[[#This Row],[Tech Start Date]],4),""))))</f>
        <v/>
      </c>
      <c r="O182" s="77" t="str">
        <f>IF(Main[[#This Row],[Tech Start Date]]&lt;1/1/1990,"",IF(Main[[#This Row],[Class]]="C",WORKDAY(Main[[#This Row],[Tech Start Date]],23),IF(Main[[#This Row],[Class]]="B", WORKDAY(Main[[#This Row],[Tech Start Date]],15),IF(Main[[#This Row],[Class]]="A",WORKDAY(Main[[#This Row],[Tech Start Date]],5),""))))</f>
        <v/>
      </c>
      <c r="P182" s="77" t="str">
        <f>IF(Main[[#This Row],[Tech Start Date]]&lt;1/1/1990,"",IF(Main[[#This Row],[Class]]="C",WORKDAY(Main[[#This Row],[Tech Start Date]],28),IF(Main[[#This Row],[Class]]="B", WORKDAY(Main[[#This Row],[Tech Start Date]],19),IF(Main[[#This Row],[Class]]="A",WORKDAY(Main[[#This Row],[Tech Start Date]],9),""))))</f>
        <v/>
      </c>
      <c r="Q182" s="74"/>
      <c r="R182" s="74"/>
      <c r="S182" s="72" t="s">
        <v>11</v>
      </c>
      <c r="T182" s="80" t="s">
        <v>4</v>
      </c>
      <c r="U182" s="72" t="s">
        <v>14</v>
      </c>
      <c r="V182" s="72" t="s">
        <v>1935</v>
      </c>
      <c r="W182" s="72" t="s">
        <v>1940</v>
      </c>
      <c r="X182" s="72" t="s">
        <v>50</v>
      </c>
      <c r="Y182" s="72" t="s">
        <v>3051</v>
      </c>
      <c r="Z182" s="72" t="s">
        <v>535</v>
      </c>
      <c r="AA182" s="147" t="s">
        <v>3575</v>
      </c>
    </row>
    <row r="183" spans="1:27" ht="18.600000000000001" customHeight="1">
      <c r="A183" s="140" t="str">
        <f>IF(priority(Main[[#This Row],[Comments]])&lt;&gt;0, priority(Main[[#This Row],[Comments]]),"")</f>
        <v/>
      </c>
      <c r="B183" s="90" t="s">
        <v>1865</v>
      </c>
      <c r="C183" s="72" t="s">
        <v>95</v>
      </c>
      <c r="D183" s="73" t="s">
        <v>914</v>
      </c>
      <c r="E183" s="74">
        <v>40428.41710648148</v>
      </c>
      <c r="F183" s="74"/>
      <c r="G183" s="75" t="str">
        <f>IF(stdProdLT(Main[[#This Row],[Comments]])=0.1,"N/A",IF(stdProdLT(Main[[#This Row],[Comments]])=0,"",stdProdLT(Main[[#This Row],[Comments]])))</f>
        <v/>
      </c>
      <c r="H183" s="76" t="str">
        <f>IF(AND(Main[[#This Row],[In Stock Date]]&lt;&gt;"",Main[[#This Row],[Revised Due Date]]&lt;&gt;""),Main[[#This Row],[In Stock Date]]-Main[[#This Row],[Revised Due Date]],"")</f>
        <v/>
      </c>
      <c r="I183" s="72" t="s">
        <v>420</v>
      </c>
      <c r="J183" s="72" t="s">
        <v>28</v>
      </c>
      <c r="K183" s="81" t="s">
        <v>1944</v>
      </c>
      <c r="L183" s="74"/>
      <c r="M183" s="77" t="str">
        <f>IF(Main[[#This Row],[Tech Start Date]]&lt;1/1/1990,"",IF(Main[[#This Row],[Class]]="C",WORKDAY(Main[[#This Row],[Tech Start Date]],9),IF(Main[[#This Row],[Class]]="B", WORKDAY(Main[[#This Row],[Tech Start Date]],6),IF(Main[[#This Row],[Class]]="A",WORKDAY(Main[[#This Row],[Tech Start Date]],2),""))))</f>
        <v/>
      </c>
      <c r="N183" s="77" t="str">
        <f>IF(Main[[#This Row],[Tech Start Date]]&lt;1/1/1990,"",IF(Main[[#This Row],[Class]]="C",WORKDAY(Main[[#This Row],[Tech Start Date]],19),IF(Main[[#This Row],[Class]]="B", WORKDAY(Main[[#This Row],[Tech Start Date]],12),IF(Main[[#This Row],[Class]]="A",WORKDAY(Main[[#This Row],[Tech Start Date]],4),""))))</f>
        <v/>
      </c>
      <c r="O183" s="77" t="str">
        <f>IF(Main[[#This Row],[Tech Start Date]]&lt;1/1/1990,"",IF(Main[[#This Row],[Class]]="C",WORKDAY(Main[[#This Row],[Tech Start Date]],23),IF(Main[[#This Row],[Class]]="B", WORKDAY(Main[[#This Row],[Tech Start Date]],15),IF(Main[[#This Row],[Class]]="A",WORKDAY(Main[[#This Row],[Tech Start Date]],5),""))))</f>
        <v/>
      </c>
      <c r="P183" s="77" t="str">
        <f>IF(Main[[#This Row],[Tech Start Date]]&lt;1/1/1990,"",IF(Main[[#This Row],[Class]]="C",WORKDAY(Main[[#This Row],[Tech Start Date]],28),IF(Main[[#This Row],[Class]]="B", WORKDAY(Main[[#This Row],[Tech Start Date]],19),IF(Main[[#This Row],[Class]]="A",WORKDAY(Main[[#This Row],[Tech Start Date]],9),""))))</f>
        <v/>
      </c>
      <c r="Q183" s="74">
        <v>40512</v>
      </c>
      <c r="R183" s="74">
        <v>40918</v>
      </c>
      <c r="S183" s="72" t="s">
        <v>17</v>
      </c>
      <c r="T183" s="80" t="s">
        <v>4</v>
      </c>
      <c r="U183" s="72" t="s">
        <v>29</v>
      </c>
      <c r="V183" s="72" t="s">
        <v>1935</v>
      </c>
      <c r="W183" s="72" t="s">
        <v>1938</v>
      </c>
      <c r="X183" s="72" t="s">
        <v>420</v>
      </c>
      <c r="Y183" s="72" t="s">
        <v>3062</v>
      </c>
      <c r="Z183" s="72" t="s">
        <v>980</v>
      </c>
      <c r="AA183" s="147" t="s">
        <v>420</v>
      </c>
    </row>
    <row r="184" spans="1:27" ht="18.600000000000001" customHeight="1">
      <c r="A184" s="140" t="str">
        <f>IF(priority(Main[[#This Row],[Comments]])&lt;&gt;0, priority(Main[[#This Row],[Comments]]),"")</f>
        <v/>
      </c>
      <c r="B184" s="90" t="s">
        <v>1873</v>
      </c>
      <c r="C184" s="72" t="s">
        <v>99</v>
      </c>
      <c r="D184" s="73" t="s">
        <v>922</v>
      </c>
      <c r="E184" s="74"/>
      <c r="F184" s="74">
        <v>40525</v>
      </c>
      <c r="G184" s="75" t="str">
        <f>IF(stdProdLT(Main[[#This Row],[Comments]])=0.1,"N/A",IF(stdProdLT(Main[[#This Row],[Comments]])=0,"",stdProdLT(Main[[#This Row],[Comments]])))</f>
        <v/>
      </c>
      <c r="H184" s="76">
        <f>IF(AND(Main[[#This Row],[In Stock Date]]&lt;&gt;"",Main[[#This Row],[Revised Due Date]]&lt;&gt;""),Main[[#This Row],[In Stock Date]]-Main[[#This Row],[Revised Due Date]],"")</f>
        <v>-46</v>
      </c>
      <c r="I184" s="72" t="s">
        <v>923</v>
      </c>
      <c r="J184" s="72" t="s">
        <v>21</v>
      </c>
      <c r="K184" s="72" t="s">
        <v>1945</v>
      </c>
      <c r="L184" s="74"/>
      <c r="M184" s="77" t="str">
        <f>IF(Main[[#This Row],[Tech Start Date]]&lt;1/1/1990,"",IF(Main[[#This Row],[Class]]="C",WORKDAY(Main[[#This Row],[Tech Start Date]],9),IF(Main[[#This Row],[Class]]="B", WORKDAY(Main[[#This Row],[Tech Start Date]],6),IF(Main[[#This Row],[Class]]="A",WORKDAY(Main[[#This Row],[Tech Start Date]],2),""))))</f>
        <v/>
      </c>
      <c r="N184" s="77" t="str">
        <f>IF(Main[[#This Row],[Tech Start Date]]&lt;1/1/1990,"",IF(Main[[#This Row],[Class]]="C",WORKDAY(Main[[#This Row],[Tech Start Date]],19),IF(Main[[#This Row],[Class]]="B", WORKDAY(Main[[#This Row],[Tech Start Date]],12),IF(Main[[#This Row],[Class]]="A",WORKDAY(Main[[#This Row],[Tech Start Date]],4),""))))</f>
        <v/>
      </c>
      <c r="O184" s="77" t="str">
        <f>IF(Main[[#This Row],[Tech Start Date]]&lt;1/1/1990,"",IF(Main[[#This Row],[Class]]="C",WORKDAY(Main[[#This Row],[Tech Start Date]],23),IF(Main[[#This Row],[Class]]="B", WORKDAY(Main[[#This Row],[Tech Start Date]],15),IF(Main[[#This Row],[Class]]="A",WORKDAY(Main[[#This Row],[Tech Start Date]],5),""))))</f>
        <v/>
      </c>
      <c r="P184" s="77" t="str">
        <f>IF(Main[[#This Row],[Tech Start Date]]&lt;1/1/1990,"",IF(Main[[#This Row],[Class]]="C",WORKDAY(Main[[#This Row],[Tech Start Date]],28),IF(Main[[#This Row],[Class]]="B", WORKDAY(Main[[#This Row],[Tech Start Date]],19),IF(Main[[#This Row],[Class]]="A",WORKDAY(Main[[#This Row],[Tech Start Date]],9),""))))</f>
        <v/>
      </c>
      <c r="Q184" s="74">
        <v>40525</v>
      </c>
      <c r="R184" s="74">
        <v>40571</v>
      </c>
      <c r="S184" s="72" t="s">
        <v>11</v>
      </c>
      <c r="T184" s="80" t="s">
        <v>4</v>
      </c>
      <c r="U184" s="72" t="s">
        <v>14</v>
      </c>
      <c r="V184" s="72" t="s">
        <v>1932</v>
      </c>
      <c r="W184" s="72" t="s">
        <v>1937</v>
      </c>
      <c r="X184" s="72" t="s">
        <v>2921</v>
      </c>
      <c r="Y184" s="72" t="s">
        <v>3053</v>
      </c>
      <c r="Z184" s="72" t="s">
        <v>129</v>
      </c>
      <c r="AA184" s="147" t="s">
        <v>2918</v>
      </c>
    </row>
    <row r="185" spans="1:27" ht="18.600000000000001" customHeight="1">
      <c r="A185" s="140" t="str">
        <f>IF(priority(Main[[#This Row],[Comments]])&lt;&gt;0, priority(Main[[#This Row],[Comments]]),"")</f>
        <v/>
      </c>
      <c r="B185" s="90" t="s">
        <v>1876</v>
      </c>
      <c r="C185" s="72" t="s">
        <v>31</v>
      </c>
      <c r="D185" s="73" t="s">
        <v>926</v>
      </c>
      <c r="E185" s="74"/>
      <c r="F185" s="74">
        <v>40664</v>
      </c>
      <c r="G185" s="75" t="str">
        <f>IF(stdProdLT(Main[[#This Row],[Comments]])=0.1,"N/A",IF(stdProdLT(Main[[#This Row],[Comments]])=0,"",stdProdLT(Main[[#This Row],[Comments]])))</f>
        <v/>
      </c>
      <c r="H185" s="76">
        <f>IF(AND(Main[[#This Row],[In Stock Date]]&lt;&gt;"",Main[[#This Row],[Revised Due Date]]&lt;&gt;""),Main[[#This Row],[In Stock Date]]-Main[[#This Row],[Revised Due Date]],"")</f>
        <v>87</v>
      </c>
      <c r="I185" s="72" t="s">
        <v>403</v>
      </c>
      <c r="J185" s="72" t="s">
        <v>75</v>
      </c>
      <c r="K185" s="72" t="s">
        <v>1941</v>
      </c>
      <c r="L185" s="74"/>
      <c r="M185" s="77" t="str">
        <f>IF(Main[[#This Row],[Tech Start Date]]&lt;1/1/1990,"",IF(Main[[#This Row],[Class]]="C",WORKDAY(Main[[#This Row],[Tech Start Date]],9),IF(Main[[#This Row],[Class]]="B", WORKDAY(Main[[#This Row],[Tech Start Date]],6),IF(Main[[#This Row],[Class]]="A",WORKDAY(Main[[#This Row],[Tech Start Date]],2),""))))</f>
        <v/>
      </c>
      <c r="N185" s="77" t="str">
        <f>IF(Main[[#This Row],[Tech Start Date]]&lt;1/1/1990,"",IF(Main[[#This Row],[Class]]="C",WORKDAY(Main[[#This Row],[Tech Start Date]],19),IF(Main[[#This Row],[Class]]="B", WORKDAY(Main[[#This Row],[Tech Start Date]],12),IF(Main[[#This Row],[Class]]="A",WORKDAY(Main[[#This Row],[Tech Start Date]],4),""))))</f>
        <v/>
      </c>
      <c r="O185" s="77" t="str">
        <f>IF(Main[[#This Row],[Tech Start Date]]&lt;1/1/1990,"",IF(Main[[#This Row],[Class]]="C",WORKDAY(Main[[#This Row],[Tech Start Date]],23),IF(Main[[#This Row],[Class]]="B", WORKDAY(Main[[#This Row],[Tech Start Date]],15),IF(Main[[#This Row],[Class]]="A",WORKDAY(Main[[#This Row],[Tech Start Date]],5),""))))</f>
        <v/>
      </c>
      <c r="P185" s="77" t="str">
        <f>IF(Main[[#This Row],[Tech Start Date]]&lt;1/1/1990,"",IF(Main[[#This Row],[Class]]="C",WORKDAY(Main[[#This Row],[Tech Start Date]],28),IF(Main[[#This Row],[Class]]="B", WORKDAY(Main[[#This Row],[Tech Start Date]],19),IF(Main[[#This Row],[Class]]="A",WORKDAY(Main[[#This Row],[Tech Start Date]],9),""))))</f>
        <v/>
      </c>
      <c r="Q185" s="74"/>
      <c r="R185" s="74">
        <v>40577</v>
      </c>
      <c r="S185" s="72" t="s">
        <v>11</v>
      </c>
      <c r="T185" s="80" t="s">
        <v>4</v>
      </c>
      <c r="U185" s="72" t="s">
        <v>14</v>
      </c>
      <c r="V185" s="72" t="s">
        <v>1935</v>
      </c>
      <c r="W185" s="72" t="s">
        <v>1938</v>
      </c>
      <c r="X185" s="72" t="s">
        <v>2909</v>
      </c>
      <c r="Y185" s="72" t="s">
        <v>3054</v>
      </c>
      <c r="Z185" s="72" t="s">
        <v>535</v>
      </c>
      <c r="AA185" s="147" t="s">
        <v>2909</v>
      </c>
    </row>
    <row r="186" spans="1:27" ht="18.600000000000001" customHeight="1">
      <c r="A186" s="140" t="str">
        <f>IF(priority(Main[[#This Row],[Comments]])&lt;&gt;0, priority(Main[[#This Row],[Comments]]),"")</f>
        <v/>
      </c>
      <c r="B186" s="90" t="s">
        <v>1093</v>
      </c>
      <c r="C186" s="72" t="s">
        <v>4</v>
      </c>
      <c r="D186" s="73" t="s">
        <v>124</v>
      </c>
      <c r="E186" s="74"/>
      <c r="F186" s="74"/>
      <c r="G186" s="75" t="str">
        <f>IF(stdProdLT(Main[[#This Row],[Comments]])=0.1,"N/A",IF(stdProdLT(Main[[#This Row],[Comments]])=0,"",stdProdLT(Main[[#This Row],[Comments]])))</f>
        <v/>
      </c>
      <c r="H186" s="76" t="str">
        <f>IF(AND(Main[[#This Row],[In Stock Date]]&lt;&gt;"",Main[[#This Row],[Revised Due Date]]&lt;&gt;""),Main[[#This Row],[In Stock Date]]-Main[[#This Row],[Revised Due Date]],"")</f>
        <v/>
      </c>
      <c r="I186" s="72" t="s">
        <v>4</v>
      </c>
      <c r="J186" s="72" t="s">
        <v>4</v>
      </c>
      <c r="K186" s="72" t="s">
        <v>4</v>
      </c>
      <c r="L186" s="74"/>
      <c r="M186" s="77" t="str">
        <f>IF(Main[[#This Row],[Tech Start Date]]&lt;1/1/1990,"",IF(Main[[#This Row],[Class]]="C",WORKDAY(Main[[#This Row],[Tech Start Date]],9),IF(Main[[#This Row],[Class]]="B", WORKDAY(Main[[#This Row],[Tech Start Date]],6),IF(Main[[#This Row],[Class]]="A",WORKDAY(Main[[#This Row],[Tech Start Date]],2),""))))</f>
        <v/>
      </c>
      <c r="N186" s="77" t="str">
        <f>IF(Main[[#This Row],[Tech Start Date]]&lt;1/1/1990,"",IF(Main[[#This Row],[Class]]="C",WORKDAY(Main[[#This Row],[Tech Start Date]],19),IF(Main[[#This Row],[Class]]="B", WORKDAY(Main[[#This Row],[Tech Start Date]],12),IF(Main[[#This Row],[Class]]="A",WORKDAY(Main[[#This Row],[Tech Start Date]],4),""))))</f>
        <v/>
      </c>
      <c r="O186" s="77" t="str">
        <f>IF(Main[[#This Row],[Tech Start Date]]&lt;1/1/1990,"",IF(Main[[#This Row],[Class]]="C",WORKDAY(Main[[#This Row],[Tech Start Date]],23),IF(Main[[#This Row],[Class]]="B", WORKDAY(Main[[#This Row],[Tech Start Date]],15),IF(Main[[#This Row],[Class]]="A",WORKDAY(Main[[#This Row],[Tech Start Date]],5),""))))</f>
        <v/>
      </c>
      <c r="P186" s="77" t="str">
        <f>IF(Main[[#This Row],[Tech Start Date]]&lt;1/1/1990,"",IF(Main[[#This Row],[Class]]="C",WORKDAY(Main[[#This Row],[Tech Start Date]],28),IF(Main[[#This Row],[Class]]="B", WORKDAY(Main[[#This Row],[Tech Start Date]],19),IF(Main[[#This Row],[Class]]="A",WORKDAY(Main[[#This Row],[Tech Start Date]],9),""))))</f>
        <v/>
      </c>
      <c r="Q186" s="74">
        <v>40613</v>
      </c>
      <c r="R186" s="74"/>
      <c r="S186" s="72" t="s">
        <v>6</v>
      </c>
      <c r="T186" s="80" t="s">
        <v>4</v>
      </c>
      <c r="U186" s="72" t="s">
        <v>12</v>
      </c>
      <c r="V186" s="72" t="s">
        <v>1932</v>
      </c>
      <c r="W186" s="72" t="s">
        <v>1946</v>
      </c>
      <c r="X186" s="72" t="s">
        <v>126</v>
      </c>
      <c r="Y186" s="72" t="s">
        <v>4</v>
      </c>
      <c r="Z186" s="72" t="s">
        <v>4</v>
      </c>
      <c r="AA186" s="147" t="s">
        <v>3576</v>
      </c>
    </row>
    <row r="187" spans="1:27" ht="18.600000000000001" customHeight="1">
      <c r="A187" s="140" t="str">
        <f>IF(priority(Main[[#This Row],[Comments]])&lt;&gt;0, priority(Main[[#This Row],[Comments]]),"")</f>
        <v/>
      </c>
      <c r="B187" s="90" t="s">
        <v>2201</v>
      </c>
      <c r="C187" s="72" t="s">
        <v>2202</v>
      </c>
      <c r="D187" s="73" t="s">
        <v>2203</v>
      </c>
      <c r="E187" s="74"/>
      <c r="F187" s="74">
        <v>40829</v>
      </c>
      <c r="G187" s="75" t="str">
        <f>IF(stdProdLT(Main[[#This Row],[Comments]])=0.1,"N/A",IF(stdProdLT(Main[[#This Row],[Comments]])=0,"",stdProdLT(Main[[#This Row],[Comments]])))</f>
        <v/>
      </c>
      <c r="H187" s="76" t="str">
        <f>IF(AND(Main[[#This Row],[In Stock Date]]&lt;&gt;"",Main[[#This Row],[Revised Due Date]]&lt;&gt;""),Main[[#This Row],[In Stock Date]]-Main[[#This Row],[Revised Due Date]],"")</f>
        <v/>
      </c>
      <c r="I187" s="72" t="s">
        <v>4</v>
      </c>
      <c r="J187" s="72" t="s">
        <v>4</v>
      </c>
      <c r="K187" s="72" t="s">
        <v>4</v>
      </c>
      <c r="L187" s="74"/>
      <c r="M187" s="77" t="str">
        <f>IF(Main[[#This Row],[Tech Start Date]]&lt;1/1/1990,"",IF(Main[[#This Row],[Class]]="C",WORKDAY(Main[[#This Row],[Tech Start Date]],9),IF(Main[[#This Row],[Class]]="B", WORKDAY(Main[[#This Row],[Tech Start Date]],6),IF(Main[[#This Row],[Class]]="A",WORKDAY(Main[[#This Row],[Tech Start Date]],2),""))))</f>
        <v/>
      </c>
      <c r="N187" s="77" t="str">
        <f>IF(Main[[#This Row],[Tech Start Date]]&lt;1/1/1990,"",IF(Main[[#This Row],[Class]]="C",WORKDAY(Main[[#This Row],[Tech Start Date]],19),IF(Main[[#This Row],[Class]]="B", WORKDAY(Main[[#This Row],[Tech Start Date]],12),IF(Main[[#This Row],[Class]]="A",WORKDAY(Main[[#This Row],[Tech Start Date]],4),""))))</f>
        <v/>
      </c>
      <c r="O187" s="77" t="str">
        <f>IF(Main[[#This Row],[Tech Start Date]]&lt;1/1/1990,"",IF(Main[[#This Row],[Class]]="C",WORKDAY(Main[[#This Row],[Tech Start Date]],23),IF(Main[[#This Row],[Class]]="B", WORKDAY(Main[[#This Row],[Tech Start Date]],15),IF(Main[[#This Row],[Class]]="A",WORKDAY(Main[[#This Row],[Tech Start Date]],5),""))))</f>
        <v/>
      </c>
      <c r="P187" s="77" t="str">
        <f>IF(Main[[#This Row],[Tech Start Date]]&lt;1/1/1990,"",IF(Main[[#This Row],[Class]]="C",WORKDAY(Main[[#This Row],[Tech Start Date]],28),IF(Main[[#This Row],[Class]]="B", WORKDAY(Main[[#This Row],[Tech Start Date]],19),IF(Main[[#This Row],[Class]]="A",WORKDAY(Main[[#This Row],[Tech Start Date]],9),""))))</f>
        <v/>
      </c>
      <c r="Q187" s="74">
        <v>40801</v>
      </c>
      <c r="R187" s="74"/>
      <c r="S187" s="72" t="s">
        <v>11</v>
      </c>
      <c r="T187" s="80" t="s">
        <v>4</v>
      </c>
      <c r="U187" s="72" t="s">
        <v>14</v>
      </c>
      <c r="V187" s="72" t="s">
        <v>1933</v>
      </c>
      <c r="W187" s="72" t="s">
        <v>1940</v>
      </c>
      <c r="X187" s="72" t="s">
        <v>2922</v>
      </c>
      <c r="Y187" s="72" t="s">
        <v>3055</v>
      </c>
      <c r="Z187" s="72" t="s">
        <v>4</v>
      </c>
      <c r="AA187" s="147" t="s">
        <v>2922</v>
      </c>
    </row>
    <row r="188" spans="1:27" ht="18.600000000000001" customHeight="1">
      <c r="A188" s="140" t="str">
        <f>IF(priority(Main[[#This Row],[Comments]])&lt;&gt;0, priority(Main[[#This Row],[Comments]]),"")</f>
        <v/>
      </c>
      <c r="B188" s="90" t="s">
        <v>2570</v>
      </c>
      <c r="C188" s="72" t="s">
        <v>4</v>
      </c>
      <c r="D188" s="73" t="s">
        <v>2571</v>
      </c>
      <c r="E188" s="74">
        <v>40855.624421296299</v>
      </c>
      <c r="F188" s="74"/>
      <c r="G188" s="75" t="str">
        <f>IF(stdProdLT(Main[[#This Row],[Comments]])=0.1,"N/A",IF(stdProdLT(Main[[#This Row],[Comments]])=0,"",stdProdLT(Main[[#This Row],[Comments]])))</f>
        <v/>
      </c>
      <c r="H188" s="76" t="str">
        <f>IF(AND(Main[[#This Row],[In Stock Date]]&lt;&gt;"",Main[[#This Row],[Revised Due Date]]&lt;&gt;""),Main[[#This Row],[In Stock Date]]-Main[[#This Row],[Revised Due Date]],"")</f>
        <v/>
      </c>
      <c r="I188" s="72" t="s">
        <v>81</v>
      </c>
      <c r="J188" s="72" t="s">
        <v>21</v>
      </c>
      <c r="K188" s="72" t="s">
        <v>4</v>
      </c>
      <c r="L188" s="74"/>
      <c r="M188" s="77" t="str">
        <f>IF(Main[[#This Row],[Tech Start Date]]&lt;1/1/1990,"",IF(Main[[#This Row],[Class]]="C",WORKDAY(Main[[#This Row],[Tech Start Date]],9),IF(Main[[#This Row],[Class]]="B", WORKDAY(Main[[#This Row],[Tech Start Date]],6),IF(Main[[#This Row],[Class]]="A",WORKDAY(Main[[#This Row],[Tech Start Date]],2),""))))</f>
        <v/>
      </c>
      <c r="N188" s="77" t="str">
        <f>IF(Main[[#This Row],[Tech Start Date]]&lt;1/1/1990,"",IF(Main[[#This Row],[Class]]="C",WORKDAY(Main[[#This Row],[Tech Start Date]],19),IF(Main[[#This Row],[Class]]="B", WORKDAY(Main[[#This Row],[Tech Start Date]],12),IF(Main[[#This Row],[Class]]="A",WORKDAY(Main[[#This Row],[Tech Start Date]],4),""))))</f>
        <v/>
      </c>
      <c r="O188" s="77" t="str">
        <f>IF(Main[[#This Row],[Tech Start Date]]&lt;1/1/1990,"",IF(Main[[#This Row],[Class]]="C",WORKDAY(Main[[#This Row],[Tech Start Date]],23),IF(Main[[#This Row],[Class]]="B", WORKDAY(Main[[#This Row],[Tech Start Date]],15),IF(Main[[#This Row],[Class]]="A",WORKDAY(Main[[#This Row],[Tech Start Date]],5),""))))</f>
        <v/>
      </c>
      <c r="P188" s="77" t="str">
        <f>IF(Main[[#This Row],[Tech Start Date]]&lt;1/1/1990,"",IF(Main[[#This Row],[Class]]="C",WORKDAY(Main[[#This Row],[Tech Start Date]],28),IF(Main[[#This Row],[Class]]="B", WORKDAY(Main[[#This Row],[Tech Start Date]],19),IF(Main[[#This Row],[Class]]="A",WORKDAY(Main[[#This Row],[Tech Start Date]],9),""))))</f>
        <v/>
      </c>
      <c r="Q188" s="74">
        <v>40908</v>
      </c>
      <c r="R188" s="74"/>
      <c r="S188" s="72" t="s">
        <v>6</v>
      </c>
      <c r="T188" s="80" t="s">
        <v>4</v>
      </c>
      <c r="U188" s="72" t="s">
        <v>29</v>
      </c>
      <c r="V188" s="72" t="s">
        <v>1942</v>
      </c>
      <c r="W188" s="72" t="s">
        <v>1937</v>
      </c>
      <c r="X188" s="72" t="s">
        <v>81</v>
      </c>
      <c r="Y188" s="72" t="s">
        <v>3056</v>
      </c>
      <c r="Z188" s="72" t="s">
        <v>81</v>
      </c>
      <c r="AA188" s="147" t="s">
        <v>81</v>
      </c>
    </row>
    <row r="189" spans="1:27" ht="18.600000000000001" customHeight="1">
      <c r="A189" s="140" t="str">
        <f>IF(priority(Main[[#This Row],[Comments]])&lt;&gt;0, priority(Main[[#This Row],[Comments]]),"")</f>
        <v/>
      </c>
      <c r="B189" s="90" t="s">
        <v>1085</v>
      </c>
      <c r="C189" s="72" t="s">
        <v>31</v>
      </c>
      <c r="D189" s="73" t="s">
        <v>115</v>
      </c>
      <c r="E189" s="74"/>
      <c r="F189" s="74"/>
      <c r="G189" s="75" t="str">
        <f>IF(stdProdLT(Main[[#This Row],[Comments]])=0.1,"N/A",IF(stdProdLT(Main[[#This Row],[Comments]])=0,"",stdProdLT(Main[[#This Row],[Comments]])))</f>
        <v/>
      </c>
      <c r="H189" s="76" t="str">
        <f>IF(AND(Main[[#This Row],[In Stock Date]]&lt;&gt;"",Main[[#This Row],[Revised Due Date]]&lt;&gt;""),Main[[#This Row],[In Stock Date]]-Main[[#This Row],[Revised Due Date]],"")</f>
        <v/>
      </c>
      <c r="I189" s="72" t="s">
        <v>4</v>
      </c>
      <c r="J189" s="72" t="s">
        <v>4</v>
      </c>
      <c r="K189" s="72" t="s">
        <v>4</v>
      </c>
      <c r="L189" s="74"/>
      <c r="M189" s="77" t="str">
        <f>IF(Main[[#This Row],[Tech Start Date]]&lt;1/1/1990,"",IF(Main[[#This Row],[Class]]="C",WORKDAY(Main[[#This Row],[Tech Start Date]],9),IF(Main[[#This Row],[Class]]="B", WORKDAY(Main[[#This Row],[Tech Start Date]],6),IF(Main[[#This Row],[Class]]="A",WORKDAY(Main[[#This Row],[Tech Start Date]],2),""))))</f>
        <v/>
      </c>
      <c r="N189" s="77" t="str">
        <f>IF(Main[[#This Row],[Tech Start Date]]&lt;1/1/1990,"",IF(Main[[#This Row],[Class]]="C",WORKDAY(Main[[#This Row],[Tech Start Date]],19),IF(Main[[#This Row],[Class]]="B", WORKDAY(Main[[#This Row],[Tech Start Date]],12),IF(Main[[#This Row],[Class]]="A",WORKDAY(Main[[#This Row],[Tech Start Date]],4),""))))</f>
        <v/>
      </c>
      <c r="O189" s="77" t="str">
        <f>IF(Main[[#This Row],[Tech Start Date]]&lt;1/1/1990,"",IF(Main[[#This Row],[Class]]="C",WORKDAY(Main[[#This Row],[Tech Start Date]],23),IF(Main[[#This Row],[Class]]="B", WORKDAY(Main[[#This Row],[Tech Start Date]],15),IF(Main[[#This Row],[Class]]="A",WORKDAY(Main[[#This Row],[Tech Start Date]],5),""))))</f>
        <v/>
      </c>
      <c r="P189" s="77" t="str">
        <f>IF(Main[[#This Row],[Tech Start Date]]&lt;1/1/1990,"",IF(Main[[#This Row],[Class]]="C",WORKDAY(Main[[#This Row],[Tech Start Date]],28),IF(Main[[#This Row],[Class]]="B", WORKDAY(Main[[#This Row],[Tech Start Date]],19),IF(Main[[#This Row],[Class]]="A",WORKDAY(Main[[#This Row],[Tech Start Date]],9),""))))</f>
        <v/>
      </c>
      <c r="Q189" s="74">
        <v>40318</v>
      </c>
      <c r="R189" s="74"/>
      <c r="S189" s="72" t="s">
        <v>11</v>
      </c>
      <c r="T189" s="80" t="s">
        <v>4</v>
      </c>
      <c r="U189" s="72" t="s">
        <v>14</v>
      </c>
      <c r="V189" s="72" t="s">
        <v>1935</v>
      </c>
      <c r="W189" s="72" t="s">
        <v>1934</v>
      </c>
      <c r="X189" s="72" t="s">
        <v>2914</v>
      </c>
      <c r="Y189" s="72" t="s">
        <v>4</v>
      </c>
      <c r="Z189" s="72" t="s">
        <v>4</v>
      </c>
      <c r="AA189" s="147" t="s">
        <v>2914</v>
      </c>
    </row>
    <row r="190" spans="1:27" ht="18.600000000000001" customHeight="1">
      <c r="A190" s="140" t="str">
        <f>IF(priority(Main[[#This Row],[Comments]])&lt;&gt;0, priority(Main[[#This Row],[Comments]]),"")</f>
        <v/>
      </c>
      <c r="B190" s="90" t="s">
        <v>2357</v>
      </c>
      <c r="C190" s="72" t="s">
        <v>31</v>
      </c>
      <c r="D190" s="73" t="s">
        <v>2358</v>
      </c>
      <c r="E190" s="74"/>
      <c r="F190" s="74">
        <v>41000</v>
      </c>
      <c r="G190" s="75">
        <f>IF(stdProdLT(Main[[#This Row],[Comments]])=0.1,"N/A",IF(stdProdLT(Main[[#This Row],[Comments]])=0,"",stdProdLT(Main[[#This Row],[Comments]])))</f>
        <v>140</v>
      </c>
      <c r="H190" s="76" t="str">
        <f>IF(AND(Main[[#This Row],[In Stock Date]]&lt;&gt;"",Main[[#This Row],[Revised Due Date]]&lt;&gt;""),Main[[#This Row],[In Stock Date]]-Main[[#This Row],[Revised Due Date]],"")</f>
        <v/>
      </c>
      <c r="I190" s="72" t="s">
        <v>4</v>
      </c>
      <c r="J190" s="72" t="s">
        <v>4</v>
      </c>
      <c r="K190" s="72" t="s">
        <v>4</v>
      </c>
      <c r="L190" s="74"/>
      <c r="M190" s="77" t="str">
        <f>IF(Main[[#This Row],[Tech Start Date]]&lt;1/1/1990,"",IF(Main[[#This Row],[Class]]="C",WORKDAY(Main[[#This Row],[Tech Start Date]],9),IF(Main[[#This Row],[Class]]="B", WORKDAY(Main[[#This Row],[Tech Start Date]],6),IF(Main[[#This Row],[Class]]="A",WORKDAY(Main[[#This Row],[Tech Start Date]],2),""))))</f>
        <v/>
      </c>
      <c r="N190" s="77" t="str">
        <f>IF(Main[[#This Row],[Tech Start Date]]&lt;1/1/1990,"",IF(Main[[#This Row],[Class]]="C",WORKDAY(Main[[#This Row],[Tech Start Date]],19),IF(Main[[#This Row],[Class]]="B", WORKDAY(Main[[#This Row],[Tech Start Date]],12),IF(Main[[#This Row],[Class]]="A",WORKDAY(Main[[#This Row],[Tech Start Date]],4),""))))</f>
        <v/>
      </c>
      <c r="O190" s="77" t="str">
        <f>IF(Main[[#This Row],[Tech Start Date]]&lt;1/1/1990,"",IF(Main[[#This Row],[Class]]="C",WORKDAY(Main[[#This Row],[Tech Start Date]],23),IF(Main[[#This Row],[Class]]="B", WORKDAY(Main[[#This Row],[Tech Start Date]],15),IF(Main[[#This Row],[Class]]="A",WORKDAY(Main[[#This Row],[Tech Start Date]],5),""))))</f>
        <v/>
      </c>
      <c r="P190" s="77" t="str">
        <f>IF(Main[[#This Row],[Tech Start Date]]&lt;1/1/1990,"",IF(Main[[#This Row],[Class]]="C",WORKDAY(Main[[#This Row],[Tech Start Date]],28),IF(Main[[#This Row],[Class]]="B", WORKDAY(Main[[#This Row],[Tech Start Date]],19),IF(Main[[#This Row],[Class]]="A",WORKDAY(Main[[#This Row],[Tech Start Date]],9),""))))</f>
        <v/>
      </c>
      <c r="Q190" s="74">
        <v>40916</v>
      </c>
      <c r="R190" s="74"/>
      <c r="S190" s="72" t="s">
        <v>11</v>
      </c>
      <c r="T190" s="80" t="s">
        <v>2359</v>
      </c>
      <c r="U190" s="72" t="s">
        <v>14</v>
      </c>
      <c r="V190" s="72" t="s">
        <v>1942</v>
      </c>
      <c r="W190" s="72" t="s">
        <v>1938</v>
      </c>
      <c r="X190" s="72" t="s">
        <v>2924</v>
      </c>
      <c r="Y190" s="72" t="s">
        <v>4</v>
      </c>
      <c r="Z190" s="72" t="s">
        <v>4</v>
      </c>
      <c r="AA190" s="147" t="s">
        <v>2924</v>
      </c>
    </row>
    <row r="191" spans="1:27" ht="18.600000000000001" customHeight="1">
      <c r="A191" s="140" t="str">
        <f>IF(priority(Main[[#This Row],[Comments]])&lt;&gt;0, priority(Main[[#This Row],[Comments]]),"")</f>
        <v/>
      </c>
      <c r="B191" s="90" t="s">
        <v>2030</v>
      </c>
      <c r="C191" s="72" t="s">
        <v>4</v>
      </c>
      <c r="D191" s="73" t="s">
        <v>2031</v>
      </c>
      <c r="E191" s="74"/>
      <c r="F191" s="74"/>
      <c r="G191" s="75" t="str">
        <f>IF(stdProdLT(Main[[#This Row],[Comments]])=0.1,"N/A",IF(stdProdLT(Main[[#This Row],[Comments]])=0,"",stdProdLT(Main[[#This Row],[Comments]])))</f>
        <v/>
      </c>
      <c r="H191" s="76" t="str">
        <f>IF(AND(Main[[#This Row],[In Stock Date]]&lt;&gt;"",Main[[#This Row],[Revised Due Date]]&lt;&gt;""),Main[[#This Row],[In Stock Date]]-Main[[#This Row],[Revised Due Date]],"")</f>
        <v/>
      </c>
      <c r="I191" s="72" t="s">
        <v>4</v>
      </c>
      <c r="J191" s="72" t="s">
        <v>4</v>
      </c>
      <c r="K191" s="81" t="s">
        <v>4</v>
      </c>
      <c r="L191" s="74"/>
      <c r="M191" s="77" t="str">
        <f>IF(Main[[#This Row],[Tech Start Date]]&lt;1/1/1990,"",IF(Main[[#This Row],[Class]]="C",WORKDAY(Main[[#This Row],[Tech Start Date]],9),IF(Main[[#This Row],[Class]]="B", WORKDAY(Main[[#This Row],[Tech Start Date]],6),IF(Main[[#This Row],[Class]]="A",WORKDAY(Main[[#This Row],[Tech Start Date]],2),""))))</f>
        <v/>
      </c>
      <c r="N191" s="77" t="str">
        <f>IF(Main[[#This Row],[Tech Start Date]]&lt;1/1/1990,"",IF(Main[[#This Row],[Class]]="C",WORKDAY(Main[[#This Row],[Tech Start Date]],19),IF(Main[[#This Row],[Class]]="B", WORKDAY(Main[[#This Row],[Tech Start Date]],12),IF(Main[[#This Row],[Class]]="A",WORKDAY(Main[[#This Row],[Tech Start Date]],4),""))))</f>
        <v/>
      </c>
      <c r="O191" s="77" t="str">
        <f>IF(Main[[#This Row],[Tech Start Date]]&lt;1/1/1990,"",IF(Main[[#This Row],[Class]]="C",WORKDAY(Main[[#This Row],[Tech Start Date]],23),IF(Main[[#This Row],[Class]]="B", WORKDAY(Main[[#This Row],[Tech Start Date]],15),IF(Main[[#This Row],[Class]]="A",WORKDAY(Main[[#This Row],[Tech Start Date]],5),""))))</f>
        <v/>
      </c>
      <c r="P191" s="77" t="str">
        <f>IF(Main[[#This Row],[Tech Start Date]]&lt;1/1/1990,"",IF(Main[[#This Row],[Class]]="C",WORKDAY(Main[[#This Row],[Tech Start Date]],28),IF(Main[[#This Row],[Class]]="B", WORKDAY(Main[[#This Row],[Tech Start Date]],19),IF(Main[[#This Row],[Class]]="A",WORKDAY(Main[[#This Row],[Tech Start Date]],9),""))))</f>
        <v/>
      </c>
      <c r="Q191" s="74"/>
      <c r="R191" s="74"/>
      <c r="S191" s="72" t="s">
        <v>4</v>
      </c>
      <c r="T191" s="80" t="s">
        <v>4</v>
      </c>
      <c r="U191" s="72" t="s">
        <v>14</v>
      </c>
      <c r="V191" s="72" t="s">
        <v>1935</v>
      </c>
      <c r="W191" s="72" t="s">
        <v>1934</v>
      </c>
      <c r="X191" s="72" t="s">
        <v>2925</v>
      </c>
      <c r="Y191" s="72" t="s">
        <v>3058</v>
      </c>
      <c r="Z191" s="72" t="s">
        <v>4</v>
      </c>
      <c r="AA191" s="147" t="s">
        <v>2925</v>
      </c>
    </row>
    <row r="192" spans="1:27" ht="18.600000000000001" customHeight="1">
      <c r="A192" s="140" t="str">
        <f>IF(priority(Main[[#This Row],[Comments]])&lt;&gt;0, priority(Main[[#This Row],[Comments]]),"")</f>
        <v/>
      </c>
      <c r="B192" s="90" t="s">
        <v>1087</v>
      </c>
      <c r="C192" s="72" t="s">
        <v>42</v>
      </c>
      <c r="D192" s="73" t="s">
        <v>119</v>
      </c>
      <c r="E192" s="74"/>
      <c r="F192" s="74"/>
      <c r="G192" s="75" t="str">
        <f>IF(stdProdLT(Main[[#This Row],[Comments]])=0.1,"N/A",IF(stdProdLT(Main[[#This Row],[Comments]])=0,"",stdProdLT(Main[[#This Row],[Comments]])))</f>
        <v/>
      </c>
      <c r="H192" s="76" t="str">
        <f>IF(AND(Main[[#This Row],[In Stock Date]]&lt;&gt;"",Main[[#This Row],[Revised Due Date]]&lt;&gt;""),Main[[#This Row],[In Stock Date]]-Main[[#This Row],[Revised Due Date]],"")</f>
        <v/>
      </c>
      <c r="I192" s="72" t="s">
        <v>4</v>
      </c>
      <c r="J192" s="72" t="s">
        <v>4</v>
      </c>
      <c r="K192" s="72" t="s">
        <v>4</v>
      </c>
      <c r="L192" s="74"/>
      <c r="M192" s="77" t="str">
        <f>IF(Main[[#This Row],[Tech Start Date]]&lt;1/1/1990,"",IF(Main[[#This Row],[Class]]="C",WORKDAY(Main[[#This Row],[Tech Start Date]],9),IF(Main[[#This Row],[Class]]="B", WORKDAY(Main[[#This Row],[Tech Start Date]],6),IF(Main[[#This Row],[Class]]="A",WORKDAY(Main[[#This Row],[Tech Start Date]],2),""))))</f>
        <v/>
      </c>
      <c r="N192" s="77" t="str">
        <f>IF(Main[[#This Row],[Tech Start Date]]&lt;1/1/1990,"",IF(Main[[#This Row],[Class]]="C",WORKDAY(Main[[#This Row],[Tech Start Date]],19),IF(Main[[#This Row],[Class]]="B", WORKDAY(Main[[#This Row],[Tech Start Date]],12),IF(Main[[#This Row],[Class]]="A",WORKDAY(Main[[#This Row],[Tech Start Date]],4),""))))</f>
        <v/>
      </c>
      <c r="O192" s="77" t="str">
        <f>IF(Main[[#This Row],[Tech Start Date]]&lt;1/1/1990,"",IF(Main[[#This Row],[Class]]="C",WORKDAY(Main[[#This Row],[Tech Start Date]],23),IF(Main[[#This Row],[Class]]="B", WORKDAY(Main[[#This Row],[Tech Start Date]],15),IF(Main[[#This Row],[Class]]="A",WORKDAY(Main[[#This Row],[Tech Start Date]],5),""))))</f>
        <v/>
      </c>
      <c r="P192" s="77" t="str">
        <f>IF(Main[[#This Row],[Tech Start Date]]&lt;1/1/1990,"",IF(Main[[#This Row],[Class]]="C",WORKDAY(Main[[#This Row],[Tech Start Date]],28),IF(Main[[#This Row],[Class]]="B", WORKDAY(Main[[#This Row],[Tech Start Date]],19),IF(Main[[#This Row],[Class]]="A",WORKDAY(Main[[#This Row],[Tech Start Date]],9),""))))</f>
        <v/>
      </c>
      <c r="Q192" s="74"/>
      <c r="R192" s="74"/>
      <c r="S192" s="72" t="s">
        <v>11</v>
      </c>
      <c r="T192" s="80" t="s">
        <v>4</v>
      </c>
      <c r="U192" s="72" t="s">
        <v>14</v>
      </c>
      <c r="V192" s="72" t="s">
        <v>1933</v>
      </c>
      <c r="W192" s="72" t="s">
        <v>1940</v>
      </c>
      <c r="X192" s="72" t="s">
        <v>403</v>
      </c>
      <c r="Y192" s="72" t="s">
        <v>3035</v>
      </c>
      <c r="Z192" s="72" t="s">
        <v>4</v>
      </c>
      <c r="AA192" s="147" t="s">
        <v>403</v>
      </c>
    </row>
    <row r="193" spans="1:27" ht="18.600000000000001" customHeight="1">
      <c r="A193" s="140" t="str">
        <f>IF(priority(Main[[#This Row],[Comments]])&lt;&gt;0, priority(Main[[#This Row],[Comments]]),"")</f>
        <v/>
      </c>
      <c r="B193" s="90" t="s">
        <v>1503</v>
      </c>
      <c r="C193" s="72" t="s">
        <v>4</v>
      </c>
      <c r="D193" s="73" t="s">
        <v>577</v>
      </c>
      <c r="E193" s="74">
        <v>40422.460902777777</v>
      </c>
      <c r="F193" s="74"/>
      <c r="G193" s="75" t="str">
        <f>IF(stdProdLT(Main[[#This Row],[Comments]])=0.1,"N/A",IF(stdProdLT(Main[[#This Row],[Comments]])=0,"",stdProdLT(Main[[#This Row],[Comments]])))</f>
        <v/>
      </c>
      <c r="H193" s="76" t="str">
        <f>IF(AND(Main[[#This Row],[In Stock Date]]&lt;&gt;"",Main[[#This Row],[Revised Due Date]]&lt;&gt;""),Main[[#This Row],[In Stock Date]]-Main[[#This Row],[Revised Due Date]],"")</f>
        <v/>
      </c>
      <c r="I193" s="72" t="s">
        <v>4</v>
      </c>
      <c r="J193" s="72" t="s">
        <v>28</v>
      </c>
      <c r="K193" s="81" t="s">
        <v>4</v>
      </c>
      <c r="L193" s="74"/>
      <c r="M193" s="77" t="str">
        <f>IF(Main[[#This Row],[Tech Start Date]]&lt;1/1/1990,"",IF(Main[[#This Row],[Class]]="C",WORKDAY(Main[[#This Row],[Tech Start Date]],9),IF(Main[[#This Row],[Class]]="B", WORKDAY(Main[[#This Row],[Tech Start Date]],6),IF(Main[[#This Row],[Class]]="A",WORKDAY(Main[[#This Row],[Tech Start Date]],2),""))))</f>
        <v/>
      </c>
      <c r="N193" s="77" t="str">
        <f>IF(Main[[#This Row],[Tech Start Date]]&lt;1/1/1990,"",IF(Main[[#This Row],[Class]]="C",WORKDAY(Main[[#This Row],[Tech Start Date]],19),IF(Main[[#This Row],[Class]]="B", WORKDAY(Main[[#This Row],[Tech Start Date]],12),IF(Main[[#This Row],[Class]]="A",WORKDAY(Main[[#This Row],[Tech Start Date]],4),""))))</f>
        <v/>
      </c>
      <c r="O193" s="77" t="str">
        <f>IF(Main[[#This Row],[Tech Start Date]]&lt;1/1/1990,"",IF(Main[[#This Row],[Class]]="C",WORKDAY(Main[[#This Row],[Tech Start Date]],23),IF(Main[[#This Row],[Class]]="B", WORKDAY(Main[[#This Row],[Tech Start Date]],15),IF(Main[[#This Row],[Class]]="A",WORKDAY(Main[[#This Row],[Tech Start Date]],5),""))))</f>
        <v/>
      </c>
      <c r="P193" s="77" t="str">
        <f>IF(Main[[#This Row],[Tech Start Date]]&lt;1/1/1990,"",IF(Main[[#This Row],[Class]]="C",WORKDAY(Main[[#This Row],[Tech Start Date]],28),IF(Main[[#This Row],[Class]]="B", WORKDAY(Main[[#This Row],[Tech Start Date]],19),IF(Main[[#This Row],[Class]]="A",WORKDAY(Main[[#This Row],[Tech Start Date]],9),""))))</f>
        <v/>
      </c>
      <c r="Q193" s="74"/>
      <c r="R193" s="74"/>
      <c r="S193" s="72" t="s">
        <v>6</v>
      </c>
      <c r="T193" s="80" t="s">
        <v>4</v>
      </c>
      <c r="U193" s="72" t="s">
        <v>29</v>
      </c>
      <c r="V193" s="72" t="s">
        <v>1932</v>
      </c>
      <c r="W193" s="72" t="s">
        <v>1940</v>
      </c>
      <c r="X193" s="72" t="s">
        <v>2074</v>
      </c>
      <c r="Y193" s="72" t="s">
        <v>3059</v>
      </c>
      <c r="Z193" s="72" t="s">
        <v>129</v>
      </c>
      <c r="AA193" s="147" t="s">
        <v>2074</v>
      </c>
    </row>
    <row r="194" spans="1:27" ht="18.600000000000001" customHeight="1">
      <c r="A194" s="140" t="str">
        <f>IF(priority(Main[[#This Row],[Comments]])&lt;&gt;0, priority(Main[[#This Row],[Comments]]),"")</f>
        <v/>
      </c>
      <c r="B194" s="90" t="s">
        <v>2079</v>
      </c>
      <c r="C194" s="72" t="s">
        <v>4</v>
      </c>
      <c r="D194" s="73" t="s">
        <v>2080</v>
      </c>
      <c r="E194" s="74"/>
      <c r="F194" s="74"/>
      <c r="G194" s="75" t="str">
        <f>IF(stdProdLT(Main[[#This Row],[Comments]])=0.1,"N/A",IF(stdProdLT(Main[[#This Row],[Comments]])=0,"",stdProdLT(Main[[#This Row],[Comments]])))</f>
        <v/>
      </c>
      <c r="H194" s="76" t="str">
        <f>IF(AND(Main[[#This Row],[In Stock Date]]&lt;&gt;"",Main[[#This Row],[Revised Due Date]]&lt;&gt;""),Main[[#This Row],[In Stock Date]]-Main[[#This Row],[Revised Due Date]],"")</f>
        <v/>
      </c>
      <c r="I194" s="72" t="s">
        <v>434</v>
      </c>
      <c r="J194" s="72" t="s">
        <v>70</v>
      </c>
      <c r="K194" s="81" t="s">
        <v>1941</v>
      </c>
      <c r="L194" s="74"/>
      <c r="M194" s="77" t="str">
        <f>IF(Main[[#This Row],[Tech Start Date]]&lt;1/1/1990,"",IF(Main[[#This Row],[Class]]="C",WORKDAY(Main[[#This Row],[Tech Start Date]],9),IF(Main[[#This Row],[Class]]="B", WORKDAY(Main[[#This Row],[Tech Start Date]],6),IF(Main[[#This Row],[Class]]="A",WORKDAY(Main[[#This Row],[Tech Start Date]],2),""))))</f>
        <v/>
      </c>
      <c r="N194" s="77" t="str">
        <f>IF(Main[[#This Row],[Tech Start Date]]&lt;1/1/1990,"",IF(Main[[#This Row],[Class]]="C",WORKDAY(Main[[#This Row],[Tech Start Date]],19),IF(Main[[#This Row],[Class]]="B", WORKDAY(Main[[#This Row],[Tech Start Date]],12),IF(Main[[#This Row],[Class]]="A",WORKDAY(Main[[#This Row],[Tech Start Date]],4),""))))</f>
        <v/>
      </c>
      <c r="O194" s="77" t="str">
        <f>IF(Main[[#This Row],[Tech Start Date]]&lt;1/1/1990,"",IF(Main[[#This Row],[Class]]="C",WORKDAY(Main[[#This Row],[Tech Start Date]],23),IF(Main[[#This Row],[Class]]="B", WORKDAY(Main[[#This Row],[Tech Start Date]],15),IF(Main[[#This Row],[Class]]="A",WORKDAY(Main[[#This Row],[Tech Start Date]],5),""))))</f>
        <v/>
      </c>
      <c r="P194" s="77" t="str">
        <f>IF(Main[[#This Row],[Tech Start Date]]&lt;1/1/1990,"",IF(Main[[#This Row],[Class]]="C",WORKDAY(Main[[#This Row],[Tech Start Date]],28),IF(Main[[#This Row],[Class]]="B", WORKDAY(Main[[#This Row],[Tech Start Date]],19),IF(Main[[#This Row],[Class]]="A",WORKDAY(Main[[#This Row],[Tech Start Date]],9),""))))</f>
        <v/>
      </c>
      <c r="Q194" s="74">
        <v>40786</v>
      </c>
      <c r="R194" s="74"/>
      <c r="S194" s="72" t="s">
        <v>6</v>
      </c>
      <c r="T194" s="80" t="s">
        <v>4</v>
      </c>
      <c r="U194" s="72" t="s">
        <v>14</v>
      </c>
      <c r="V194" s="72" t="s">
        <v>1935</v>
      </c>
      <c r="W194" s="72" t="s">
        <v>1936</v>
      </c>
      <c r="X194" s="72" t="s">
        <v>30</v>
      </c>
      <c r="Y194" s="72" t="s">
        <v>3060</v>
      </c>
      <c r="Z194" s="72" t="s">
        <v>44</v>
      </c>
      <c r="AA194" s="147" t="s">
        <v>3577</v>
      </c>
    </row>
    <row r="195" spans="1:27" ht="18.600000000000001" customHeight="1">
      <c r="A195" s="140" t="str">
        <f>IF(priority(Main[[#This Row],[Comments]])&lt;&gt;0, priority(Main[[#This Row],[Comments]]),"")</f>
        <v/>
      </c>
      <c r="B195" s="90" t="s">
        <v>1461</v>
      </c>
      <c r="C195" s="72" t="s">
        <v>4</v>
      </c>
      <c r="D195" s="73" t="s">
        <v>2327</v>
      </c>
      <c r="E195" s="74"/>
      <c r="F195" s="74"/>
      <c r="G195" s="75" t="str">
        <f>IF(stdProdLT(Main[[#This Row],[Comments]])=0.1,"N/A",IF(stdProdLT(Main[[#This Row],[Comments]])=0,"",stdProdLT(Main[[#This Row],[Comments]])))</f>
        <v/>
      </c>
      <c r="H195" s="76" t="str">
        <f>IF(AND(Main[[#This Row],[In Stock Date]]&lt;&gt;"",Main[[#This Row],[Revised Due Date]]&lt;&gt;""),Main[[#This Row],[In Stock Date]]-Main[[#This Row],[Revised Due Date]],"")</f>
        <v/>
      </c>
      <c r="I195" s="72" t="s">
        <v>30</v>
      </c>
      <c r="J195" s="72" t="s">
        <v>28</v>
      </c>
      <c r="K195" s="72" t="s">
        <v>1941</v>
      </c>
      <c r="L195" s="74"/>
      <c r="M195" s="77" t="str">
        <f>IF(Main[[#This Row],[Tech Start Date]]&lt;1/1/1990,"",IF(Main[[#This Row],[Class]]="C",WORKDAY(Main[[#This Row],[Tech Start Date]],9),IF(Main[[#This Row],[Class]]="B", WORKDAY(Main[[#This Row],[Tech Start Date]],6),IF(Main[[#This Row],[Class]]="A",WORKDAY(Main[[#This Row],[Tech Start Date]],2),""))))</f>
        <v/>
      </c>
      <c r="N195" s="77" t="str">
        <f>IF(Main[[#This Row],[Tech Start Date]]&lt;1/1/1990,"",IF(Main[[#This Row],[Class]]="C",WORKDAY(Main[[#This Row],[Tech Start Date]],19),IF(Main[[#This Row],[Class]]="B", WORKDAY(Main[[#This Row],[Tech Start Date]],12),IF(Main[[#This Row],[Class]]="A",WORKDAY(Main[[#This Row],[Tech Start Date]],4),""))))</f>
        <v/>
      </c>
      <c r="O195" s="77" t="str">
        <f>IF(Main[[#This Row],[Tech Start Date]]&lt;1/1/1990,"",IF(Main[[#This Row],[Class]]="C",WORKDAY(Main[[#This Row],[Tech Start Date]],23),IF(Main[[#This Row],[Class]]="B", WORKDAY(Main[[#This Row],[Tech Start Date]],15),IF(Main[[#This Row],[Class]]="A",WORKDAY(Main[[#This Row],[Tech Start Date]],5),""))))</f>
        <v/>
      </c>
      <c r="P195" s="77" t="str">
        <f>IF(Main[[#This Row],[Tech Start Date]]&lt;1/1/1990,"",IF(Main[[#This Row],[Class]]="C",WORKDAY(Main[[#This Row],[Tech Start Date]],28),IF(Main[[#This Row],[Class]]="B", WORKDAY(Main[[#This Row],[Tech Start Date]],19),IF(Main[[#This Row],[Class]]="A",WORKDAY(Main[[#This Row],[Tech Start Date]],9),""))))</f>
        <v/>
      </c>
      <c r="Q195" s="74">
        <v>40606</v>
      </c>
      <c r="R195" s="74"/>
      <c r="S195" s="72" t="s">
        <v>6</v>
      </c>
      <c r="T195" s="80" t="s">
        <v>4</v>
      </c>
      <c r="U195" s="72" t="s">
        <v>14</v>
      </c>
      <c r="V195" s="72" t="s">
        <v>1935</v>
      </c>
      <c r="W195" s="72" t="s">
        <v>1936</v>
      </c>
      <c r="X195" s="72" t="s">
        <v>2920</v>
      </c>
      <c r="Y195" s="72" t="s">
        <v>3052</v>
      </c>
      <c r="Z195" s="72" t="s">
        <v>30</v>
      </c>
      <c r="AA195" s="147" t="s">
        <v>2920</v>
      </c>
    </row>
    <row r="196" spans="1:27" ht="18.600000000000001" customHeight="1">
      <c r="A196" s="140" t="str">
        <f>IF(priority(Main[[#This Row],[Comments]])&lt;&gt;0, priority(Main[[#This Row],[Comments]]),"")</f>
        <v/>
      </c>
      <c r="B196" s="90" t="s">
        <v>1091</v>
      </c>
      <c r="C196" s="72" t="s">
        <v>67</v>
      </c>
      <c r="D196" s="73" t="s">
        <v>121</v>
      </c>
      <c r="E196" s="74">
        <v>40707.647118055553</v>
      </c>
      <c r="F196" s="74"/>
      <c r="G196" s="75" t="str">
        <f>IF(stdProdLT(Main[[#This Row],[Comments]])=0.1,"N/A",IF(stdProdLT(Main[[#This Row],[Comments]])=0,"",stdProdLT(Main[[#This Row],[Comments]])))</f>
        <v/>
      </c>
      <c r="H196" s="76" t="str">
        <f>IF(AND(Main[[#This Row],[In Stock Date]]&lt;&gt;"",Main[[#This Row],[Revised Due Date]]&lt;&gt;""),Main[[#This Row],[In Stock Date]]-Main[[#This Row],[Revised Due Date]],"")</f>
        <v/>
      </c>
      <c r="I196" s="72" t="s">
        <v>4</v>
      </c>
      <c r="J196" s="72" t="s">
        <v>4</v>
      </c>
      <c r="K196" s="72" t="s">
        <v>4</v>
      </c>
      <c r="L196" s="74"/>
      <c r="M196" s="77" t="str">
        <f>IF(Main[[#This Row],[Tech Start Date]]&lt;1/1/1990,"",IF(Main[[#This Row],[Class]]="C",WORKDAY(Main[[#This Row],[Tech Start Date]],9),IF(Main[[#This Row],[Class]]="B", WORKDAY(Main[[#This Row],[Tech Start Date]],6),IF(Main[[#This Row],[Class]]="A",WORKDAY(Main[[#This Row],[Tech Start Date]],2),""))))</f>
        <v/>
      </c>
      <c r="N196" s="77" t="str">
        <f>IF(Main[[#This Row],[Tech Start Date]]&lt;1/1/1990,"",IF(Main[[#This Row],[Class]]="C",WORKDAY(Main[[#This Row],[Tech Start Date]],19),IF(Main[[#This Row],[Class]]="B", WORKDAY(Main[[#This Row],[Tech Start Date]],12),IF(Main[[#This Row],[Class]]="A",WORKDAY(Main[[#This Row],[Tech Start Date]],4),""))))</f>
        <v/>
      </c>
      <c r="O196" s="77" t="str">
        <f>IF(Main[[#This Row],[Tech Start Date]]&lt;1/1/1990,"",IF(Main[[#This Row],[Class]]="C",WORKDAY(Main[[#This Row],[Tech Start Date]],23),IF(Main[[#This Row],[Class]]="B", WORKDAY(Main[[#This Row],[Tech Start Date]],15),IF(Main[[#This Row],[Class]]="A",WORKDAY(Main[[#This Row],[Tech Start Date]],5),""))))</f>
        <v/>
      </c>
      <c r="P196" s="77" t="str">
        <f>IF(Main[[#This Row],[Tech Start Date]]&lt;1/1/1990,"",IF(Main[[#This Row],[Class]]="C",WORKDAY(Main[[#This Row],[Tech Start Date]],28),IF(Main[[#This Row],[Class]]="B", WORKDAY(Main[[#This Row],[Tech Start Date]],19),IF(Main[[#This Row],[Class]]="A",WORKDAY(Main[[#This Row],[Tech Start Date]],9),""))))</f>
        <v/>
      </c>
      <c r="Q196" s="74">
        <v>40755</v>
      </c>
      <c r="R196" s="74"/>
      <c r="S196" s="72" t="s">
        <v>17</v>
      </c>
      <c r="T196" s="80" t="s">
        <v>4</v>
      </c>
      <c r="U196" s="72" t="s">
        <v>7</v>
      </c>
      <c r="V196" s="72" t="s">
        <v>1935</v>
      </c>
      <c r="W196" s="72" t="s">
        <v>1937</v>
      </c>
      <c r="X196" s="72" t="s">
        <v>559</v>
      </c>
      <c r="Y196" s="72" t="s">
        <v>3039</v>
      </c>
      <c r="Z196" s="72" t="s">
        <v>4</v>
      </c>
      <c r="AA196" s="147" t="s">
        <v>559</v>
      </c>
    </row>
    <row r="197" spans="1:27" ht="18.600000000000001" customHeight="1">
      <c r="A197" s="140" t="str">
        <f>IF(priority(Main[[#This Row],[Comments]])&lt;&gt;0, priority(Main[[#This Row],[Comments]]),"")</f>
        <v/>
      </c>
      <c r="B197" s="90" t="s">
        <v>1089</v>
      </c>
      <c r="C197" s="72" t="s">
        <v>4</v>
      </c>
      <c r="D197" s="73" t="s">
        <v>120</v>
      </c>
      <c r="E197" s="74"/>
      <c r="F197" s="74"/>
      <c r="G197" s="75" t="str">
        <f>IF(stdProdLT(Main[[#This Row],[Comments]])=0.1,"N/A",IF(stdProdLT(Main[[#This Row],[Comments]])=0,"",stdProdLT(Main[[#This Row],[Comments]])))</f>
        <v/>
      </c>
      <c r="H197" s="76" t="str">
        <f>IF(AND(Main[[#This Row],[In Stock Date]]&lt;&gt;"",Main[[#This Row],[Revised Due Date]]&lt;&gt;""),Main[[#This Row],[In Stock Date]]-Main[[#This Row],[Revised Due Date]],"")</f>
        <v/>
      </c>
      <c r="I197" s="72" t="s">
        <v>4</v>
      </c>
      <c r="J197" s="72" t="s">
        <v>4</v>
      </c>
      <c r="K197" s="72" t="s">
        <v>4</v>
      </c>
      <c r="L197" s="74"/>
      <c r="M197" s="77" t="str">
        <f>IF(Main[[#This Row],[Tech Start Date]]&lt;1/1/1990,"",IF(Main[[#This Row],[Class]]="C",WORKDAY(Main[[#This Row],[Tech Start Date]],9),IF(Main[[#This Row],[Class]]="B", WORKDAY(Main[[#This Row],[Tech Start Date]],6),IF(Main[[#This Row],[Class]]="A",WORKDAY(Main[[#This Row],[Tech Start Date]],2),""))))</f>
        <v/>
      </c>
      <c r="N197" s="77" t="str">
        <f>IF(Main[[#This Row],[Tech Start Date]]&lt;1/1/1990,"",IF(Main[[#This Row],[Class]]="C",WORKDAY(Main[[#This Row],[Tech Start Date]],19),IF(Main[[#This Row],[Class]]="B", WORKDAY(Main[[#This Row],[Tech Start Date]],12),IF(Main[[#This Row],[Class]]="A",WORKDAY(Main[[#This Row],[Tech Start Date]],4),""))))</f>
        <v/>
      </c>
      <c r="O197" s="77" t="str">
        <f>IF(Main[[#This Row],[Tech Start Date]]&lt;1/1/1990,"",IF(Main[[#This Row],[Class]]="C",WORKDAY(Main[[#This Row],[Tech Start Date]],23),IF(Main[[#This Row],[Class]]="B", WORKDAY(Main[[#This Row],[Tech Start Date]],15),IF(Main[[#This Row],[Class]]="A",WORKDAY(Main[[#This Row],[Tech Start Date]],5),""))))</f>
        <v/>
      </c>
      <c r="P197" s="77" t="str">
        <f>IF(Main[[#This Row],[Tech Start Date]]&lt;1/1/1990,"",IF(Main[[#This Row],[Class]]="C",WORKDAY(Main[[#This Row],[Tech Start Date]],28),IF(Main[[#This Row],[Class]]="B", WORKDAY(Main[[#This Row],[Tech Start Date]],19),IF(Main[[#This Row],[Class]]="A",WORKDAY(Main[[#This Row],[Tech Start Date]],9),""))))</f>
        <v/>
      </c>
      <c r="Q197" s="74"/>
      <c r="R197" s="74"/>
      <c r="S197" s="72" t="s">
        <v>11</v>
      </c>
      <c r="T197" s="80" t="s">
        <v>4</v>
      </c>
      <c r="U197" s="72" t="s">
        <v>14</v>
      </c>
      <c r="V197" s="72" t="s">
        <v>1935</v>
      </c>
      <c r="W197" s="72" t="s">
        <v>1946</v>
      </c>
      <c r="X197" s="72" t="s">
        <v>2926</v>
      </c>
      <c r="Y197" s="72" t="s">
        <v>3061</v>
      </c>
      <c r="Z197" s="72" t="s">
        <v>4</v>
      </c>
      <c r="AA197" s="147" t="s">
        <v>2926</v>
      </c>
    </row>
    <row r="198" spans="1:27" ht="18.600000000000001" customHeight="1">
      <c r="A198" s="140" t="str">
        <f>IF(priority(Main[[#This Row],[Comments]])&lt;&gt;0, priority(Main[[#This Row],[Comments]]),"")</f>
        <v/>
      </c>
      <c r="B198" s="90" t="s">
        <v>1949</v>
      </c>
      <c r="C198" s="72" t="s">
        <v>4</v>
      </c>
      <c r="D198" s="73" t="s">
        <v>5</v>
      </c>
      <c r="E198" s="74">
        <v>40485.386250000003</v>
      </c>
      <c r="F198" s="74"/>
      <c r="G198" s="75" t="str">
        <f>IF(stdProdLT(Main[[#This Row],[Comments]])=0.1,"N/A",IF(stdProdLT(Main[[#This Row],[Comments]])=0,"",stdProdLT(Main[[#This Row],[Comments]])))</f>
        <v/>
      </c>
      <c r="H198" s="76" t="str">
        <f>IF(AND(Main[[#This Row],[In Stock Date]]&lt;&gt;"",Main[[#This Row],[Revised Due Date]]&lt;&gt;""),Main[[#This Row],[In Stock Date]]-Main[[#This Row],[Revised Due Date]],"")</f>
        <v/>
      </c>
      <c r="I198" s="72" t="s">
        <v>4</v>
      </c>
      <c r="J198" s="72" t="s">
        <v>4</v>
      </c>
      <c r="K198" s="72" t="s">
        <v>4</v>
      </c>
      <c r="L198" s="74"/>
      <c r="M198" s="77" t="str">
        <f>IF(Main[[#This Row],[Tech Start Date]]&lt;1/1/1990,"",IF(Main[[#This Row],[Class]]="C",WORKDAY(Main[[#This Row],[Tech Start Date]],9),IF(Main[[#This Row],[Class]]="B", WORKDAY(Main[[#This Row],[Tech Start Date]],6),IF(Main[[#This Row],[Class]]="A",WORKDAY(Main[[#This Row],[Tech Start Date]],2),""))))</f>
        <v/>
      </c>
      <c r="N198" s="77" t="str">
        <f>IF(Main[[#This Row],[Tech Start Date]]&lt;1/1/1990,"",IF(Main[[#This Row],[Class]]="C",WORKDAY(Main[[#This Row],[Tech Start Date]],19),IF(Main[[#This Row],[Class]]="B", WORKDAY(Main[[#This Row],[Tech Start Date]],12),IF(Main[[#This Row],[Class]]="A",WORKDAY(Main[[#This Row],[Tech Start Date]],4),""))))</f>
        <v/>
      </c>
      <c r="O198" s="77" t="str">
        <f>IF(Main[[#This Row],[Tech Start Date]]&lt;1/1/1990,"",IF(Main[[#This Row],[Class]]="C",WORKDAY(Main[[#This Row],[Tech Start Date]],23),IF(Main[[#This Row],[Class]]="B", WORKDAY(Main[[#This Row],[Tech Start Date]],15),IF(Main[[#This Row],[Class]]="A",WORKDAY(Main[[#This Row],[Tech Start Date]],5),""))))</f>
        <v/>
      </c>
      <c r="P198" s="77" t="str">
        <f>IF(Main[[#This Row],[Tech Start Date]]&lt;1/1/1990,"",IF(Main[[#This Row],[Class]]="C",WORKDAY(Main[[#This Row],[Tech Start Date]],28),IF(Main[[#This Row],[Class]]="B", WORKDAY(Main[[#This Row],[Tech Start Date]],19),IF(Main[[#This Row],[Class]]="A",WORKDAY(Main[[#This Row],[Tech Start Date]],9),""))))</f>
        <v/>
      </c>
      <c r="Q198" s="74">
        <v>40508</v>
      </c>
      <c r="R198" s="74"/>
      <c r="S198" s="72" t="s">
        <v>6</v>
      </c>
      <c r="T198" s="80" t="s">
        <v>4</v>
      </c>
      <c r="U198" s="72" t="s">
        <v>7</v>
      </c>
      <c r="V198" s="72" t="s">
        <v>1932</v>
      </c>
      <c r="W198" s="72" t="s">
        <v>4</v>
      </c>
      <c r="X198" s="72" t="s">
        <v>2903</v>
      </c>
      <c r="Y198" s="72" t="s">
        <v>3019</v>
      </c>
      <c r="Z198" s="72" t="s">
        <v>4</v>
      </c>
      <c r="AA198" s="147" t="s">
        <v>2903</v>
      </c>
    </row>
    <row r="199" spans="1:27" ht="18.600000000000001" customHeight="1">
      <c r="A199" s="140" t="str">
        <f>IF(priority(Main[[#This Row],[Comments]])&lt;&gt;0, priority(Main[[#This Row],[Comments]]),"")</f>
        <v/>
      </c>
      <c r="B199" s="90" t="s">
        <v>1020</v>
      </c>
      <c r="C199" s="72" t="s">
        <v>4</v>
      </c>
      <c r="D199" s="73" t="s">
        <v>8</v>
      </c>
      <c r="E199" s="74">
        <v>40679.251782407409</v>
      </c>
      <c r="F199" s="74"/>
      <c r="G199" s="75" t="str">
        <f>IF(stdProdLT(Main[[#This Row],[Comments]])=0.1,"N/A",IF(stdProdLT(Main[[#This Row],[Comments]])=0,"",stdProdLT(Main[[#This Row],[Comments]])))</f>
        <v/>
      </c>
      <c r="H199" s="76" t="str">
        <f>IF(AND(Main[[#This Row],[In Stock Date]]&lt;&gt;"",Main[[#This Row],[Revised Due Date]]&lt;&gt;""),Main[[#This Row],[In Stock Date]]-Main[[#This Row],[Revised Due Date]],"")</f>
        <v/>
      </c>
      <c r="I199" s="72" t="s">
        <v>4</v>
      </c>
      <c r="J199" s="72" t="s">
        <v>4</v>
      </c>
      <c r="K199" s="72" t="s">
        <v>4</v>
      </c>
      <c r="L199" s="74"/>
      <c r="M199" s="77" t="str">
        <f>IF(Main[[#This Row],[Tech Start Date]]&lt;1/1/1990,"",IF(Main[[#This Row],[Class]]="C",WORKDAY(Main[[#This Row],[Tech Start Date]],9),IF(Main[[#This Row],[Class]]="B", WORKDAY(Main[[#This Row],[Tech Start Date]],6),IF(Main[[#This Row],[Class]]="A",WORKDAY(Main[[#This Row],[Tech Start Date]],2),""))))</f>
        <v/>
      </c>
      <c r="N199" s="77" t="str">
        <f>IF(Main[[#This Row],[Tech Start Date]]&lt;1/1/1990,"",IF(Main[[#This Row],[Class]]="C",WORKDAY(Main[[#This Row],[Tech Start Date]],19),IF(Main[[#This Row],[Class]]="B", WORKDAY(Main[[#This Row],[Tech Start Date]],12),IF(Main[[#This Row],[Class]]="A",WORKDAY(Main[[#This Row],[Tech Start Date]],4),""))))</f>
        <v/>
      </c>
      <c r="O199" s="77" t="str">
        <f>IF(Main[[#This Row],[Tech Start Date]]&lt;1/1/1990,"",IF(Main[[#This Row],[Class]]="C",WORKDAY(Main[[#This Row],[Tech Start Date]],23),IF(Main[[#This Row],[Class]]="B", WORKDAY(Main[[#This Row],[Tech Start Date]],15),IF(Main[[#This Row],[Class]]="A",WORKDAY(Main[[#This Row],[Tech Start Date]],5),""))))</f>
        <v/>
      </c>
      <c r="P199" s="77" t="str">
        <f>IF(Main[[#This Row],[Tech Start Date]]&lt;1/1/1990,"",IF(Main[[#This Row],[Class]]="C",WORKDAY(Main[[#This Row],[Tech Start Date]],28),IF(Main[[#This Row],[Class]]="B", WORKDAY(Main[[#This Row],[Tech Start Date]],19),IF(Main[[#This Row],[Class]]="A",WORKDAY(Main[[#This Row],[Tech Start Date]],9),""))))</f>
        <v/>
      </c>
      <c r="Q199" s="74"/>
      <c r="R199" s="74"/>
      <c r="S199" s="72" t="s">
        <v>6</v>
      </c>
      <c r="T199" s="80" t="s">
        <v>4</v>
      </c>
      <c r="U199" s="72" t="s">
        <v>7</v>
      </c>
      <c r="V199" s="72" t="s">
        <v>1932</v>
      </c>
      <c r="W199" s="72" t="s">
        <v>4</v>
      </c>
      <c r="X199" s="72" t="s">
        <v>2906</v>
      </c>
      <c r="Y199" s="72" t="s">
        <v>3025</v>
      </c>
      <c r="Z199" s="72" t="s">
        <v>4</v>
      </c>
      <c r="AA199" s="147" t="s">
        <v>2906</v>
      </c>
    </row>
    <row r="200" spans="1:27" ht="18.600000000000001" customHeight="1">
      <c r="A200" s="140" t="str">
        <f>IF(priority(Main[[#This Row],[Comments]])&lt;&gt;0, priority(Main[[#This Row],[Comments]]),"")</f>
        <v/>
      </c>
      <c r="B200" s="90" t="s">
        <v>1021</v>
      </c>
      <c r="C200" s="72" t="s">
        <v>9</v>
      </c>
      <c r="D200" s="73" t="s">
        <v>10</v>
      </c>
      <c r="E200" s="74"/>
      <c r="F200" s="74"/>
      <c r="G200" s="75" t="str">
        <f>IF(stdProdLT(Main[[#This Row],[Comments]])=0.1,"N/A",IF(stdProdLT(Main[[#This Row],[Comments]])=0,"",stdProdLT(Main[[#This Row],[Comments]])))</f>
        <v/>
      </c>
      <c r="H200" s="76" t="str">
        <f>IF(AND(Main[[#This Row],[In Stock Date]]&lt;&gt;"",Main[[#This Row],[Revised Due Date]]&lt;&gt;""),Main[[#This Row],[In Stock Date]]-Main[[#This Row],[Revised Due Date]],"")</f>
        <v/>
      </c>
      <c r="I200" s="72" t="s">
        <v>4</v>
      </c>
      <c r="J200" s="72" t="s">
        <v>4</v>
      </c>
      <c r="K200" s="72" t="s">
        <v>4</v>
      </c>
      <c r="L200" s="74"/>
      <c r="M200" s="77" t="str">
        <f>IF(Main[[#This Row],[Tech Start Date]]&lt;1/1/1990,"",IF(Main[[#This Row],[Class]]="C",WORKDAY(Main[[#This Row],[Tech Start Date]],9),IF(Main[[#This Row],[Class]]="B", WORKDAY(Main[[#This Row],[Tech Start Date]],6),IF(Main[[#This Row],[Class]]="A",WORKDAY(Main[[#This Row],[Tech Start Date]],2),""))))</f>
        <v/>
      </c>
      <c r="N200" s="77" t="str">
        <f>IF(Main[[#This Row],[Tech Start Date]]&lt;1/1/1990,"",IF(Main[[#This Row],[Class]]="C",WORKDAY(Main[[#This Row],[Tech Start Date]],19),IF(Main[[#This Row],[Class]]="B", WORKDAY(Main[[#This Row],[Tech Start Date]],12),IF(Main[[#This Row],[Class]]="A",WORKDAY(Main[[#This Row],[Tech Start Date]],4),""))))</f>
        <v/>
      </c>
      <c r="O200" s="77" t="str">
        <f>IF(Main[[#This Row],[Tech Start Date]]&lt;1/1/1990,"",IF(Main[[#This Row],[Class]]="C",WORKDAY(Main[[#This Row],[Tech Start Date]],23),IF(Main[[#This Row],[Class]]="B", WORKDAY(Main[[#This Row],[Tech Start Date]],15),IF(Main[[#This Row],[Class]]="A",WORKDAY(Main[[#This Row],[Tech Start Date]],5),""))))</f>
        <v/>
      </c>
      <c r="P200" s="77" t="str">
        <f>IF(Main[[#This Row],[Tech Start Date]]&lt;1/1/1990,"",IF(Main[[#This Row],[Class]]="C",WORKDAY(Main[[#This Row],[Tech Start Date]],28),IF(Main[[#This Row],[Class]]="B", WORKDAY(Main[[#This Row],[Tech Start Date]],19),IF(Main[[#This Row],[Class]]="A",WORKDAY(Main[[#This Row],[Tech Start Date]],9),""))))</f>
        <v/>
      </c>
      <c r="Q200" s="74">
        <v>40504</v>
      </c>
      <c r="R200" s="74"/>
      <c r="S200" s="72" t="s">
        <v>11</v>
      </c>
      <c r="T200" s="80" t="s">
        <v>4</v>
      </c>
      <c r="U200" s="72" t="s">
        <v>12</v>
      </c>
      <c r="V200" s="72" t="s">
        <v>1933</v>
      </c>
      <c r="W200" s="72" t="s">
        <v>1934</v>
      </c>
      <c r="X200" s="72" t="s">
        <v>2907</v>
      </c>
      <c r="Y200" s="72" t="s">
        <v>4</v>
      </c>
      <c r="Z200" s="72" t="s">
        <v>4</v>
      </c>
      <c r="AA200" s="147" t="s">
        <v>2907</v>
      </c>
    </row>
    <row r="201" spans="1:27" ht="18.600000000000001" customHeight="1">
      <c r="A201" s="140" t="str">
        <f>IF(priority(Main[[#This Row],[Comments]])&lt;&gt;0, priority(Main[[#This Row],[Comments]]),"")</f>
        <v/>
      </c>
      <c r="B201" s="90" t="s">
        <v>1022</v>
      </c>
      <c r="C201" s="72" t="s">
        <v>4</v>
      </c>
      <c r="D201" s="73" t="s">
        <v>13</v>
      </c>
      <c r="E201" s="74"/>
      <c r="F201" s="74"/>
      <c r="G201" s="75" t="str">
        <f>IF(stdProdLT(Main[[#This Row],[Comments]])=0.1,"N/A",IF(stdProdLT(Main[[#This Row],[Comments]])=0,"",stdProdLT(Main[[#This Row],[Comments]])))</f>
        <v/>
      </c>
      <c r="H201" s="76" t="str">
        <f>IF(AND(Main[[#This Row],[In Stock Date]]&lt;&gt;"",Main[[#This Row],[Revised Due Date]]&lt;&gt;""),Main[[#This Row],[In Stock Date]]-Main[[#This Row],[Revised Due Date]],"")</f>
        <v/>
      </c>
      <c r="I201" s="72" t="s">
        <v>4</v>
      </c>
      <c r="J201" s="72" t="s">
        <v>4</v>
      </c>
      <c r="K201" s="72" t="s">
        <v>4</v>
      </c>
      <c r="L201" s="74"/>
      <c r="M201" s="77" t="str">
        <f>IF(Main[[#This Row],[Tech Start Date]]&lt;1/1/1990,"",IF(Main[[#This Row],[Class]]="C",WORKDAY(Main[[#This Row],[Tech Start Date]],9),IF(Main[[#This Row],[Class]]="B", WORKDAY(Main[[#This Row],[Tech Start Date]],6),IF(Main[[#This Row],[Class]]="A",WORKDAY(Main[[#This Row],[Tech Start Date]],2),""))))</f>
        <v/>
      </c>
      <c r="N201" s="77" t="str">
        <f>IF(Main[[#This Row],[Tech Start Date]]&lt;1/1/1990,"",IF(Main[[#This Row],[Class]]="C",WORKDAY(Main[[#This Row],[Tech Start Date]],19),IF(Main[[#This Row],[Class]]="B", WORKDAY(Main[[#This Row],[Tech Start Date]],12),IF(Main[[#This Row],[Class]]="A",WORKDAY(Main[[#This Row],[Tech Start Date]],4),""))))</f>
        <v/>
      </c>
      <c r="O201" s="77" t="str">
        <f>IF(Main[[#This Row],[Tech Start Date]]&lt;1/1/1990,"",IF(Main[[#This Row],[Class]]="C",WORKDAY(Main[[#This Row],[Tech Start Date]],23),IF(Main[[#This Row],[Class]]="B", WORKDAY(Main[[#This Row],[Tech Start Date]],15),IF(Main[[#This Row],[Class]]="A",WORKDAY(Main[[#This Row],[Tech Start Date]],5),""))))</f>
        <v/>
      </c>
      <c r="P201" s="77" t="str">
        <f>IF(Main[[#This Row],[Tech Start Date]]&lt;1/1/1990,"",IF(Main[[#This Row],[Class]]="C",WORKDAY(Main[[#This Row],[Tech Start Date]],28),IF(Main[[#This Row],[Class]]="B", WORKDAY(Main[[#This Row],[Tech Start Date]],19),IF(Main[[#This Row],[Class]]="A",WORKDAY(Main[[#This Row],[Tech Start Date]],9),""))))</f>
        <v/>
      </c>
      <c r="Q201" s="74"/>
      <c r="R201" s="74"/>
      <c r="S201" s="72" t="s">
        <v>6</v>
      </c>
      <c r="T201" s="80" t="s">
        <v>4</v>
      </c>
      <c r="U201" s="72" t="s">
        <v>14</v>
      </c>
      <c r="V201" s="72" t="s">
        <v>1935</v>
      </c>
      <c r="W201" s="72" t="s">
        <v>1936</v>
      </c>
      <c r="X201" s="72" t="s">
        <v>310</v>
      </c>
      <c r="Y201" s="72" t="s">
        <v>4</v>
      </c>
      <c r="Z201" s="72" t="s">
        <v>4</v>
      </c>
      <c r="AA201" s="147" t="s">
        <v>659</v>
      </c>
    </row>
    <row r="202" spans="1:27" ht="18.600000000000001" customHeight="1">
      <c r="A202" s="140" t="str">
        <f>IF(priority(Main[[#This Row],[Comments]])&lt;&gt;0, priority(Main[[#This Row],[Comments]]),"")</f>
        <v/>
      </c>
      <c r="B202" s="90" t="s">
        <v>1872</v>
      </c>
      <c r="C202" s="72" t="s">
        <v>47</v>
      </c>
      <c r="D202" s="73" t="s">
        <v>921</v>
      </c>
      <c r="E202" s="74">
        <v>39937.598483796297</v>
      </c>
      <c r="F202" s="74"/>
      <c r="G202" s="75" t="str">
        <f>IF(stdProdLT(Main[[#This Row],[Comments]])=0.1,"N/A",IF(stdProdLT(Main[[#This Row],[Comments]])=0,"",stdProdLT(Main[[#This Row],[Comments]])))</f>
        <v/>
      </c>
      <c r="H202" s="76" t="str">
        <f>IF(AND(Main[[#This Row],[In Stock Date]]&lt;&gt;"",Main[[#This Row],[Revised Due Date]]&lt;&gt;""),Main[[#This Row],[In Stock Date]]-Main[[#This Row],[Revised Due Date]],"")</f>
        <v/>
      </c>
      <c r="I202" s="72" t="s">
        <v>909</v>
      </c>
      <c r="J202" s="72" t="s">
        <v>4</v>
      </c>
      <c r="K202" s="72" t="s">
        <v>1944</v>
      </c>
      <c r="L202" s="74"/>
      <c r="M202" s="77" t="str">
        <f>IF(Main[[#This Row],[Tech Start Date]]&lt;1/1/1990,"",IF(Main[[#This Row],[Class]]="C",WORKDAY(Main[[#This Row],[Tech Start Date]],9),IF(Main[[#This Row],[Class]]="B", WORKDAY(Main[[#This Row],[Tech Start Date]],6),IF(Main[[#This Row],[Class]]="A",WORKDAY(Main[[#This Row],[Tech Start Date]],2),""))))</f>
        <v/>
      </c>
      <c r="N202" s="77" t="str">
        <f>IF(Main[[#This Row],[Tech Start Date]]&lt;1/1/1990,"",IF(Main[[#This Row],[Class]]="C",WORKDAY(Main[[#This Row],[Tech Start Date]],19),IF(Main[[#This Row],[Class]]="B", WORKDAY(Main[[#This Row],[Tech Start Date]],12),IF(Main[[#This Row],[Class]]="A",WORKDAY(Main[[#This Row],[Tech Start Date]],4),""))))</f>
        <v/>
      </c>
      <c r="O202" s="77" t="str">
        <f>IF(Main[[#This Row],[Tech Start Date]]&lt;1/1/1990,"",IF(Main[[#This Row],[Class]]="C",WORKDAY(Main[[#This Row],[Tech Start Date]],23),IF(Main[[#This Row],[Class]]="B", WORKDAY(Main[[#This Row],[Tech Start Date]],15),IF(Main[[#This Row],[Class]]="A",WORKDAY(Main[[#This Row],[Tech Start Date]],5),""))))</f>
        <v/>
      </c>
      <c r="P202" s="77" t="str">
        <f>IF(Main[[#This Row],[Tech Start Date]]&lt;1/1/1990,"",IF(Main[[#This Row],[Class]]="C",WORKDAY(Main[[#This Row],[Tech Start Date]],28),IF(Main[[#This Row],[Class]]="B", WORKDAY(Main[[#This Row],[Tech Start Date]],19),IF(Main[[#This Row],[Class]]="A",WORKDAY(Main[[#This Row],[Tech Start Date]],9),""))))</f>
        <v/>
      </c>
      <c r="Q202" s="74"/>
      <c r="R202" s="74">
        <v>40945</v>
      </c>
      <c r="S202" s="72" t="s">
        <v>17</v>
      </c>
      <c r="T202" s="80" t="s">
        <v>4</v>
      </c>
      <c r="U202" s="72" t="s">
        <v>29</v>
      </c>
      <c r="V202" s="72" t="s">
        <v>1935</v>
      </c>
      <c r="W202" s="72" t="s">
        <v>1937</v>
      </c>
      <c r="X202" s="72" t="s">
        <v>2911</v>
      </c>
      <c r="Y202" s="72" t="s">
        <v>3035</v>
      </c>
      <c r="Z202" s="72" t="s">
        <v>420</v>
      </c>
      <c r="AA202" s="147" t="s">
        <v>2911</v>
      </c>
    </row>
    <row r="203" spans="1:27" ht="18.600000000000001" customHeight="1">
      <c r="A203" s="140" t="str">
        <f>IF(priority(Main[[#This Row],[Comments]])&lt;&gt;0, priority(Main[[#This Row],[Comments]]),"")</f>
        <v/>
      </c>
      <c r="B203" s="90" t="s">
        <v>1062</v>
      </c>
      <c r="C203" s="72" t="s">
        <v>86</v>
      </c>
      <c r="D203" s="73" t="s">
        <v>87</v>
      </c>
      <c r="E203" s="74"/>
      <c r="F203" s="74">
        <v>40555</v>
      </c>
      <c r="G203" s="75" t="str">
        <f>IF(stdProdLT(Main[[#This Row],[Comments]])=0.1,"N/A",IF(stdProdLT(Main[[#This Row],[Comments]])=0,"",stdProdLT(Main[[#This Row],[Comments]])))</f>
        <v/>
      </c>
      <c r="H203" s="76" t="str">
        <f>IF(AND(Main[[#This Row],[In Stock Date]]&lt;&gt;"",Main[[#This Row],[Revised Due Date]]&lt;&gt;""),Main[[#This Row],[In Stock Date]]-Main[[#This Row],[Revised Due Date]],"")</f>
        <v/>
      </c>
      <c r="I203" s="72" t="s">
        <v>4</v>
      </c>
      <c r="J203" s="72" t="s">
        <v>75</v>
      </c>
      <c r="K203" s="72" t="s">
        <v>4</v>
      </c>
      <c r="L203" s="74"/>
      <c r="M203" s="77" t="str">
        <f>IF(Main[[#This Row],[Tech Start Date]]&lt;1/1/1990,"",IF(Main[[#This Row],[Class]]="C",WORKDAY(Main[[#This Row],[Tech Start Date]],9),IF(Main[[#This Row],[Class]]="B", WORKDAY(Main[[#This Row],[Tech Start Date]],6),IF(Main[[#This Row],[Class]]="A",WORKDAY(Main[[#This Row],[Tech Start Date]],2),""))))</f>
        <v/>
      </c>
      <c r="N203" s="77" t="str">
        <f>IF(Main[[#This Row],[Tech Start Date]]&lt;1/1/1990,"",IF(Main[[#This Row],[Class]]="C",WORKDAY(Main[[#This Row],[Tech Start Date]],19),IF(Main[[#This Row],[Class]]="B", WORKDAY(Main[[#This Row],[Tech Start Date]],12),IF(Main[[#This Row],[Class]]="A",WORKDAY(Main[[#This Row],[Tech Start Date]],4),""))))</f>
        <v/>
      </c>
      <c r="O203" s="77" t="str">
        <f>IF(Main[[#This Row],[Tech Start Date]]&lt;1/1/1990,"",IF(Main[[#This Row],[Class]]="C",WORKDAY(Main[[#This Row],[Tech Start Date]],23),IF(Main[[#This Row],[Class]]="B", WORKDAY(Main[[#This Row],[Tech Start Date]],15),IF(Main[[#This Row],[Class]]="A",WORKDAY(Main[[#This Row],[Tech Start Date]],5),""))))</f>
        <v/>
      </c>
      <c r="P203" s="77" t="str">
        <f>IF(Main[[#This Row],[Tech Start Date]]&lt;1/1/1990,"",IF(Main[[#This Row],[Class]]="C",WORKDAY(Main[[#This Row],[Tech Start Date]],28),IF(Main[[#This Row],[Class]]="B", WORKDAY(Main[[#This Row],[Tech Start Date]],19),IF(Main[[#This Row],[Class]]="A",WORKDAY(Main[[#This Row],[Tech Start Date]],9),""))))</f>
        <v/>
      </c>
      <c r="Q203" s="74">
        <v>40446</v>
      </c>
      <c r="R203" s="74"/>
      <c r="S203" s="72" t="s">
        <v>49</v>
      </c>
      <c r="T203" s="80" t="s">
        <v>4</v>
      </c>
      <c r="U203" s="72" t="s">
        <v>14</v>
      </c>
      <c r="V203" s="72" t="s">
        <v>1935</v>
      </c>
      <c r="W203" s="72" t="s">
        <v>1934</v>
      </c>
      <c r="X203" s="72" t="s">
        <v>310</v>
      </c>
      <c r="Y203" s="72" t="s">
        <v>3063</v>
      </c>
      <c r="Z203" s="72" t="s">
        <v>310</v>
      </c>
      <c r="AA203" s="147" t="s">
        <v>310</v>
      </c>
    </row>
    <row r="204" spans="1:27" ht="18.600000000000001" customHeight="1">
      <c r="A204" s="140" t="str">
        <f>IF(priority(Main[[#This Row],[Comments]])&lt;&gt;0, priority(Main[[#This Row],[Comments]]),"")</f>
        <v/>
      </c>
      <c r="B204" s="90" t="s">
        <v>2580</v>
      </c>
      <c r="C204" s="72" t="s">
        <v>2386</v>
      </c>
      <c r="D204" s="73" t="s">
        <v>2581</v>
      </c>
      <c r="E204" s="74"/>
      <c r="F204" s="74">
        <v>41008</v>
      </c>
      <c r="G204" s="75" t="str">
        <f>IF(stdProdLT(Main[[#This Row],[Comments]])=0.1,"N/A",IF(stdProdLT(Main[[#This Row],[Comments]])=0,"",stdProdLT(Main[[#This Row],[Comments]])))</f>
        <v/>
      </c>
      <c r="H204" s="76" t="str">
        <f>IF(AND(Main[[#This Row],[In Stock Date]]&lt;&gt;"",Main[[#This Row],[Revised Due Date]]&lt;&gt;""),Main[[#This Row],[In Stock Date]]-Main[[#This Row],[Revised Due Date]],"")</f>
        <v/>
      </c>
      <c r="I204" s="72" t="s">
        <v>4</v>
      </c>
      <c r="J204" s="72" t="s">
        <v>4</v>
      </c>
      <c r="K204" s="72" t="s">
        <v>4</v>
      </c>
      <c r="L204" s="74"/>
      <c r="M204" s="77" t="str">
        <f>IF(Main[[#This Row],[Tech Start Date]]&lt;1/1/1990,"",IF(Main[[#This Row],[Class]]="C",WORKDAY(Main[[#This Row],[Tech Start Date]],9),IF(Main[[#This Row],[Class]]="B", WORKDAY(Main[[#This Row],[Tech Start Date]],6),IF(Main[[#This Row],[Class]]="A",WORKDAY(Main[[#This Row],[Tech Start Date]],2),""))))</f>
        <v/>
      </c>
      <c r="N204" s="77" t="str">
        <f>IF(Main[[#This Row],[Tech Start Date]]&lt;1/1/1990,"",IF(Main[[#This Row],[Class]]="C",WORKDAY(Main[[#This Row],[Tech Start Date]],19),IF(Main[[#This Row],[Class]]="B", WORKDAY(Main[[#This Row],[Tech Start Date]],12),IF(Main[[#This Row],[Class]]="A",WORKDAY(Main[[#This Row],[Tech Start Date]],4),""))))</f>
        <v/>
      </c>
      <c r="O204" s="77" t="str">
        <f>IF(Main[[#This Row],[Tech Start Date]]&lt;1/1/1990,"",IF(Main[[#This Row],[Class]]="C",WORKDAY(Main[[#This Row],[Tech Start Date]],23),IF(Main[[#This Row],[Class]]="B", WORKDAY(Main[[#This Row],[Tech Start Date]],15),IF(Main[[#This Row],[Class]]="A",WORKDAY(Main[[#This Row],[Tech Start Date]],5),""))))</f>
        <v/>
      </c>
      <c r="P204" s="77" t="str">
        <f>IF(Main[[#This Row],[Tech Start Date]]&lt;1/1/1990,"",IF(Main[[#This Row],[Class]]="C",WORKDAY(Main[[#This Row],[Tech Start Date]],28),IF(Main[[#This Row],[Class]]="B", WORKDAY(Main[[#This Row],[Tech Start Date]],19),IF(Main[[#This Row],[Class]]="A",WORKDAY(Main[[#This Row],[Tech Start Date]],9),""))))</f>
        <v/>
      </c>
      <c r="Q204" s="74">
        <v>40826</v>
      </c>
      <c r="R204" s="74"/>
      <c r="S204" s="72" t="s">
        <v>11</v>
      </c>
      <c r="T204" s="80" t="s">
        <v>4</v>
      </c>
      <c r="U204" s="72" t="s">
        <v>12</v>
      </c>
      <c r="V204" s="72" t="s">
        <v>1935</v>
      </c>
      <c r="W204" s="72" t="s">
        <v>1938</v>
      </c>
      <c r="X204" s="72" t="s">
        <v>2927</v>
      </c>
      <c r="Y204" s="72" t="s">
        <v>4</v>
      </c>
      <c r="Z204" s="72" t="s">
        <v>4</v>
      </c>
      <c r="AA204" s="147" t="s">
        <v>2927</v>
      </c>
    </row>
    <row r="205" spans="1:27" ht="18.600000000000001" customHeight="1">
      <c r="A205" s="140" t="str">
        <f>IF(priority(Main[[#This Row],[Comments]])&lt;&gt;0, priority(Main[[#This Row],[Comments]]),"")</f>
        <v/>
      </c>
      <c r="B205" s="90" t="s">
        <v>1063</v>
      </c>
      <c r="C205" s="72" t="s">
        <v>88</v>
      </c>
      <c r="D205" s="73" t="s">
        <v>89</v>
      </c>
      <c r="E205" s="74"/>
      <c r="F205" s="74">
        <v>40709</v>
      </c>
      <c r="G205" s="75" t="str">
        <f>IF(stdProdLT(Main[[#This Row],[Comments]])=0.1,"N/A",IF(stdProdLT(Main[[#This Row],[Comments]])=0,"",stdProdLT(Main[[#This Row],[Comments]])))</f>
        <v/>
      </c>
      <c r="H205" s="76" t="str">
        <f>IF(AND(Main[[#This Row],[In Stock Date]]&lt;&gt;"",Main[[#This Row],[Revised Due Date]]&lt;&gt;""),Main[[#This Row],[In Stock Date]]-Main[[#This Row],[Revised Due Date]],"")</f>
        <v/>
      </c>
      <c r="I205" s="72" t="s">
        <v>4</v>
      </c>
      <c r="J205" s="72" t="s">
        <v>28</v>
      </c>
      <c r="K205" s="72" t="s">
        <v>1945</v>
      </c>
      <c r="L205" s="74"/>
      <c r="M205" s="77" t="str">
        <f>IF(Main[[#This Row],[Tech Start Date]]&lt;1/1/1990,"",IF(Main[[#This Row],[Class]]="C",WORKDAY(Main[[#This Row],[Tech Start Date]],9),IF(Main[[#This Row],[Class]]="B", WORKDAY(Main[[#This Row],[Tech Start Date]],6),IF(Main[[#This Row],[Class]]="A",WORKDAY(Main[[#This Row],[Tech Start Date]],2),""))))</f>
        <v/>
      </c>
      <c r="N205" s="77" t="str">
        <f>IF(Main[[#This Row],[Tech Start Date]]&lt;1/1/1990,"",IF(Main[[#This Row],[Class]]="C",WORKDAY(Main[[#This Row],[Tech Start Date]],19),IF(Main[[#This Row],[Class]]="B", WORKDAY(Main[[#This Row],[Tech Start Date]],12),IF(Main[[#This Row],[Class]]="A",WORKDAY(Main[[#This Row],[Tech Start Date]],4),""))))</f>
        <v/>
      </c>
      <c r="O205" s="77" t="str">
        <f>IF(Main[[#This Row],[Tech Start Date]]&lt;1/1/1990,"",IF(Main[[#This Row],[Class]]="C",WORKDAY(Main[[#This Row],[Tech Start Date]],23),IF(Main[[#This Row],[Class]]="B", WORKDAY(Main[[#This Row],[Tech Start Date]],15),IF(Main[[#This Row],[Class]]="A",WORKDAY(Main[[#This Row],[Tech Start Date]],5),""))))</f>
        <v/>
      </c>
      <c r="P205" s="77" t="str">
        <f>IF(Main[[#This Row],[Tech Start Date]]&lt;1/1/1990,"",IF(Main[[#This Row],[Class]]="C",WORKDAY(Main[[#This Row],[Tech Start Date]],28),IF(Main[[#This Row],[Class]]="B", WORKDAY(Main[[#This Row],[Tech Start Date]],19),IF(Main[[#This Row],[Class]]="A",WORKDAY(Main[[#This Row],[Tech Start Date]],9),""))))</f>
        <v/>
      </c>
      <c r="Q205" s="74">
        <v>40612</v>
      </c>
      <c r="R205" s="74"/>
      <c r="S205" s="72" t="s">
        <v>11</v>
      </c>
      <c r="T205" s="80" t="s">
        <v>4</v>
      </c>
      <c r="U205" s="72" t="s">
        <v>14</v>
      </c>
      <c r="V205" s="72" t="s">
        <v>1932</v>
      </c>
      <c r="W205" s="72" t="s">
        <v>1937</v>
      </c>
      <c r="X205" s="72" t="s">
        <v>2928</v>
      </c>
      <c r="Y205" s="72" t="s">
        <v>3064</v>
      </c>
      <c r="Z205" s="72" t="s">
        <v>129</v>
      </c>
      <c r="AA205" s="147" t="s">
        <v>2928</v>
      </c>
    </row>
    <row r="206" spans="1:27" ht="18.600000000000001" customHeight="1">
      <c r="A206" s="140" t="str">
        <f>IF(priority(Main[[#This Row],[Comments]])&lt;&gt;0, priority(Main[[#This Row],[Comments]]),"")</f>
        <v/>
      </c>
      <c r="B206" s="90" t="s">
        <v>1064</v>
      </c>
      <c r="C206" s="72" t="s">
        <v>4</v>
      </c>
      <c r="D206" s="73" t="s">
        <v>90</v>
      </c>
      <c r="E206" s="74"/>
      <c r="F206" s="74"/>
      <c r="G206" s="75" t="str">
        <f>IF(stdProdLT(Main[[#This Row],[Comments]])=0.1,"N/A",IF(stdProdLT(Main[[#This Row],[Comments]])=0,"",stdProdLT(Main[[#This Row],[Comments]])))</f>
        <v/>
      </c>
      <c r="H206" s="76" t="str">
        <f>IF(AND(Main[[#This Row],[In Stock Date]]&lt;&gt;"",Main[[#This Row],[Revised Due Date]]&lt;&gt;""),Main[[#This Row],[In Stock Date]]-Main[[#This Row],[Revised Due Date]],"")</f>
        <v/>
      </c>
      <c r="I206" s="72" t="s">
        <v>4</v>
      </c>
      <c r="J206" s="72" t="s">
        <v>4</v>
      </c>
      <c r="K206" s="72" t="s">
        <v>4</v>
      </c>
      <c r="L206" s="74"/>
      <c r="M206" s="77" t="str">
        <f>IF(Main[[#This Row],[Tech Start Date]]&lt;1/1/1990,"",IF(Main[[#This Row],[Class]]="C",WORKDAY(Main[[#This Row],[Tech Start Date]],9),IF(Main[[#This Row],[Class]]="B", WORKDAY(Main[[#This Row],[Tech Start Date]],6),IF(Main[[#This Row],[Class]]="A",WORKDAY(Main[[#This Row],[Tech Start Date]],2),""))))</f>
        <v/>
      </c>
      <c r="N206" s="77" t="str">
        <f>IF(Main[[#This Row],[Tech Start Date]]&lt;1/1/1990,"",IF(Main[[#This Row],[Class]]="C",WORKDAY(Main[[#This Row],[Tech Start Date]],19),IF(Main[[#This Row],[Class]]="B", WORKDAY(Main[[#This Row],[Tech Start Date]],12),IF(Main[[#This Row],[Class]]="A",WORKDAY(Main[[#This Row],[Tech Start Date]],4),""))))</f>
        <v/>
      </c>
      <c r="O206" s="77" t="str">
        <f>IF(Main[[#This Row],[Tech Start Date]]&lt;1/1/1990,"",IF(Main[[#This Row],[Class]]="C",WORKDAY(Main[[#This Row],[Tech Start Date]],23),IF(Main[[#This Row],[Class]]="B", WORKDAY(Main[[#This Row],[Tech Start Date]],15),IF(Main[[#This Row],[Class]]="A",WORKDAY(Main[[#This Row],[Tech Start Date]],5),""))))</f>
        <v/>
      </c>
      <c r="P206" s="77" t="str">
        <f>IF(Main[[#This Row],[Tech Start Date]]&lt;1/1/1990,"",IF(Main[[#This Row],[Class]]="C",WORKDAY(Main[[#This Row],[Tech Start Date]],28),IF(Main[[#This Row],[Class]]="B", WORKDAY(Main[[#This Row],[Tech Start Date]],19),IF(Main[[#This Row],[Class]]="A",WORKDAY(Main[[#This Row],[Tech Start Date]],9),""))))</f>
        <v/>
      </c>
      <c r="Q206" s="74"/>
      <c r="R206" s="74"/>
      <c r="S206" s="72" t="s">
        <v>23</v>
      </c>
      <c r="T206" s="80" t="s">
        <v>4</v>
      </c>
      <c r="U206" s="72" t="s">
        <v>14</v>
      </c>
      <c r="V206" s="72" t="s">
        <v>1932</v>
      </c>
      <c r="W206" s="72" t="s">
        <v>1936</v>
      </c>
      <c r="X206" s="72" t="s">
        <v>403</v>
      </c>
      <c r="Y206" s="72" t="s">
        <v>3045</v>
      </c>
      <c r="Z206" s="72" t="s">
        <v>4</v>
      </c>
      <c r="AA206" s="147" t="s">
        <v>3565</v>
      </c>
    </row>
    <row r="207" spans="1:27" ht="18.600000000000001" customHeight="1">
      <c r="A207" s="140" t="str">
        <f>IF(priority(Main[[#This Row],[Comments]])&lt;&gt;0, priority(Main[[#This Row],[Comments]]),"")</f>
        <v/>
      </c>
      <c r="B207" s="90" t="s">
        <v>1066</v>
      </c>
      <c r="C207" s="72" t="s">
        <v>93</v>
      </c>
      <c r="D207" s="73" t="s">
        <v>94</v>
      </c>
      <c r="E207" s="74"/>
      <c r="F207" s="74">
        <v>40299</v>
      </c>
      <c r="G207" s="75" t="str">
        <f>IF(stdProdLT(Main[[#This Row],[Comments]])=0.1,"N/A",IF(stdProdLT(Main[[#This Row],[Comments]])=0,"",stdProdLT(Main[[#This Row],[Comments]])))</f>
        <v/>
      </c>
      <c r="H207" s="76" t="str">
        <f>IF(AND(Main[[#This Row],[In Stock Date]]&lt;&gt;"",Main[[#This Row],[Revised Due Date]]&lt;&gt;""),Main[[#This Row],[In Stock Date]]-Main[[#This Row],[Revised Due Date]],"")</f>
        <v/>
      </c>
      <c r="I207" s="72" t="s">
        <v>4</v>
      </c>
      <c r="J207" s="72" t="s">
        <v>4</v>
      </c>
      <c r="K207" s="72" t="s">
        <v>4</v>
      </c>
      <c r="L207" s="74"/>
      <c r="M207" s="77" t="str">
        <f>IF(Main[[#This Row],[Tech Start Date]]&lt;1/1/1990,"",IF(Main[[#This Row],[Class]]="C",WORKDAY(Main[[#This Row],[Tech Start Date]],9),IF(Main[[#This Row],[Class]]="B", WORKDAY(Main[[#This Row],[Tech Start Date]],6),IF(Main[[#This Row],[Class]]="A",WORKDAY(Main[[#This Row],[Tech Start Date]],2),""))))</f>
        <v/>
      </c>
      <c r="N207" s="77" t="str">
        <f>IF(Main[[#This Row],[Tech Start Date]]&lt;1/1/1990,"",IF(Main[[#This Row],[Class]]="C",WORKDAY(Main[[#This Row],[Tech Start Date]],19),IF(Main[[#This Row],[Class]]="B", WORKDAY(Main[[#This Row],[Tech Start Date]],12),IF(Main[[#This Row],[Class]]="A",WORKDAY(Main[[#This Row],[Tech Start Date]],4),""))))</f>
        <v/>
      </c>
      <c r="O207" s="77" t="str">
        <f>IF(Main[[#This Row],[Tech Start Date]]&lt;1/1/1990,"",IF(Main[[#This Row],[Class]]="C",WORKDAY(Main[[#This Row],[Tech Start Date]],23),IF(Main[[#This Row],[Class]]="B", WORKDAY(Main[[#This Row],[Tech Start Date]],15),IF(Main[[#This Row],[Class]]="A",WORKDAY(Main[[#This Row],[Tech Start Date]],5),""))))</f>
        <v/>
      </c>
      <c r="P207" s="77" t="str">
        <f>IF(Main[[#This Row],[Tech Start Date]]&lt;1/1/1990,"",IF(Main[[#This Row],[Class]]="C",WORKDAY(Main[[#This Row],[Tech Start Date]],28),IF(Main[[#This Row],[Class]]="B", WORKDAY(Main[[#This Row],[Tech Start Date]],19),IF(Main[[#This Row],[Class]]="A",WORKDAY(Main[[#This Row],[Tech Start Date]],9),""))))</f>
        <v/>
      </c>
      <c r="Q207" s="74">
        <v>40209</v>
      </c>
      <c r="R207" s="74"/>
      <c r="S207" s="72" t="s">
        <v>11</v>
      </c>
      <c r="T207" s="80" t="s">
        <v>4</v>
      </c>
      <c r="U207" s="72" t="s">
        <v>14</v>
      </c>
      <c r="V207" s="72" t="s">
        <v>1932</v>
      </c>
      <c r="W207" s="72" t="s">
        <v>1943</v>
      </c>
      <c r="X207" s="72" t="s">
        <v>2929</v>
      </c>
      <c r="Y207" s="72" t="s">
        <v>4</v>
      </c>
      <c r="Z207" s="72" t="s">
        <v>4</v>
      </c>
      <c r="AA207" s="147" t="s">
        <v>2929</v>
      </c>
    </row>
    <row r="208" spans="1:27" ht="18.600000000000001" customHeight="1">
      <c r="A208" s="140" t="str">
        <f>IF(priority(Main[[#This Row],[Comments]])&lt;&gt;0, priority(Main[[#This Row],[Comments]]),"")</f>
        <v/>
      </c>
      <c r="B208" s="90" t="s">
        <v>1083</v>
      </c>
      <c r="C208" s="72" t="s">
        <v>4</v>
      </c>
      <c r="D208" s="73" t="s">
        <v>112</v>
      </c>
      <c r="E208" s="74"/>
      <c r="F208" s="74"/>
      <c r="G208" s="75" t="str">
        <f>IF(stdProdLT(Main[[#This Row],[Comments]])=0.1,"N/A",IF(stdProdLT(Main[[#This Row],[Comments]])=0,"",stdProdLT(Main[[#This Row],[Comments]])))</f>
        <v/>
      </c>
      <c r="H208" s="76" t="str">
        <f>IF(AND(Main[[#This Row],[In Stock Date]]&lt;&gt;"",Main[[#This Row],[Revised Due Date]]&lt;&gt;""),Main[[#This Row],[In Stock Date]]-Main[[#This Row],[Revised Due Date]],"")</f>
        <v/>
      </c>
      <c r="I208" s="72" t="s">
        <v>4</v>
      </c>
      <c r="J208" s="72" t="s">
        <v>4</v>
      </c>
      <c r="K208" s="72" t="s">
        <v>4</v>
      </c>
      <c r="L208" s="74"/>
      <c r="M208" s="77" t="str">
        <f>IF(Main[[#This Row],[Tech Start Date]]&lt;1/1/1990,"",IF(Main[[#This Row],[Class]]="C",WORKDAY(Main[[#This Row],[Tech Start Date]],9),IF(Main[[#This Row],[Class]]="B", WORKDAY(Main[[#This Row],[Tech Start Date]],6),IF(Main[[#This Row],[Class]]="A",WORKDAY(Main[[#This Row],[Tech Start Date]],2),""))))</f>
        <v/>
      </c>
      <c r="N208" s="77" t="str">
        <f>IF(Main[[#This Row],[Tech Start Date]]&lt;1/1/1990,"",IF(Main[[#This Row],[Class]]="C",WORKDAY(Main[[#This Row],[Tech Start Date]],19),IF(Main[[#This Row],[Class]]="B", WORKDAY(Main[[#This Row],[Tech Start Date]],12),IF(Main[[#This Row],[Class]]="A",WORKDAY(Main[[#This Row],[Tech Start Date]],4),""))))</f>
        <v/>
      </c>
      <c r="O208" s="77" t="str">
        <f>IF(Main[[#This Row],[Tech Start Date]]&lt;1/1/1990,"",IF(Main[[#This Row],[Class]]="C",WORKDAY(Main[[#This Row],[Tech Start Date]],23),IF(Main[[#This Row],[Class]]="B", WORKDAY(Main[[#This Row],[Tech Start Date]],15),IF(Main[[#This Row],[Class]]="A",WORKDAY(Main[[#This Row],[Tech Start Date]],5),""))))</f>
        <v/>
      </c>
      <c r="P208" s="77" t="str">
        <f>IF(Main[[#This Row],[Tech Start Date]]&lt;1/1/1990,"",IF(Main[[#This Row],[Class]]="C",WORKDAY(Main[[#This Row],[Tech Start Date]],28),IF(Main[[#This Row],[Class]]="B", WORKDAY(Main[[#This Row],[Tech Start Date]],19),IF(Main[[#This Row],[Class]]="A",WORKDAY(Main[[#This Row],[Tech Start Date]],9),""))))</f>
        <v/>
      </c>
      <c r="Q208" s="74"/>
      <c r="R208" s="74"/>
      <c r="S208" s="72" t="s">
        <v>23</v>
      </c>
      <c r="T208" s="80" t="s">
        <v>4</v>
      </c>
      <c r="U208" s="72" t="s">
        <v>14</v>
      </c>
      <c r="V208" s="72" t="s">
        <v>1932</v>
      </c>
      <c r="W208" s="72" t="s">
        <v>1940</v>
      </c>
      <c r="X208" s="72" t="s">
        <v>310</v>
      </c>
      <c r="Y208" s="72" t="s">
        <v>4</v>
      </c>
      <c r="Z208" s="72" t="s">
        <v>4</v>
      </c>
      <c r="AA208" s="147" t="s">
        <v>3571</v>
      </c>
    </row>
    <row r="209" spans="1:27" ht="18.600000000000001" customHeight="1">
      <c r="A209" s="140" t="str">
        <f>IF(priority(Main[[#This Row],[Comments]])&lt;&gt;0, priority(Main[[#This Row],[Comments]]),"")</f>
        <v/>
      </c>
      <c r="B209" s="90" t="s">
        <v>1084</v>
      </c>
      <c r="C209" s="72" t="s">
        <v>113</v>
      </c>
      <c r="D209" s="73" t="s">
        <v>114</v>
      </c>
      <c r="E209" s="74"/>
      <c r="F209" s="74"/>
      <c r="G209" s="75" t="str">
        <f>IF(stdProdLT(Main[[#This Row],[Comments]])=0.1,"N/A",IF(stdProdLT(Main[[#This Row],[Comments]])=0,"",stdProdLT(Main[[#This Row],[Comments]])))</f>
        <v/>
      </c>
      <c r="H209" s="76" t="str">
        <f>IF(AND(Main[[#This Row],[In Stock Date]]&lt;&gt;"",Main[[#This Row],[Revised Due Date]]&lt;&gt;""),Main[[#This Row],[In Stock Date]]-Main[[#This Row],[Revised Due Date]],"")</f>
        <v/>
      </c>
      <c r="I209" s="72" t="s">
        <v>4</v>
      </c>
      <c r="J209" s="72" t="s">
        <v>28</v>
      </c>
      <c r="K209" s="72" t="s">
        <v>4</v>
      </c>
      <c r="L209" s="74"/>
      <c r="M209" s="77" t="str">
        <f>IF(Main[[#This Row],[Tech Start Date]]&lt;1/1/1990,"",IF(Main[[#This Row],[Class]]="C",WORKDAY(Main[[#This Row],[Tech Start Date]],9),IF(Main[[#This Row],[Class]]="B", WORKDAY(Main[[#This Row],[Tech Start Date]],6),IF(Main[[#This Row],[Class]]="A",WORKDAY(Main[[#This Row],[Tech Start Date]],2),""))))</f>
        <v/>
      </c>
      <c r="N209" s="77" t="str">
        <f>IF(Main[[#This Row],[Tech Start Date]]&lt;1/1/1990,"",IF(Main[[#This Row],[Class]]="C",WORKDAY(Main[[#This Row],[Tech Start Date]],19),IF(Main[[#This Row],[Class]]="B", WORKDAY(Main[[#This Row],[Tech Start Date]],12),IF(Main[[#This Row],[Class]]="A",WORKDAY(Main[[#This Row],[Tech Start Date]],4),""))))</f>
        <v/>
      </c>
      <c r="O209" s="77" t="str">
        <f>IF(Main[[#This Row],[Tech Start Date]]&lt;1/1/1990,"",IF(Main[[#This Row],[Class]]="C",WORKDAY(Main[[#This Row],[Tech Start Date]],23),IF(Main[[#This Row],[Class]]="B", WORKDAY(Main[[#This Row],[Tech Start Date]],15),IF(Main[[#This Row],[Class]]="A",WORKDAY(Main[[#This Row],[Tech Start Date]],5),""))))</f>
        <v/>
      </c>
      <c r="P209" s="77" t="str">
        <f>IF(Main[[#This Row],[Tech Start Date]]&lt;1/1/1990,"",IF(Main[[#This Row],[Class]]="C",WORKDAY(Main[[#This Row],[Tech Start Date]],28),IF(Main[[#This Row],[Class]]="B", WORKDAY(Main[[#This Row],[Tech Start Date]],19),IF(Main[[#This Row],[Class]]="A",WORKDAY(Main[[#This Row],[Tech Start Date]],9),""))))</f>
        <v/>
      </c>
      <c r="Q209" s="74">
        <v>40634</v>
      </c>
      <c r="R209" s="74"/>
      <c r="S209" s="72" t="s">
        <v>11</v>
      </c>
      <c r="T209" s="80" t="s">
        <v>4</v>
      </c>
      <c r="U209" s="72" t="s">
        <v>12</v>
      </c>
      <c r="V209" s="72" t="s">
        <v>1932</v>
      </c>
      <c r="W209" s="72" t="s">
        <v>1934</v>
      </c>
      <c r="X209" s="72" t="s">
        <v>2917</v>
      </c>
      <c r="Y209" s="72" t="s">
        <v>3026</v>
      </c>
      <c r="Z209" s="72" t="s">
        <v>129</v>
      </c>
      <c r="AA209" s="147" t="s">
        <v>2917</v>
      </c>
    </row>
    <row r="210" spans="1:27" ht="18.600000000000001" customHeight="1">
      <c r="A210" s="140" t="str">
        <f>IF(priority(Main[[#This Row],[Comments]])&lt;&gt;0, priority(Main[[#This Row],[Comments]]),"")</f>
        <v/>
      </c>
      <c r="B210" s="90" t="s">
        <v>1972</v>
      </c>
      <c r="C210" s="72" t="s">
        <v>4</v>
      </c>
      <c r="D210" s="73" t="s">
        <v>1997</v>
      </c>
      <c r="E210" s="74"/>
      <c r="F210" s="74"/>
      <c r="G210" s="75" t="str">
        <f>IF(stdProdLT(Main[[#This Row],[Comments]])=0.1,"N/A",IF(stdProdLT(Main[[#This Row],[Comments]])=0,"",stdProdLT(Main[[#This Row],[Comments]])))</f>
        <v/>
      </c>
      <c r="H210" s="76" t="str">
        <f>IF(AND(Main[[#This Row],[In Stock Date]]&lt;&gt;"",Main[[#This Row],[Revised Due Date]]&lt;&gt;""),Main[[#This Row],[In Stock Date]]-Main[[#This Row],[Revised Due Date]],"")</f>
        <v/>
      </c>
      <c r="I210" s="72" t="s">
        <v>4</v>
      </c>
      <c r="J210" s="72" t="s">
        <v>4</v>
      </c>
      <c r="K210" s="72" t="s">
        <v>4</v>
      </c>
      <c r="L210" s="74"/>
      <c r="M210" s="77" t="str">
        <f>IF(Main[[#This Row],[Tech Start Date]]&lt;1/1/1990,"",IF(Main[[#This Row],[Class]]="C",WORKDAY(Main[[#This Row],[Tech Start Date]],9),IF(Main[[#This Row],[Class]]="B", WORKDAY(Main[[#This Row],[Tech Start Date]],6),IF(Main[[#This Row],[Class]]="A",WORKDAY(Main[[#This Row],[Tech Start Date]],2),""))))</f>
        <v/>
      </c>
      <c r="N210" s="77" t="str">
        <f>IF(Main[[#This Row],[Tech Start Date]]&lt;1/1/1990,"",IF(Main[[#This Row],[Class]]="C",WORKDAY(Main[[#This Row],[Tech Start Date]],19),IF(Main[[#This Row],[Class]]="B", WORKDAY(Main[[#This Row],[Tech Start Date]],12),IF(Main[[#This Row],[Class]]="A",WORKDAY(Main[[#This Row],[Tech Start Date]],4),""))))</f>
        <v/>
      </c>
      <c r="O210" s="77" t="str">
        <f>IF(Main[[#This Row],[Tech Start Date]]&lt;1/1/1990,"",IF(Main[[#This Row],[Class]]="C",WORKDAY(Main[[#This Row],[Tech Start Date]],23),IF(Main[[#This Row],[Class]]="B", WORKDAY(Main[[#This Row],[Tech Start Date]],15),IF(Main[[#This Row],[Class]]="A",WORKDAY(Main[[#This Row],[Tech Start Date]],5),""))))</f>
        <v/>
      </c>
      <c r="P210" s="77" t="str">
        <f>IF(Main[[#This Row],[Tech Start Date]]&lt;1/1/1990,"",IF(Main[[#This Row],[Class]]="C",WORKDAY(Main[[#This Row],[Tech Start Date]],28),IF(Main[[#This Row],[Class]]="B", WORKDAY(Main[[#This Row],[Tech Start Date]],19),IF(Main[[#This Row],[Class]]="A",WORKDAY(Main[[#This Row],[Tech Start Date]],9),""))))</f>
        <v/>
      </c>
      <c r="Q210" s="74">
        <v>40737</v>
      </c>
      <c r="R210" s="74"/>
      <c r="S210" s="72" t="s">
        <v>6</v>
      </c>
      <c r="T210" s="80" t="s">
        <v>4</v>
      </c>
      <c r="U210" s="72" t="s">
        <v>14</v>
      </c>
      <c r="V210" s="72" t="s">
        <v>1935</v>
      </c>
      <c r="W210" s="72" t="s">
        <v>1936</v>
      </c>
      <c r="X210" s="72" t="s">
        <v>2920</v>
      </c>
      <c r="Y210" s="72" t="s">
        <v>3052</v>
      </c>
      <c r="Z210" s="72" t="s">
        <v>4</v>
      </c>
      <c r="AA210" s="147" t="s">
        <v>2920</v>
      </c>
    </row>
    <row r="211" spans="1:27" ht="18.600000000000001" customHeight="1">
      <c r="A211" s="140" t="str">
        <f>IF(priority(Main[[#This Row],[Comments]])&lt;&gt;0, priority(Main[[#This Row],[Comments]]),"")</f>
        <v/>
      </c>
      <c r="B211" s="90" t="s">
        <v>2827</v>
      </c>
      <c r="C211" s="72" t="s">
        <v>4</v>
      </c>
      <c r="D211" s="73" t="s">
        <v>2828</v>
      </c>
      <c r="E211" s="74">
        <v>40905.638495370367</v>
      </c>
      <c r="F211" s="74"/>
      <c r="G211" s="75" t="str">
        <f>IF(stdProdLT(Main[[#This Row],[Comments]])=0.1,"N/A",IF(stdProdLT(Main[[#This Row],[Comments]])=0,"",stdProdLT(Main[[#This Row],[Comments]])))</f>
        <v/>
      </c>
      <c r="H211" s="76" t="str">
        <f>IF(AND(Main[[#This Row],[In Stock Date]]&lt;&gt;"",Main[[#This Row],[Revised Due Date]]&lt;&gt;""),Main[[#This Row],[In Stock Date]]-Main[[#This Row],[Revised Due Date]],"")</f>
        <v/>
      </c>
      <c r="I211" s="72" t="s">
        <v>2066</v>
      </c>
      <c r="J211" s="72" t="s">
        <v>52</v>
      </c>
      <c r="K211" s="72" t="s">
        <v>1941</v>
      </c>
      <c r="L211" s="74"/>
      <c r="M211" s="77" t="str">
        <f>IF(Main[[#This Row],[Tech Start Date]]&lt;1/1/1990,"",IF(Main[[#This Row],[Class]]="C",WORKDAY(Main[[#This Row],[Tech Start Date]],9),IF(Main[[#This Row],[Class]]="B", WORKDAY(Main[[#This Row],[Tech Start Date]],6),IF(Main[[#This Row],[Class]]="A",WORKDAY(Main[[#This Row],[Tech Start Date]],2),""))))</f>
        <v/>
      </c>
      <c r="N211" s="77" t="str">
        <f>IF(Main[[#This Row],[Tech Start Date]]&lt;1/1/1990,"",IF(Main[[#This Row],[Class]]="C",WORKDAY(Main[[#This Row],[Tech Start Date]],19),IF(Main[[#This Row],[Class]]="B", WORKDAY(Main[[#This Row],[Tech Start Date]],12),IF(Main[[#This Row],[Class]]="A",WORKDAY(Main[[#This Row],[Tech Start Date]],4),""))))</f>
        <v/>
      </c>
      <c r="O211" s="77" t="str">
        <f>IF(Main[[#This Row],[Tech Start Date]]&lt;1/1/1990,"",IF(Main[[#This Row],[Class]]="C",WORKDAY(Main[[#This Row],[Tech Start Date]],23),IF(Main[[#This Row],[Class]]="B", WORKDAY(Main[[#This Row],[Tech Start Date]],15),IF(Main[[#This Row],[Class]]="A",WORKDAY(Main[[#This Row],[Tech Start Date]],5),""))))</f>
        <v/>
      </c>
      <c r="P211" s="77" t="str">
        <f>IF(Main[[#This Row],[Tech Start Date]]&lt;1/1/1990,"",IF(Main[[#This Row],[Class]]="C",WORKDAY(Main[[#This Row],[Tech Start Date]],28),IF(Main[[#This Row],[Class]]="B", WORKDAY(Main[[#This Row],[Tech Start Date]],19),IF(Main[[#This Row],[Class]]="A",WORKDAY(Main[[#This Row],[Tech Start Date]],9),""))))</f>
        <v/>
      </c>
      <c r="Q211" s="74">
        <v>41027</v>
      </c>
      <c r="R211" s="74"/>
      <c r="S211" s="72" t="s">
        <v>6</v>
      </c>
      <c r="T211" s="80" t="s">
        <v>4</v>
      </c>
      <c r="U211" s="72" t="s">
        <v>29</v>
      </c>
      <c r="V211" s="72" t="s">
        <v>1935</v>
      </c>
      <c r="W211" s="72" t="s">
        <v>1936</v>
      </c>
      <c r="X211" s="72" t="s">
        <v>30</v>
      </c>
      <c r="Y211" s="72" t="s">
        <v>3027</v>
      </c>
      <c r="Z211" s="72" t="s">
        <v>30</v>
      </c>
      <c r="AA211" s="147" t="s">
        <v>30</v>
      </c>
    </row>
    <row r="212" spans="1:27" ht="18.600000000000001" customHeight="1">
      <c r="A212" s="140" t="str">
        <f>IF(priority(Main[[#This Row],[Comments]])&lt;&gt;0, priority(Main[[#This Row],[Comments]]),"")</f>
        <v/>
      </c>
      <c r="B212" s="90" t="s">
        <v>1115</v>
      </c>
      <c r="C212" s="72" t="s">
        <v>4</v>
      </c>
      <c r="D212" s="73" t="s">
        <v>125</v>
      </c>
      <c r="E212" s="74"/>
      <c r="F212" s="74"/>
      <c r="G212" s="75" t="str">
        <f>IF(stdProdLT(Main[[#This Row],[Comments]])=0.1,"N/A",IF(stdProdLT(Main[[#This Row],[Comments]])=0,"",stdProdLT(Main[[#This Row],[Comments]])))</f>
        <v/>
      </c>
      <c r="H212" s="76" t="str">
        <f>IF(AND(Main[[#This Row],[In Stock Date]]&lt;&gt;"",Main[[#This Row],[Revised Due Date]]&lt;&gt;""),Main[[#This Row],[In Stock Date]]-Main[[#This Row],[Revised Due Date]],"")</f>
        <v/>
      </c>
      <c r="I212" s="72" t="s">
        <v>126</v>
      </c>
      <c r="J212" s="72" t="s">
        <v>4</v>
      </c>
      <c r="K212" s="81" t="s">
        <v>4</v>
      </c>
      <c r="L212" s="74"/>
      <c r="M212" s="77" t="str">
        <f>IF(Main[[#This Row],[Tech Start Date]]&lt;1/1/1990,"",IF(Main[[#This Row],[Class]]="C",WORKDAY(Main[[#This Row],[Tech Start Date]],9),IF(Main[[#This Row],[Class]]="B", WORKDAY(Main[[#This Row],[Tech Start Date]],6),IF(Main[[#This Row],[Class]]="A",WORKDAY(Main[[#This Row],[Tech Start Date]],2),""))))</f>
        <v/>
      </c>
      <c r="N212" s="77" t="str">
        <f>IF(Main[[#This Row],[Tech Start Date]]&lt;1/1/1990,"",IF(Main[[#This Row],[Class]]="C",WORKDAY(Main[[#This Row],[Tech Start Date]],19),IF(Main[[#This Row],[Class]]="B", WORKDAY(Main[[#This Row],[Tech Start Date]],12),IF(Main[[#This Row],[Class]]="A",WORKDAY(Main[[#This Row],[Tech Start Date]],4),""))))</f>
        <v/>
      </c>
      <c r="O212" s="77" t="str">
        <f>IF(Main[[#This Row],[Tech Start Date]]&lt;1/1/1990,"",IF(Main[[#This Row],[Class]]="C",WORKDAY(Main[[#This Row],[Tech Start Date]],23),IF(Main[[#This Row],[Class]]="B", WORKDAY(Main[[#This Row],[Tech Start Date]],15),IF(Main[[#This Row],[Class]]="A",WORKDAY(Main[[#This Row],[Tech Start Date]],5),""))))</f>
        <v/>
      </c>
      <c r="P212" s="77" t="str">
        <f>IF(Main[[#This Row],[Tech Start Date]]&lt;1/1/1990,"",IF(Main[[#This Row],[Class]]="C",WORKDAY(Main[[#This Row],[Tech Start Date]],28),IF(Main[[#This Row],[Class]]="B", WORKDAY(Main[[#This Row],[Tech Start Date]],19),IF(Main[[#This Row],[Class]]="A",WORKDAY(Main[[#This Row],[Tech Start Date]],9),""))))</f>
        <v/>
      </c>
      <c r="Q212" s="74">
        <v>40025</v>
      </c>
      <c r="R212" s="74"/>
      <c r="S212" s="72" t="s">
        <v>11</v>
      </c>
      <c r="T212" s="80" t="s">
        <v>4</v>
      </c>
      <c r="U212" s="72" t="s">
        <v>14</v>
      </c>
      <c r="V212" s="72" t="s">
        <v>1932</v>
      </c>
      <c r="W212" s="72" t="s">
        <v>1940</v>
      </c>
      <c r="X212" s="72" t="s">
        <v>2937</v>
      </c>
      <c r="Y212" s="72" t="s">
        <v>3078</v>
      </c>
      <c r="Z212" s="72" t="s">
        <v>81</v>
      </c>
      <c r="AA212" s="147" t="s">
        <v>2937</v>
      </c>
    </row>
    <row r="213" spans="1:27" ht="18.600000000000001" customHeight="1">
      <c r="A213" s="140" t="str">
        <f>IF(priority(Main[[#This Row],[Comments]])&lt;&gt;0, priority(Main[[#This Row],[Comments]]),"")</f>
        <v/>
      </c>
      <c r="B213" s="90" t="s">
        <v>1116</v>
      </c>
      <c r="C213" s="72" t="s">
        <v>4</v>
      </c>
      <c r="D213" s="73" t="s">
        <v>127</v>
      </c>
      <c r="E213" s="74"/>
      <c r="F213" s="74"/>
      <c r="G213" s="75" t="str">
        <f>IF(stdProdLT(Main[[#This Row],[Comments]])=0.1,"N/A",IF(stdProdLT(Main[[#This Row],[Comments]])=0,"",stdProdLT(Main[[#This Row],[Comments]])))</f>
        <v/>
      </c>
      <c r="H213" s="76" t="str">
        <f>IF(AND(Main[[#This Row],[In Stock Date]]&lt;&gt;"",Main[[#This Row],[Revised Due Date]]&lt;&gt;""),Main[[#This Row],[In Stock Date]]-Main[[#This Row],[Revised Due Date]],"")</f>
        <v/>
      </c>
      <c r="I213" s="72" t="s">
        <v>30</v>
      </c>
      <c r="J213" s="72" t="s">
        <v>21</v>
      </c>
      <c r="K213" s="81" t="s">
        <v>4</v>
      </c>
      <c r="L213" s="74"/>
      <c r="M213" s="77" t="str">
        <f>IF(Main[[#This Row],[Tech Start Date]]&lt;1/1/1990,"",IF(Main[[#This Row],[Class]]="C",WORKDAY(Main[[#This Row],[Tech Start Date]],9),IF(Main[[#This Row],[Class]]="B", WORKDAY(Main[[#This Row],[Tech Start Date]],6),IF(Main[[#This Row],[Class]]="A",WORKDAY(Main[[#This Row],[Tech Start Date]],2),""))))</f>
        <v/>
      </c>
      <c r="N213" s="77" t="str">
        <f>IF(Main[[#This Row],[Tech Start Date]]&lt;1/1/1990,"",IF(Main[[#This Row],[Class]]="C",WORKDAY(Main[[#This Row],[Tech Start Date]],19),IF(Main[[#This Row],[Class]]="B", WORKDAY(Main[[#This Row],[Tech Start Date]],12),IF(Main[[#This Row],[Class]]="A",WORKDAY(Main[[#This Row],[Tech Start Date]],4),""))))</f>
        <v/>
      </c>
      <c r="O213" s="77" t="str">
        <f>IF(Main[[#This Row],[Tech Start Date]]&lt;1/1/1990,"",IF(Main[[#This Row],[Class]]="C",WORKDAY(Main[[#This Row],[Tech Start Date]],23),IF(Main[[#This Row],[Class]]="B", WORKDAY(Main[[#This Row],[Tech Start Date]],15),IF(Main[[#This Row],[Class]]="A",WORKDAY(Main[[#This Row],[Tech Start Date]],5),""))))</f>
        <v/>
      </c>
      <c r="P213" s="77" t="str">
        <f>IF(Main[[#This Row],[Tech Start Date]]&lt;1/1/1990,"",IF(Main[[#This Row],[Class]]="C",WORKDAY(Main[[#This Row],[Tech Start Date]],28),IF(Main[[#This Row],[Class]]="B", WORKDAY(Main[[#This Row],[Tech Start Date]],19),IF(Main[[#This Row],[Class]]="A",WORKDAY(Main[[#This Row],[Tech Start Date]],9),""))))</f>
        <v/>
      </c>
      <c r="Q213" s="74">
        <v>40508</v>
      </c>
      <c r="R213" s="74"/>
      <c r="S213" s="72" t="s">
        <v>6</v>
      </c>
      <c r="T213" s="80" t="s">
        <v>4</v>
      </c>
      <c r="U213" s="72" t="s">
        <v>14</v>
      </c>
      <c r="V213" s="72" t="s">
        <v>1935</v>
      </c>
      <c r="W213" s="72" t="s">
        <v>1934</v>
      </c>
      <c r="X213" s="72" t="s">
        <v>2902</v>
      </c>
      <c r="Y213" s="72" t="s">
        <v>3016</v>
      </c>
      <c r="Z213" s="72" t="s">
        <v>535</v>
      </c>
      <c r="AA213" s="147" t="s">
        <v>2902</v>
      </c>
    </row>
    <row r="214" spans="1:27" ht="18.600000000000001" customHeight="1">
      <c r="A214" s="140" t="str">
        <f>IF(priority(Main[[#This Row],[Comments]])&lt;&gt;0, priority(Main[[#This Row],[Comments]]),"")</f>
        <v/>
      </c>
      <c r="B214" s="90" t="s">
        <v>3362</v>
      </c>
      <c r="C214" s="72" t="s">
        <v>72</v>
      </c>
      <c r="D214" s="73" t="s">
        <v>3363</v>
      </c>
      <c r="E214" s="74"/>
      <c r="F214" s="74"/>
      <c r="G214" s="75" t="str">
        <f>IF(stdProdLT(Main[[#This Row],[Comments]])=0.1,"N/A",IF(stdProdLT(Main[[#This Row],[Comments]])=0,"",stdProdLT(Main[[#This Row],[Comments]])))</f>
        <v/>
      </c>
      <c r="H214" s="76" t="str">
        <f>IF(AND(Main[[#This Row],[In Stock Date]]&lt;&gt;"",Main[[#This Row],[Revised Due Date]]&lt;&gt;""),Main[[#This Row],[In Stock Date]]-Main[[#This Row],[Revised Due Date]],"")</f>
        <v/>
      </c>
      <c r="I214" s="72" t="s">
        <v>4</v>
      </c>
      <c r="J214" s="72" t="s">
        <v>4</v>
      </c>
      <c r="K214" s="81" t="s">
        <v>4</v>
      </c>
      <c r="L214" s="74"/>
      <c r="M214" s="77" t="str">
        <f>IF(Main[[#This Row],[Tech Start Date]]&lt;1/1/1990,"",IF(Main[[#This Row],[Class]]="C",WORKDAY(Main[[#This Row],[Tech Start Date]],9),IF(Main[[#This Row],[Class]]="B", WORKDAY(Main[[#This Row],[Tech Start Date]],6),IF(Main[[#This Row],[Class]]="A",WORKDAY(Main[[#This Row],[Tech Start Date]],2),""))))</f>
        <v/>
      </c>
      <c r="N214" s="77" t="str">
        <f>IF(Main[[#This Row],[Tech Start Date]]&lt;1/1/1990,"",IF(Main[[#This Row],[Class]]="C",WORKDAY(Main[[#This Row],[Tech Start Date]],19),IF(Main[[#This Row],[Class]]="B", WORKDAY(Main[[#This Row],[Tech Start Date]],12),IF(Main[[#This Row],[Class]]="A",WORKDAY(Main[[#This Row],[Tech Start Date]],4),""))))</f>
        <v/>
      </c>
      <c r="O214" s="77" t="str">
        <f>IF(Main[[#This Row],[Tech Start Date]]&lt;1/1/1990,"",IF(Main[[#This Row],[Class]]="C",WORKDAY(Main[[#This Row],[Tech Start Date]],23),IF(Main[[#This Row],[Class]]="B", WORKDAY(Main[[#This Row],[Tech Start Date]],15),IF(Main[[#This Row],[Class]]="A",WORKDAY(Main[[#This Row],[Tech Start Date]],5),""))))</f>
        <v/>
      </c>
      <c r="P214" s="77" t="str">
        <f>IF(Main[[#This Row],[Tech Start Date]]&lt;1/1/1990,"",IF(Main[[#This Row],[Class]]="C",WORKDAY(Main[[#This Row],[Tech Start Date]],28),IF(Main[[#This Row],[Class]]="B", WORKDAY(Main[[#This Row],[Tech Start Date]],19),IF(Main[[#This Row],[Class]]="A",WORKDAY(Main[[#This Row],[Tech Start Date]],9),""))))</f>
        <v/>
      </c>
      <c r="Q214" s="74"/>
      <c r="R214" s="74"/>
      <c r="S214" s="72" t="s">
        <v>11</v>
      </c>
      <c r="T214" s="80" t="s">
        <v>4</v>
      </c>
      <c r="U214" s="72" t="s">
        <v>14</v>
      </c>
      <c r="V214" s="72" t="s">
        <v>1933</v>
      </c>
      <c r="W214" s="72" t="s">
        <v>1940</v>
      </c>
      <c r="X214" s="72" t="s">
        <v>2931</v>
      </c>
      <c r="Y214" s="72" t="s">
        <v>3065</v>
      </c>
      <c r="Z214" s="72" t="s">
        <v>4</v>
      </c>
      <c r="AA214" s="147" t="s">
        <v>2931</v>
      </c>
    </row>
    <row r="215" spans="1:27" ht="18.600000000000001" customHeight="1">
      <c r="A215" s="140" t="str">
        <f>IF(priority(Main[[#This Row],[Comments]])&lt;&gt;0, priority(Main[[#This Row],[Comments]]),"")</f>
        <v/>
      </c>
      <c r="B215" s="90" t="s">
        <v>1117</v>
      </c>
      <c r="C215" s="72" t="s">
        <v>4</v>
      </c>
      <c r="D215" s="73" t="s">
        <v>128</v>
      </c>
      <c r="E215" s="74"/>
      <c r="F215" s="74"/>
      <c r="G215" s="75" t="str">
        <f>IF(stdProdLT(Main[[#This Row],[Comments]])=0.1,"N/A",IF(stdProdLT(Main[[#This Row],[Comments]])=0,"",stdProdLT(Main[[#This Row],[Comments]])))</f>
        <v/>
      </c>
      <c r="H215" s="76" t="str">
        <f>IF(AND(Main[[#This Row],[In Stock Date]]&lt;&gt;"",Main[[#This Row],[Revised Due Date]]&lt;&gt;""),Main[[#This Row],[In Stock Date]]-Main[[#This Row],[Revised Due Date]],"")</f>
        <v/>
      </c>
      <c r="I215" s="72" t="s">
        <v>129</v>
      </c>
      <c r="J215" s="72" t="s">
        <v>4</v>
      </c>
      <c r="K215" s="72" t="s">
        <v>4</v>
      </c>
      <c r="L215" s="74"/>
      <c r="M215" s="77" t="str">
        <f>IF(Main[[#This Row],[Tech Start Date]]&lt;1/1/1990,"",IF(Main[[#This Row],[Class]]="C",WORKDAY(Main[[#This Row],[Tech Start Date]],9),IF(Main[[#This Row],[Class]]="B", WORKDAY(Main[[#This Row],[Tech Start Date]],6),IF(Main[[#This Row],[Class]]="A",WORKDAY(Main[[#This Row],[Tech Start Date]],2),""))))</f>
        <v/>
      </c>
      <c r="N215" s="77" t="str">
        <f>IF(Main[[#This Row],[Tech Start Date]]&lt;1/1/1990,"",IF(Main[[#This Row],[Class]]="C",WORKDAY(Main[[#This Row],[Tech Start Date]],19),IF(Main[[#This Row],[Class]]="B", WORKDAY(Main[[#This Row],[Tech Start Date]],12),IF(Main[[#This Row],[Class]]="A",WORKDAY(Main[[#This Row],[Tech Start Date]],4),""))))</f>
        <v/>
      </c>
      <c r="O215" s="77" t="str">
        <f>IF(Main[[#This Row],[Tech Start Date]]&lt;1/1/1990,"",IF(Main[[#This Row],[Class]]="C",WORKDAY(Main[[#This Row],[Tech Start Date]],23),IF(Main[[#This Row],[Class]]="B", WORKDAY(Main[[#This Row],[Tech Start Date]],15),IF(Main[[#This Row],[Class]]="A",WORKDAY(Main[[#This Row],[Tech Start Date]],5),""))))</f>
        <v/>
      </c>
      <c r="P215" s="77" t="str">
        <f>IF(Main[[#This Row],[Tech Start Date]]&lt;1/1/1990,"",IF(Main[[#This Row],[Class]]="C",WORKDAY(Main[[#This Row],[Tech Start Date]],28),IF(Main[[#This Row],[Class]]="B", WORKDAY(Main[[#This Row],[Tech Start Date]],19),IF(Main[[#This Row],[Class]]="A",WORKDAY(Main[[#This Row],[Tech Start Date]],9),""))))</f>
        <v/>
      </c>
      <c r="Q215" s="74"/>
      <c r="R215" s="74"/>
      <c r="S215" s="72" t="s">
        <v>17</v>
      </c>
      <c r="T215" s="80" t="s">
        <v>4</v>
      </c>
      <c r="U215" s="72" t="s">
        <v>14</v>
      </c>
      <c r="V215" s="72" t="s">
        <v>1932</v>
      </c>
      <c r="W215" s="72" t="s">
        <v>1936</v>
      </c>
      <c r="X215" s="72" t="s">
        <v>933</v>
      </c>
      <c r="Y215" s="72" t="s">
        <v>3079</v>
      </c>
      <c r="Z215" s="72" t="s">
        <v>4</v>
      </c>
      <c r="AA215" s="147" t="s">
        <v>129</v>
      </c>
    </row>
    <row r="216" spans="1:27" ht="18.600000000000001" customHeight="1">
      <c r="A216" s="140" t="str">
        <f>IF(priority(Main[[#This Row],[Comments]])&lt;&gt;0, priority(Main[[#This Row],[Comments]]),"")</f>
        <v/>
      </c>
      <c r="B216" s="90" t="s">
        <v>1105</v>
      </c>
      <c r="C216" s="72" t="s">
        <v>31</v>
      </c>
      <c r="D216" s="73" t="s">
        <v>143</v>
      </c>
      <c r="E216" s="74"/>
      <c r="F216" s="74"/>
      <c r="G216" s="75" t="str">
        <f>IF(stdProdLT(Main[[#This Row],[Comments]])=0.1,"N/A",IF(stdProdLT(Main[[#This Row],[Comments]])=0,"",stdProdLT(Main[[#This Row],[Comments]])))</f>
        <v/>
      </c>
      <c r="H216" s="76" t="str">
        <f>IF(AND(Main[[#This Row],[In Stock Date]]&lt;&gt;"",Main[[#This Row],[Revised Due Date]]&lt;&gt;""),Main[[#This Row],[In Stock Date]]-Main[[#This Row],[Revised Due Date]],"")</f>
        <v/>
      </c>
      <c r="I216" s="72" t="s">
        <v>4</v>
      </c>
      <c r="J216" s="72" t="s">
        <v>4</v>
      </c>
      <c r="K216" s="72" t="s">
        <v>4</v>
      </c>
      <c r="L216" s="74"/>
      <c r="M216" s="77" t="str">
        <f>IF(Main[[#This Row],[Tech Start Date]]&lt;1/1/1990,"",IF(Main[[#This Row],[Class]]="C",WORKDAY(Main[[#This Row],[Tech Start Date]],9),IF(Main[[#This Row],[Class]]="B", WORKDAY(Main[[#This Row],[Tech Start Date]],6),IF(Main[[#This Row],[Class]]="A",WORKDAY(Main[[#This Row],[Tech Start Date]],2),""))))</f>
        <v/>
      </c>
      <c r="N216" s="77" t="str">
        <f>IF(Main[[#This Row],[Tech Start Date]]&lt;1/1/1990,"",IF(Main[[#This Row],[Class]]="C",WORKDAY(Main[[#This Row],[Tech Start Date]],19),IF(Main[[#This Row],[Class]]="B", WORKDAY(Main[[#This Row],[Tech Start Date]],12),IF(Main[[#This Row],[Class]]="A",WORKDAY(Main[[#This Row],[Tech Start Date]],4),""))))</f>
        <v/>
      </c>
      <c r="O216" s="77" t="str">
        <f>IF(Main[[#This Row],[Tech Start Date]]&lt;1/1/1990,"",IF(Main[[#This Row],[Class]]="C",WORKDAY(Main[[#This Row],[Tech Start Date]],23),IF(Main[[#This Row],[Class]]="B", WORKDAY(Main[[#This Row],[Tech Start Date]],15),IF(Main[[#This Row],[Class]]="A",WORKDAY(Main[[#This Row],[Tech Start Date]],5),""))))</f>
        <v/>
      </c>
      <c r="P216" s="77" t="str">
        <f>IF(Main[[#This Row],[Tech Start Date]]&lt;1/1/1990,"",IF(Main[[#This Row],[Class]]="C",WORKDAY(Main[[#This Row],[Tech Start Date]],28),IF(Main[[#This Row],[Class]]="B", WORKDAY(Main[[#This Row],[Tech Start Date]],19),IF(Main[[#This Row],[Class]]="A",WORKDAY(Main[[#This Row],[Tech Start Date]],9),""))))</f>
        <v/>
      </c>
      <c r="Q216" s="74">
        <v>40318</v>
      </c>
      <c r="R216" s="74"/>
      <c r="S216" s="72" t="s">
        <v>11</v>
      </c>
      <c r="T216" s="80" t="s">
        <v>4</v>
      </c>
      <c r="U216" s="72" t="s">
        <v>14</v>
      </c>
      <c r="V216" s="72" t="s">
        <v>1935</v>
      </c>
      <c r="W216" s="72" t="s">
        <v>1934</v>
      </c>
      <c r="X216" s="72" t="s">
        <v>2914</v>
      </c>
      <c r="Y216" s="72" t="s">
        <v>4</v>
      </c>
      <c r="Z216" s="72" t="s">
        <v>4</v>
      </c>
      <c r="AA216" s="147" t="s">
        <v>2914</v>
      </c>
    </row>
    <row r="217" spans="1:27" ht="18.600000000000001" customHeight="1">
      <c r="A217" s="140" t="str">
        <f>IF(priority(Main[[#This Row],[Comments]])&lt;&gt;0, priority(Main[[#This Row],[Comments]]),"")</f>
        <v/>
      </c>
      <c r="B217" s="90" t="s">
        <v>2365</v>
      </c>
      <c r="C217" s="72" t="s">
        <v>351</v>
      </c>
      <c r="D217" s="73" t="s">
        <v>2366</v>
      </c>
      <c r="E217" s="74"/>
      <c r="F217" s="74"/>
      <c r="G217" s="75" t="str">
        <f>IF(stdProdLT(Main[[#This Row],[Comments]])=0.1,"N/A",IF(stdProdLT(Main[[#This Row],[Comments]])=0,"",stdProdLT(Main[[#This Row],[Comments]])))</f>
        <v/>
      </c>
      <c r="H217" s="76" t="str">
        <f>IF(AND(Main[[#This Row],[In Stock Date]]&lt;&gt;"",Main[[#This Row],[Revised Due Date]]&lt;&gt;""),Main[[#This Row],[In Stock Date]]-Main[[#This Row],[Revised Due Date]],"")</f>
        <v/>
      </c>
      <c r="I217" s="72" t="s">
        <v>4</v>
      </c>
      <c r="J217" s="72" t="s">
        <v>4</v>
      </c>
      <c r="K217" s="72" t="s">
        <v>4</v>
      </c>
      <c r="L217" s="74"/>
      <c r="M217" s="77" t="str">
        <f>IF(Main[[#This Row],[Tech Start Date]]&lt;1/1/1990,"",IF(Main[[#This Row],[Class]]="C",WORKDAY(Main[[#This Row],[Tech Start Date]],9),IF(Main[[#This Row],[Class]]="B", WORKDAY(Main[[#This Row],[Tech Start Date]],6),IF(Main[[#This Row],[Class]]="A",WORKDAY(Main[[#This Row],[Tech Start Date]],2),""))))</f>
        <v/>
      </c>
      <c r="N217" s="77" t="str">
        <f>IF(Main[[#This Row],[Tech Start Date]]&lt;1/1/1990,"",IF(Main[[#This Row],[Class]]="C",WORKDAY(Main[[#This Row],[Tech Start Date]],19),IF(Main[[#This Row],[Class]]="B", WORKDAY(Main[[#This Row],[Tech Start Date]],12),IF(Main[[#This Row],[Class]]="A",WORKDAY(Main[[#This Row],[Tech Start Date]],4),""))))</f>
        <v/>
      </c>
      <c r="O217" s="77" t="str">
        <f>IF(Main[[#This Row],[Tech Start Date]]&lt;1/1/1990,"",IF(Main[[#This Row],[Class]]="C",WORKDAY(Main[[#This Row],[Tech Start Date]],23),IF(Main[[#This Row],[Class]]="B", WORKDAY(Main[[#This Row],[Tech Start Date]],15),IF(Main[[#This Row],[Class]]="A",WORKDAY(Main[[#This Row],[Tech Start Date]],5),""))))</f>
        <v/>
      </c>
      <c r="P217" s="77" t="str">
        <f>IF(Main[[#This Row],[Tech Start Date]]&lt;1/1/1990,"",IF(Main[[#This Row],[Class]]="C",WORKDAY(Main[[#This Row],[Tech Start Date]],28),IF(Main[[#This Row],[Class]]="B", WORKDAY(Main[[#This Row],[Tech Start Date]],19),IF(Main[[#This Row],[Class]]="A",WORKDAY(Main[[#This Row],[Tech Start Date]],9),""))))</f>
        <v/>
      </c>
      <c r="Q217" s="74">
        <v>40847</v>
      </c>
      <c r="R217" s="74"/>
      <c r="S217" s="72" t="s">
        <v>4</v>
      </c>
      <c r="T217" s="80" t="s">
        <v>4</v>
      </c>
      <c r="U217" s="72" t="s">
        <v>12</v>
      </c>
      <c r="V217" s="72" t="s">
        <v>1932</v>
      </c>
      <c r="W217" s="72" t="s">
        <v>4</v>
      </c>
      <c r="X217" s="72" t="s">
        <v>2933</v>
      </c>
      <c r="Y217" s="72" t="s">
        <v>3070</v>
      </c>
      <c r="Z217" s="72" t="s">
        <v>4</v>
      </c>
      <c r="AA217" s="147" t="s">
        <v>2933</v>
      </c>
    </row>
    <row r="218" spans="1:27" ht="18.600000000000001" customHeight="1">
      <c r="A218" s="140" t="str">
        <f>IF(priority(Main[[#This Row],[Comments]])&lt;&gt;0, priority(Main[[#This Row],[Comments]]),"")</f>
        <v/>
      </c>
      <c r="B218" s="90" t="s">
        <v>2090</v>
      </c>
      <c r="C218" s="72" t="s">
        <v>4</v>
      </c>
      <c r="D218" s="73" t="s">
        <v>2091</v>
      </c>
      <c r="E218" s="74"/>
      <c r="F218" s="74"/>
      <c r="G218" s="75" t="str">
        <f>IF(stdProdLT(Main[[#This Row],[Comments]])=0.1,"N/A",IF(stdProdLT(Main[[#This Row],[Comments]])=0,"",stdProdLT(Main[[#This Row],[Comments]])))</f>
        <v/>
      </c>
      <c r="H218" s="76" t="str">
        <f>IF(AND(Main[[#This Row],[In Stock Date]]&lt;&gt;"",Main[[#This Row],[Revised Due Date]]&lt;&gt;""),Main[[#This Row],[In Stock Date]]-Main[[#This Row],[Revised Due Date]],"")</f>
        <v/>
      </c>
      <c r="I218" s="72" t="s">
        <v>4</v>
      </c>
      <c r="J218" s="72" t="s">
        <v>4</v>
      </c>
      <c r="K218" s="72" t="s">
        <v>4</v>
      </c>
      <c r="L218" s="74"/>
      <c r="M218" s="77" t="str">
        <f>IF(Main[[#This Row],[Tech Start Date]]&lt;1/1/1990,"",IF(Main[[#This Row],[Class]]="C",WORKDAY(Main[[#This Row],[Tech Start Date]],9),IF(Main[[#This Row],[Class]]="B", WORKDAY(Main[[#This Row],[Tech Start Date]],6),IF(Main[[#This Row],[Class]]="A",WORKDAY(Main[[#This Row],[Tech Start Date]],2),""))))</f>
        <v/>
      </c>
      <c r="N218" s="77" t="str">
        <f>IF(Main[[#This Row],[Tech Start Date]]&lt;1/1/1990,"",IF(Main[[#This Row],[Class]]="C",WORKDAY(Main[[#This Row],[Tech Start Date]],19),IF(Main[[#This Row],[Class]]="B", WORKDAY(Main[[#This Row],[Tech Start Date]],12),IF(Main[[#This Row],[Class]]="A",WORKDAY(Main[[#This Row],[Tech Start Date]],4),""))))</f>
        <v/>
      </c>
      <c r="O218" s="77" t="str">
        <f>IF(Main[[#This Row],[Tech Start Date]]&lt;1/1/1990,"",IF(Main[[#This Row],[Class]]="C",WORKDAY(Main[[#This Row],[Tech Start Date]],23),IF(Main[[#This Row],[Class]]="B", WORKDAY(Main[[#This Row],[Tech Start Date]],15),IF(Main[[#This Row],[Class]]="A",WORKDAY(Main[[#This Row],[Tech Start Date]],5),""))))</f>
        <v/>
      </c>
      <c r="P218" s="77" t="str">
        <f>IF(Main[[#This Row],[Tech Start Date]]&lt;1/1/1990,"",IF(Main[[#This Row],[Class]]="C",WORKDAY(Main[[#This Row],[Tech Start Date]],28),IF(Main[[#This Row],[Class]]="B", WORKDAY(Main[[#This Row],[Tech Start Date]],19),IF(Main[[#This Row],[Class]]="A",WORKDAY(Main[[#This Row],[Tech Start Date]],9),""))))</f>
        <v/>
      </c>
      <c r="Q218" s="74"/>
      <c r="R218" s="155"/>
      <c r="S218" s="72" t="s">
        <v>6</v>
      </c>
      <c r="T218" s="80" t="s">
        <v>4</v>
      </c>
      <c r="U218" s="72" t="s">
        <v>14</v>
      </c>
      <c r="V218" s="72" t="s">
        <v>1942</v>
      </c>
      <c r="W218" s="72" t="s">
        <v>1936</v>
      </c>
      <c r="X218" s="72" t="s">
        <v>310</v>
      </c>
      <c r="Y218" s="72" t="s">
        <v>4</v>
      </c>
      <c r="Z218" s="72" t="s">
        <v>4</v>
      </c>
      <c r="AA218" s="147" t="s">
        <v>4</v>
      </c>
    </row>
    <row r="219" spans="1:27" ht="18.600000000000001" customHeight="1">
      <c r="A219" s="140" t="str">
        <f>IF(priority(Main[[#This Row],[Comments]])&lt;&gt;0, priority(Main[[#This Row],[Comments]]),"")</f>
        <v/>
      </c>
      <c r="B219" s="90" t="s">
        <v>2367</v>
      </c>
      <c r="C219" s="72" t="s">
        <v>4</v>
      </c>
      <c r="D219" s="73" t="s">
        <v>2368</v>
      </c>
      <c r="E219" s="74">
        <v>40841.293483796297</v>
      </c>
      <c r="F219" s="74"/>
      <c r="G219" s="75" t="str">
        <f>IF(stdProdLT(Main[[#This Row],[Comments]])=0.1,"N/A",IF(stdProdLT(Main[[#This Row],[Comments]])=0,"",stdProdLT(Main[[#This Row],[Comments]])))</f>
        <v/>
      </c>
      <c r="H219" s="76" t="str">
        <f>IF(AND(Main[[#This Row],[In Stock Date]]&lt;&gt;"",Main[[#This Row],[Revised Due Date]]&lt;&gt;""),Main[[#This Row],[In Stock Date]]-Main[[#This Row],[Revised Due Date]],"")</f>
        <v/>
      </c>
      <c r="I219" s="72" t="s">
        <v>923</v>
      </c>
      <c r="J219" s="72" t="s">
        <v>52</v>
      </c>
      <c r="K219" s="72" t="s">
        <v>4</v>
      </c>
      <c r="L219" s="74"/>
      <c r="M219" s="77" t="str">
        <f>IF(Main[[#This Row],[Tech Start Date]]&lt;1/1/1990,"",IF(Main[[#This Row],[Class]]="C",WORKDAY(Main[[#This Row],[Tech Start Date]],9),IF(Main[[#This Row],[Class]]="B", WORKDAY(Main[[#This Row],[Tech Start Date]],6),IF(Main[[#This Row],[Class]]="A",WORKDAY(Main[[#This Row],[Tech Start Date]],2),""))))</f>
        <v/>
      </c>
      <c r="N219" s="77" t="str">
        <f>IF(Main[[#This Row],[Tech Start Date]]&lt;1/1/1990,"",IF(Main[[#This Row],[Class]]="C",WORKDAY(Main[[#This Row],[Tech Start Date]],19),IF(Main[[#This Row],[Class]]="B", WORKDAY(Main[[#This Row],[Tech Start Date]],12),IF(Main[[#This Row],[Class]]="A",WORKDAY(Main[[#This Row],[Tech Start Date]],4),""))))</f>
        <v/>
      </c>
      <c r="O219" s="77" t="str">
        <f>IF(Main[[#This Row],[Tech Start Date]]&lt;1/1/1990,"",IF(Main[[#This Row],[Class]]="C",WORKDAY(Main[[#This Row],[Tech Start Date]],23),IF(Main[[#This Row],[Class]]="B", WORKDAY(Main[[#This Row],[Tech Start Date]],15),IF(Main[[#This Row],[Class]]="A",WORKDAY(Main[[#This Row],[Tech Start Date]],5),""))))</f>
        <v/>
      </c>
      <c r="P219" s="77" t="str">
        <f>IF(Main[[#This Row],[Tech Start Date]]&lt;1/1/1990,"",IF(Main[[#This Row],[Class]]="C",WORKDAY(Main[[#This Row],[Tech Start Date]],28),IF(Main[[#This Row],[Class]]="B", WORKDAY(Main[[#This Row],[Tech Start Date]],19),IF(Main[[#This Row],[Class]]="A",WORKDAY(Main[[#This Row],[Tech Start Date]],9),""))))</f>
        <v/>
      </c>
      <c r="Q219" s="74"/>
      <c r="R219" s="74"/>
      <c r="S219" s="72" t="s">
        <v>6</v>
      </c>
      <c r="T219" s="80" t="s">
        <v>4</v>
      </c>
      <c r="U219" s="72" t="s">
        <v>29</v>
      </c>
      <c r="V219" s="72" t="s">
        <v>1932</v>
      </c>
      <c r="W219" s="72" t="s">
        <v>1936</v>
      </c>
      <c r="X219" s="72" t="s">
        <v>949</v>
      </c>
      <c r="Y219" s="72" t="s">
        <v>3071</v>
      </c>
      <c r="Z219" s="72" t="s">
        <v>4</v>
      </c>
      <c r="AA219" s="147" t="s">
        <v>949</v>
      </c>
    </row>
    <row r="220" spans="1:27" ht="18.600000000000001" customHeight="1">
      <c r="A220" s="157" t="str">
        <f>IF(priority(Main[[#This Row],[Comments]])&lt;&gt;0, priority(Main[[#This Row],[Comments]]),"")</f>
        <v/>
      </c>
      <c r="B220" s="158" t="s">
        <v>1106</v>
      </c>
      <c r="C220" s="159" t="s">
        <v>33</v>
      </c>
      <c r="D220" s="160" t="s">
        <v>144</v>
      </c>
      <c r="E220" s="162"/>
      <c r="F220" s="162">
        <v>40422</v>
      </c>
      <c r="G220" s="164" t="str">
        <f>IF(stdProdLT(Main[[#This Row],[Comments]])=0.1,"N/A",IF(stdProdLT(Main[[#This Row],[Comments]])=0,"",stdProdLT(Main[[#This Row],[Comments]])))</f>
        <v/>
      </c>
      <c r="H220" s="166" t="str">
        <f>IF(AND(Main[[#This Row],[In Stock Date]]&lt;&gt;"",Main[[#This Row],[Revised Due Date]]&lt;&gt;""),Main[[#This Row],[In Stock Date]]-Main[[#This Row],[Revised Due Date]],"")</f>
        <v/>
      </c>
      <c r="I220" s="159" t="s">
        <v>4</v>
      </c>
      <c r="J220" s="159" t="s">
        <v>4</v>
      </c>
      <c r="K220" s="159" t="s">
        <v>4</v>
      </c>
      <c r="L220" s="162"/>
      <c r="M220" s="169" t="str">
        <f>IF(Main[[#This Row],[Tech Start Date]]&lt;1/1/1990,"",IF(Main[[#This Row],[Class]]="C",WORKDAY(Main[[#This Row],[Tech Start Date]],9),IF(Main[[#This Row],[Class]]="B", WORKDAY(Main[[#This Row],[Tech Start Date]],6),IF(Main[[#This Row],[Class]]="A",WORKDAY(Main[[#This Row],[Tech Start Date]],2),""))))</f>
        <v/>
      </c>
      <c r="N220" s="169" t="str">
        <f>IF(Main[[#This Row],[Tech Start Date]]&lt;1/1/1990,"",IF(Main[[#This Row],[Class]]="C",WORKDAY(Main[[#This Row],[Tech Start Date]],19),IF(Main[[#This Row],[Class]]="B", WORKDAY(Main[[#This Row],[Tech Start Date]],12),IF(Main[[#This Row],[Class]]="A",WORKDAY(Main[[#This Row],[Tech Start Date]],4),""))))</f>
        <v/>
      </c>
      <c r="O220" s="169" t="str">
        <f>IF(Main[[#This Row],[Tech Start Date]]&lt;1/1/1990,"",IF(Main[[#This Row],[Class]]="C",WORKDAY(Main[[#This Row],[Tech Start Date]],23),IF(Main[[#This Row],[Class]]="B", WORKDAY(Main[[#This Row],[Tech Start Date]],15),IF(Main[[#This Row],[Class]]="A",WORKDAY(Main[[#This Row],[Tech Start Date]],5),""))))</f>
        <v/>
      </c>
      <c r="P220" s="169" t="str">
        <f>IF(Main[[#This Row],[Tech Start Date]]&lt;1/1/1990,"",IF(Main[[#This Row],[Class]]="C",WORKDAY(Main[[#This Row],[Tech Start Date]],28),IF(Main[[#This Row],[Class]]="B", WORKDAY(Main[[#This Row],[Tech Start Date]],19),IF(Main[[#This Row],[Class]]="A",WORKDAY(Main[[#This Row],[Tech Start Date]],9),""))))</f>
        <v/>
      </c>
      <c r="Q220" s="162">
        <v>40282</v>
      </c>
      <c r="R220" s="162"/>
      <c r="S220" s="159" t="s">
        <v>11</v>
      </c>
      <c r="T220" s="173" t="s">
        <v>4</v>
      </c>
      <c r="U220" s="159" t="s">
        <v>14</v>
      </c>
      <c r="V220" s="159" t="s">
        <v>1935</v>
      </c>
      <c r="W220" s="159" t="s">
        <v>1937</v>
      </c>
      <c r="X220" s="159" t="s">
        <v>2934</v>
      </c>
      <c r="Y220" s="159" t="s">
        <v>4</v>
      </c>
      <c r="Z220" s="159" t="s">
        <v>4</v>
      </c>
      <c r="AA220" s="154" t="s">
        <v>2934</v>
      </c>
    </row>
    <row r="221" spans="1:27" ht="18.600000000000001" customHeight="1">
      <c r="A221" s="157" t="str">
        <f>IF(priority(Main[[#This Row],[Comments]])&lt;&gt;0, priority(Main[[#This Row],[Comments]]),"")</f>
        <v/>
      </c>
      <c r="B221" s="158" t="s">
        <v>1107</v>
      </c>
      <c r="C221" s="159" t="s">
        <v>4</v>
      </c>
      <c r="D221" s="160" t="s">
        <v>145</v>
      </c>
      <c r="E221" s="162">
        <v>40395.405358796299</v>
      </c>
      <c r="F221" s="162">
        <v>40574</v>
      </c>
      <c r="G221" s="164" t="str">
        <f>IF(stdProdLT(Main[[#This Row],[Comments]])=0.1,"N/A",IF(stdProdLT(Main[[#This Row],[Comments]])=0,"",stdProdLT(Main[[#This Row],[Comments]])))</f>
        <v/>
      </c>
      <c r="H221" s="166" t="str">
        <f>IF(AND(Main[[#This Row],[In Stock Date]]&lt;&gt;"",Main[[#This Row],[Revised Due Date]]&lt;&gt;""),Main[[#This Row],[In Stock Date]]-Main[[#This Row],[Revised Due Date]],"")</f>
        <v/>
      </c>
      <c r="I221" s="159" t="s">
        <v>4</v>
      </c>
      <c r="J221" s="159" t="s">
        <v>28</v>
      </c>
      <c r="K221" s="159" t="s">
        <v>4</v>
      </c>
      <c r="L221" s="162"/>
      <c r="M221" s="169" t="str">
        <f>IF(Main[[#This Row],[Tech Start Date]]&lt;1/1/1990,"",IF(Main[[#This Row],[Class]]="C",WORKDAY(Main[[#This Row],[Tech Start Date]],9),IF(Main[[#This Row],[Class]]="B", WORKDAY(Main[[#This Row],[Tech Start Date]],6),IF(Main[[#This Row],[Class]]="A",WORKDAY(Main[[#This Row],[Tech Start Date]],2),""))))</f>
        <v/>
      </c>
      <c r="N221" s="169" t="str">
        <f>IF(Main[[#This Row],[Tech Start Date]]&lt;1/1/1990,"",IF(Main[[#This Row],[Class]]="C",WORKDAY(Main[[#This Row],[Tech Start Date]],19),IF(Main[[#This Row],[Class]]="B", WORKDAY(Main[[#This Row],[Tech Start Date]],12),IF(Main[[#This Row],[Class]]="A",WORKDAY(Main[[#This Row],[Tech Start Date]],4),""))))</f>
        <v/>
      </c>
      <c r="O221" s="169" t="str">
        <f>IF(Main[[#This Row],[Tech Start Date]]&lt;1/1/1990,"",IF(Main[[#This Row],[Class]]="C",WORKDAY(Main[[#This Row],[Tech Start Date]],23),IF(Main[[#This Row],[Class]]="B", WORKDAY(Main[[#This Row],[Tech Start Date]],15),IF(Main[[#This Row],[Class]]="A",WORKDAY(Main[[#This Row],[Tech Start Date]],5),""))))</f>
        <v/>
      </c>
      <c r="P221" s="169" t="str">
        <f>IF(Main[[#This Row],[Tech Start Date]]&lt;1/1/1990,"",IF(Main[[#This Row],[Class]]="C",WORKDAY(Main[[#This Row],[Tech Start Date]],28),IF(Main[[#This Row],[Class]]="B", WORKDAY(Main[[#This Row],[Tech Start Date]],19),IF(Main[[#This Row],[Class]]="A",WORKDAY(Main[[#This Row],[Tech Start Date]],9),""))))</f>
        <v/>
      </c>
      <c r="Q221" s="162"/>
      <c r="R221" s="162"/>
      <c r="S221" s="159" t="s">
        <v>17</v>
      </c>
      <c r="T221" s="173" t="s">
        <v>4</v>
      </c>
      <c r="U221" s="159" t="s">
        <v>7</v>
      </c>
      <c r="V221" s="159" t="s">
        <v>1933</v>
      </c>
      <c r="W221" s="159" t="s">
        <v>1937</v>
      </c>
      <c r="X221" s="159" t="s">
        <v>50</v>
      </c>
      <c r="Y221" s="159" t="s">
        <v>3072</v>
      </c>
      <c r="Z221" s="159" t="s">
        <v>2946</v>
      </c>
      <c r="AA221" s="154" t="s">
        <v>65</v>
      </c>
    </row>
    <row r="222" spans="1:27" ht="18.600000000000001" customHeight="1">
      <c r="A222" s="157" t="str">
        <f>IF(priority(Main[[#This Row],[Comments]])&lt;&gt;0, priority(Main[[#This Row],[Comments]]),"")</f>
        <v/>
      </c>
      <c r="B222" s="158" t="s">
        <v>1095</v>
      </c>
      <c r="C222" s="159" t="s">
        <v>4</v>
      </c>
      <c r="D222" s="160" t="s">
        <v>134</v>
      </c>
      <c r="E222" s="162"/>
      <c r="F222" s="162"/>
      <c r="G222" s="164" t="str">
        <f>IF(stdProdLT(Main[[#This Row],[Comments]])=0.1,"N/A",IF(stdProdLT(Main[[#This Row],[Comments]])=0,"",stdProdLT(Main[[#This Row],[Comments]])))</f>
        <v/>
      </c>
      <c r="H222" s="166" t="str">
        <f>IF(AND(Main[[#This Row],[In Stock Date]]&lt;&gt;"",Main[[#This Row],[Revised Due Date]]&lt;&gt;""),Main[[#This Row],[In Stock Date]]-Main[[#This Row],[Revised Due Date]],"")</f>
        <v/>
      </c>
      <c r="I222" s="159" t="s">
        <v>69</v>
      </c>
      <c r="J222" s="159" t="s">
        <v>70</v>
      </c>
      <c r="K222" s="159" t="s">
        <v>1941</v>
      </c>
      <c r="L222" s="162"/>
      <c r="M222" s="169" t="str">
        <f>IF(Main[[#This Row],[Tech Start Date]]&lt;1/1/1990,"",IF(Main[[#This Row],[Class]]="C",WORKDAY(Main[[#This Row],[Tech Start Date]],9),IF(Main[[#This Row],[Class]]="B", WORKDAY(Main[[#This Row],[Tech Start Date]],6),IF(Main[[#This Row],[Class]]="A",WORKDAY(Main[[#This Row],[Tech Start Date]],2),""))))</f>
        <v/>
      </c>
      <c r="N222" s="169" t="str">
        <f>IF(Main[[#This Row],[Tech Start Date]]&lt;1/1/1990,"",IF(Main[[#This Row],[Class]]="C",WORKDAY(Main[[#This Row],[Tech Start Date]],19),IF(Main[[#This Row],[Class]]="B", WORKDAY(Main[[#This Row],[Tech Start Date]],12),IF(Main[[#This Row],[Class]]="A",WORKDAY(Main[[#This Row],[Tech Start Date]],4),""))))</f>
        <v/>
      </c>
      <c r="O222" s="169" t="str">
        <f>IF(Main[[#This Row],[Tech Start Date]]&lt;1/1/1990,"",IF(Main[[#This Row],[Class]]="C",WORKDAY(Main[[#This Row],[Tech Start Date]],23),IF(Main[[#This Row],[Class]]="B", WORKDAY(Main[[#This Row],[Tech Start Date]],15),IF(Main[[#This Row],[Class]]="A",WORKDAY(Main[[#This Row],[Tech Start Date]],5),""))))</f>
        <v/>
      </c>
      <c r="P222" s="169" t="str">
        <f>IF(Main[[#This Row],[Tech Start Date]]&lt;1/1/1990,"",IF(Main[[#This Row],[Class]]="C",WORKDAY(Main[[#This Row],[Tech Start Date]],28),IF(Main[[#This Row],[Class]]="B", WORKDAY(Main[[#This Row],[Tech Start Date]],19),IF(Main[[#This Row],[Class]]="A",WORKDAY(Main[[#This Row],[Tech Start Date]],9),""))))</f>
        <v/>
      </c>
      <c r="Q222" s="162">
        <v>40633</v>
      </c>
      <c r="R222" s="162"/>
      <c r="S222" s="159" t="s">
        <v>6</v>
      </c>
      <c r="T222" s="173" t="s">
        <v>4</v>
      </c>
      <c r="U222" s="159" t="s">
        <v>14</v>
      </c>
      <c r="V222" s="159" t="s">
        <v>1935</v>
      </c>
      <c r="W222" s="159" t="s">
        <v>1936</v>
      </c>
      <c r="X222" s="159" t="s">
        <v>2903</v>
      </c>
      <c r="Y222" s="159" t="s">
        <v>3019</v>
      </c>
      <c r="Z222" s="159" t="s">
        <v>44</v>
      </c>
      <c r="AA222" s="154" t="s">
        <v>2903</v>
      </c>
    </row>
    <row r="223" spans="1:27" ht="18.600000000000001" customHeight="1">
      <c r="A223" s="157" t="str">
        <f>IF(priority(Main[[#This Row],[Comments]])&lt;&gt;0, priority(Main[[#This Row],[Comments]]),"")</f>
        <v/>
      </c>
      <c r="B223" s="158" t="s">
        <v>1109</v>
      </c>
      <c r="C223" s="159" t="s">
        <v>47</v>
      </c>
      <c r="D223" s="160" t="s">
        <v>147</v>
      </c>
      <c r="E223" s="162"/>
      <c r="F223" s="162"/>
      <c r="G223" s="164" t="str">
        <f>IF(stdProdLT(Main[[#This Row],[Comments]])=0.1,"N/A",IF(stdProdLT(Main[[#This Row],[Comments]])=0,"",stdProdLT(Main[[#This Row],[Comments]])))</f>
        <v/>
      </c>
      <c r="H223" s="166" t="str">
        <f>IF(AND(Main[[#This Row],[In Stock Date]]&lt;&gt;"",Main[[#This Row],[Revised Due Date]]&lt;&gt;""),Main[[#This Row],[In Stock Date]]-Main[[#This Row],[Revised Due Date]],"")</f>
        <v/>
      </c>
      <c r="I223" s="159" t="s">
        <v>4</v>
      </c>
      <c r="J223" s="159" t="s">
        <v>4</v>
      </c>
      <c r="K223" s="159" t="s">
        <v>4</v>
      </c>
      <c r="L223" s="162"/>
      <c r="M223" s="169" t="str">
        <f>IF(Main[[#This Row],[Tech Start Date]]&lt;1/1/1990,"",IF(Main[[#This Row],[Class]]="C",WORKDAY(Main[[#This Row],[Tech Start Date]],9),IF(Main[[#This Row],[Class]]="B", WORKDAY(Main[[#This Row],[Tech Start Date]],6),IF(Main[[#This Row],[Class]]="A",WORKDAY(Main[[#This Row],[Tech Start Date]],2),""))))</f>
        <v/>
      </c>
      <c r="N223" s="169" t="str">
        <f>IF(Main[[#This Row],[Tech Start Date]]&lt;1/1/1990,"",IF(Main[[#This Row],[Class]]="C",WORKDAY(Main[[#This Row],[Tech Start Date]],19),IF(Main[[#This Row],[Class]]="B", WORKDAY(Main[[#This Row],[Tech Start Date]],12),IF(Main[[#This Row],[Class]]="A",WORKDAY(Main[[#This Row],[Tech Start Date]],4),""))))</f>
        <v/>
      </c>
      <c r="O223" s="169" t="str">
        <f>IF(Main[[#This Row],[Tech Start Date]]&lt;1/1/1990,"",IF(Main[[#This Row],[Class]]="C",WORKDAY(Main[[#This Row],[Tech Start Date]],23),IF(Main[[#This Row],[Class]]="B", WORKDAY(Main[[#This Row],[Tech Start Date]],15),IF(Main[[#This Row],[Class]]="A",WORKDAY(Main[[#This Row],[Tech Start Date]],5),""))))</f>
        <v/>
      </c>
      <c r="P223" s="169" t="str">
        <f>IF(Main[[#This Row],[Tech Start Date]]&lt;1/1/1990,"",IF(Main[[#This Row],[Class]]="C",WORKDAY(Main[[#This Row],[Tech Start Date]],28),IF(Main[[#This Row],[Class]]="B", WORKDAY(Main[[#This Row],[Tech Start Date]],19),IF(Main[[#This Row],[Class]]="A",WORKDAY(Main[[#This Row],[Tech Start Date]],9),""))))</f>
        <v/>
      </c>
      <c r="Q223" s="162"/>
      <c r="R223" s="162"/>
      <c r="S223" s="159" t="s">
        <v>11</v>
      </c>
      <c r="T223" s="173" t="s">
        <v>4</v>
      </c>
      <c r="U223" s="159" t="s">
        <v>14</v>
      </c>
      <c r="V223" s="159" t="s">
        <v>1933</v>
      </c>
      <c r="W223" s="159" t="s">
        <v>1936</v>
      </c>
      <c r="X223" s="159" t="s">
        <v>403</v>
      </c>
      <c r="Y223" s="159" t="s">
        <v>4</v>
      </c>
      <c r="Z223" s="159" t="s">
        <v>4</v>
      </c>
      <c r="AA223" s="154" t="s">
        <v>403</v>
      </c>
    </row>
    <row r="224" spans="1:27" ht="18.600000000000001" customHeight="1">
      <c r="A224" s="157" t="str">
        <f>IF(priority(Main[[#This Row],[Comments]])&lt;&gt;0, priority(Main[[#This Row],[Comments]]),"")</f>
        <v/>
      </c>
      <c r="B224" s="158" t="s">
        <v>3364</v>
      </c>
      <c r="C224" s="159" t="s">
        <v>4</v>
      </c>
      <c r="D224" s="160" t="s">
        <v>3365</v>
      </c>
      <c r="E224" s="162">
        <v>40928.503738425927</v>
      </c>
      <c r="F224" s="162"/>
      <c r="G224" s="164" t="str">
        <f>IF(stdProdLT(Main[[#This Row],[Comments]])=0.1,"N/A",IF(stdProdLT(Main[[#This Row],[Comments]])=0,"",stdProdLT(Main[[#This Row],[Comments]])))</f>
        <v/>
      </c>
      <c r="H224" s="166" t="str">
        <f>IF(AND(Main[[#This Row],[In Stock Date]]&lt;&gt;"",Main[[#This Row],[Revised Due Date]]&lt;&gt;""),Main[[#This Row],[In Stock Date]]-Main[[#This Row],[Revised Due Date]],"")</f>
        <v/>
      </c>
      <c r="I224" s="159" t="s">
        <v>4</v>
      </c>
      <c r="J224" s="159" t="s">
        <v>4</v>
      </c>
      <c r="K224" s="159" t="s">
        <v>4</v>
      </c>
      <c r="L224" s="162"/>
      <c r="M224" s="169" t="str">
        <f>IF(Main[[#This Row],[Tech Start Date]]&lt;1/1/1990,"",IF(Main[[#This Row],[Class]]="C",WORKDAY(Main[[#This Row],[Tech Start Date]],9),IF(Main[[#This Row],[Class]]="B", WORKDAY(Main[[#This Row],[Tech Start Date]],6),IF(Main[[#This Row],[Class]]="A",WORKDAY(Main[[#This Row],[Tech Start Date]],2),""))))</f>
        <v/>
      </c>
      <c r="N224" s="169" t="str">
        <f>IF(Main[[#This Row],[Tech Start Date]]&lt;1/1/1990,"",IF(Main[[#This Row],[Class]]="C",WORKDAY(Main[[#This Row],[Tech Start Date]],19),IF(Main[[#This Row],[Class]]="B", WORKDAY(Main[[#This Row],[Tech Start Date]],12),IF(Main[[#This Row],[Class]]="A",WORKDAY(Main[[#This Row],[Tech Start Date]],4),""))))</f>
        <v/>
      </c>
      <c r="O224" s="169" t="str">
        <f>IF(Main[[#This Row],[Tech Start Date]]&lt;1/1/1990,"",IF(Main[[#This Row],[Class]]="C",WORKDAY(Main[[#This Row],[Tech Start Date]],23),IF(Main[[#This Row],[Class]]="B", WORKDAY(Main[[#This Row],[Tech Start Date]],15),IF(Main[[#This Row],[Class]]="A",WORKDAY(Main[[#This Row],[Tech Start Date]],5),""))))</f>
        <v/>
      </c>
      <c r="P224" s="169" t="str">
        <f>IF(Main[[#This Row],[Tech Start Date]]&lt;1/1/1990,"",IF(Main[[#This Row],[Class]]="C",WORKDAY(Main[[#This Row],[Tech Start Date]],28),IF(Main[[#This Row],[Class]]="B", WORKDAY(Main[[#This Row],[Tech Start Date]],19),IF(Main[[#This Row],[Class]]="A",WORKDAY(Main[[#This Row],[Tech Start Date]],9),""))))</f>
        <v/>
      </c>
      <c r="Q224" s="162"/>
      <c r="R224" s="162"/>
      <c r="S224" s="159" t="s">
        <v>6</v>
      </c>
      <c r="T224" s="173" t="s">
        <v>4</v>
      </c>
      <c r="U224" s="159" t="s">
        <v>29</v>
      </c>
      <c r="V224" s="159" t="s">
        <v>1933</v>
      </c>
      <c r="W224" s="159" t="s">
        <v>1936</v>
      </c>
      <c r="X224" s="159" t="s">
        <v>2278</v>
      </c>
      <c r="Y224" s="159" t="s">
        <v>4</v>
      </c>
      <c r="Z224" s="159" t="s">
        <v>4</v>
      </c>
      <c r="AA224" s="154" t="s">
        <v>4</v>
      </c>
    </row>
    <row r="225" spans="1:27" ht="18.600000000000001" customHeight="1">
      <c r="A225" s="157" t="str">
        <f>IF(priority(Main[[#This Row],[Comments]])&lt;&gt;0, priority(Main[[#This Row],[Comments]]),"")</f>
        <v/>
      </c>
      <c r="B225" s="158" t="s">
        <v>1110</v>
      </c>
      <c r="C225" s="159" t="s">
        <v>4</v>
      </c>
      <c r="D225" s="160" t="s">
        <v>148</v>
      </c>
      <c r="E225" s="162">
        <v>40666.180879629632</v>
      </c>
      <c r="F225" s="162"/>
      <c r="G225" s="164" t="str">
        <f>IF(stdProdLT(Main[[#This Row],[Comments]])=0.1,"N/A",IF(stdProdLT(Main[[#This Row],[Comments]])=0,"",stdProdLT(Main[[#This Row],[Comments]])))</f>
        <v/>
      </c>
      <c r="H225" s="166" t="str">
        <f>IF(AND(Main[[#This Row],[In Stock Date]]&lt;&gt;"",Main[[#This Row],[Revised Due Date]]&lt;&gt;""),Main[[#This Row],[In Stock Date]]-Main[[#This Row],[Revised Due Date]],"")</f>
        <v/>
      </c>
      <c r="I225" s="159" t="s">
        <v>4</v>
      </c>
      <c r="J225" s="159" t="s">
        <v>4</v>
      </c>
      <c r="K225" s="159" t="s">
        <v>4</v>
      </c>
      <c r="L225" s="162"/>
      <c r="M225" s="169" t="str">
        <f>IF(Main[[#This Row],[Tech Start Date]]&lt;1/1/1990,"",IF(Main[[#This Row],[Class]]="C",WORKDAY(Main[[#This Row],[Tech Start Date]],9),IF(Main[[#This Row],[Class]]="B", WORKDAY(Main[[#This Row],[Tech Start Date]],6),IF(Main[[#This Row],[Class]]="A",WORKDAY(Main[[#This Row],[Tech Start Date]],2),""))))</f>
        <v/>
      </c>
      <c r="N225" s="169" t="str">
        <f>IF(Main[[#This Row],[Tech Start Date]]&lt;1/1/1990,"",IF(Main[[#This Row],[Class]]="C",WORKDAY(Main[[#This Row],[Tech Start Date]],19),IF(Main[[#This Row],[Class]]="B", WORKDAY(Main[[#This Row],[Tech Start Date]],12),IF(Main[[#This Row],[Class]]="A",WORKDAY(Main[[#This Row],[Tech Start Date]],4),""))))</f>
        <v/>
      </c>
      <c r="O225" s="169" t="str">
        <f>IF(Main[[#This Row],[Tech Start Date]]&lt;1/1/1990,"",IF(Main[[#This Row],[Class]]="C",WORKDAY(Main[[#This Row],[Tech Start Date]],23),IF(Main[[#This Row],[Class]]="B", WORKDAY(Main[[#This Row],[Tech Start Date]],15),IF(Main[[#This Row],[Class]]="A",WORKDAY(Main[[#This Row],[Tech Start Date]],5),""))))</f>
        <v/>
      </c>
      <c r="P225" s="169" t="str">
        <f>IF(Main[[#This Row],[Tech Start Date]]&lt;1/1/1990,"",IF(Main[[#This Row],[Class]]="C",WORKDAY(Main[[#This Row],[Tech Start Date]],28),IF(Main[[#This Row],[Class]]="B", WORKDAY(Main[[#This Row],[Tech Start Date]],19),IF(Main[[#This Row],[Class]]="A",WORKDAY(Main[[#This Row],[Tech Start Date]],9),""))))</f>
        <v/>
      </c>
      <c r="Q225" s="162">
        <v>40687</v>
      </c>
      <c r="R225" s="162"/>
      <c r="S225" s="159" t="s">
        <v>6</v>
      </c>
      <c r="T225" s="173" t="s">
        <v>4</v>
      </c>
      <c r="U225" s="159" t="s">
        <v>7</v>
      </c>
      <c r="V225" s="159" t="s">
        <v>1932</v>
      </c>
      <c r="W225" s="159" t="s">
        <v>4</v>
      </c>
      <c r="X225" s="159" t="s">
        <v>2935</v>
      </c>
      <c r="Y225" s="159" t="s">
        <v>3073</v>
      </c>
      <c r="Z225" s="159" t="s">
        <v>4</v>
      </c>
      <c r="AA225" s="154" t="s">
        <v>2935</v>
      </c>
    </row>
    <row r="226" spans="1:27" ht="18.600000000000001" customHeight="1">
      <c r="A226" s="157" t="str">
        <f>IF(priority(Main[[#This Row],[Comments]])&lt;&gt;0, priority(Main[[#This Row],[Comments]]),"")</f>
        <v/>
      </c>
      <c r="B226" s="158" t="s">
        <v>1111</v>
      </c>
      <c r="C226" s="159" t="s">
        <v>149</v>
      </c>
      <c r="D226" s="160" t="s">
        <v>150</v>
      </c>
      <c r="E226" s="162"/>
      <c r="F226" s="162"/>
      <c r="G226" s="164" t="str">
        <f>IF(stdProdLT(Main[[#This Row],[Comments]])=0.1,"N/A",IF(stdProdLT(Main[[#This Row],[Comments]])=0,"",stdProdLT(Main[[#This Row],[Comments]])))</f>
        <v/>
      </c>
      <c r="H226" s="166" t="str">
        <f>IF(AND(Main[[#This Row],[In Stock Date]]&lt;&gt;"",Main[[#This Row],[Revised Due Date]]&lt;&gt;""),Main[[#This Row],[In Stock Date]]-Main[[#This Row],[Revised Due Date]],"")</f>
        <v/>
      </c>
      <c r="I226" s="159" t="s">
        <v>4</v>
      </c>
      <c r="J226" s="159" t="s">
        <v>28</v>
      </c>
      <c r="K226" s="159" t="s">
        <v>4</v>
      </c>
      <c r="L226" s="162"/>
      <c r="M226" s="169" t="str">
        <f>IF(Main[[#This Row],[Tech Start Date]]&lt;1/1/1990,"",IF(Main[[#This Row],[Class]]="C",WORKDAY(Main[[#This Row],[Tech Start Date]],9),IF(Main[[#This Row],[Class]]="B", WORKDAY(Main[[#This Row],[Tech Start Date]],6),IF(Main[[#This Row],[Class]]="A",WORKDAY(Main[[#This Row],[Tech Start Date]],2),""))))</f>
        <v/>
      </c>
      <c r="N226" s="169" t="str">
        <f>IF(Main[[#This Row],[Tech Start Date]]&lt;1/1/1990,"",IF(Main[[#This Row],[Class]]="C",WORKDAY(Main[[#This Row],[Tech Start Date]],19),IF(Main[[#This Row],[Class]]="B", WORKDAY(Main[[#This Row],[Tech Start Date]],12),IF(Main[[#This Row],[Class]]="A",WORKDAY(Main[[#This Row],[Tech Start Date]],4),""))))</f>
        <v/>
      </c>
      <c r="O226" s="169" t="str">
        <f>IF(Main[[#This Row],[Tech Start Date]]&lt;1/1/1990,"",IF(Main[[#This Row],[Class]]="C",WORKDAY(Main[[#This Row],[Tech Start Date]],23),IF(Main[[#This Row],[Class]]="B", WORKDAY(Main[[#This Row],[Tech Start Date]],15),IF(Main[[#This Row],[Class]]="A",WORKDAY(Main[[#This Row],[Tech Start Date]],5),""))))</f>
        <v/>
      </c>
      <c r="P226" s="169" t="str">
        <f>IF(Main[[#This Row],[Tech Start Date]]&lt;1/1/1990,"",IF(Main[[#This Row],[Class]]="C",WORKDAY(Main[[#This Row],[Tech Start Date]],28),IF(Main[[#This Row],[Class]]="B", WORKDAY(Main[[#This Row],[Tech Start Date]],19),IF(Main[[#This Row],[Class]]="A",WORKDAY(Main[[#This Row],[Tech Start Date]],9),""))))</f>
        <v/>
      </c>
      <c r="Q226" s="162">
        <v>40511</v>
      </c>
      <c r="R226" s="162"/>
      <c r="S226" s="159" t="s">
        <v>11</v>
      </c>
      <c r="T226" s="173" t="s">
        <v>4</v>
      </c>
      <c r="U226" s="159" t="s">
        <v>14</v>
      </c>
      <c r="V226" s="159" t="s">
        <v>1935</v>
      </c>
      <c r="W226" s="159" t="s">
        <v>1934</v>
      </c>
      <c r="X226" s="159" t="s">
        <v>2927</v>
      </c>
      <c r="Y226" s="159" t="s">
        <v>3074</v>
      </c>
      <c r="Z226" s="159" t="s">
        <v>535</v>
      </c>
      <c r="AA226" s="154" t="s">
        <v>2927</v>
      </c>
    </row>
    <row r="227" spans="1:27" ht="18.600000000000001" customHeight="1">
      <c r="A227" s="157" t="str">
        <f>IF(priority(Main[[#This Row],[Comments]])&lt;&gt;0, priority(Main[[#This Row],[Comments]]),"")</f>
        <v/>
      </c>
      <c r="B227" s="158" t="s">
        <v>2751</v>
      </c>
      <c r="C227" s="159" t="s">
        <v>4</v>
      </c>
      <c r="D227" s="160" t="s">
        <v>2752</v>
      </c>
      <c r="E227" s="162">
        <v>40905.438483796293</v>
      </c>
      <c r="F227" s="162"/>
      <c r="G227" s="164" t="str">
        <f>IF(stdProdLT(Main[[#This Row],[Comments]])=0.1,"N/A",IF(stdProdLT(Main[[#This Row],[Comments]])=0,"",stdProdLT(Main[[#This Row],[Comments]])))</f>
        <v/>
      </c>
      <c r="H227" s="166" t="str">
        <f>IF(AND(Main[[#This Row],[In Stock Date]]&lt;&gt;"",Main[[#This Row],[Revised Due Date]]&lt;&gt;""),Main[[#This Row],[In Stock Date]]-Main[[#This Row],[Revised Due Date]],"")</f>
        <v/>
      </c>
      <c r="I227" s="159" t="s">
        <v>4</v>
      </c>
      <c r="J227" s="159" t="s">
        <v>4</v>
      </c>
      <c r="K227" s="159" t="s">
        <v>4</v>
      </c>
      <c r="L227" s="162"/>
      <c r="M227" s="169" t="str">
        <f>IF(Main[[#This Row],[Tech Start Date]]&lt;1/1/1990,"",IF(Main[[#This Row],[Class]]="C",WORKDAY(Main[[#This Row],[Tech Start Date]],9),IF(Main[[#This Row],[Class]]="B", WORKDAY(Main[[#This Row],[Tech Start Date]],6),IF(Main[[#This Row],[Class]]="A",WORKDAY(Main[[#This Row],[Tech Start Date]],2),""))))</f>
        <v/>
      </c>
      <c r="N227" s="169" t="str">
        <f>IF(Main[[#This Row],[Tech Start Date]]&lt;1/1/1990,"",IF(Main[[#This Row],[Class]]="C",WORKDAY(Main[[#This Row],[Tech Start Date]],19),IF(Main[[#This Row],[Class]]="B", WORKDAY(Main[[#This Row],[Tech Start Date]],12),IF(Main[[#This Row],[Class]]="A",WORKDAY(Main[[#This Row],[Tech Start Date]],4),""))))</f>
        <v/>
      </c>
      <c r="O227" s="169" t="str">
        <f>IF(Main[[#This Row],[Tech Start Date]]&lt;1/1/1990,"",IF(Main[[#This Row],[Class]]="C",WORKDAY(Main[[#This Row],[Tech Start Date]],23),IF(Main[[#This Row],[Class]]="B", WORKDAY(Main[[#This Row],[Tech Start Date]],15),IF(Main[[#This Row],[Class]]="A",WORKDAY(Main[[#This Row],[Tech Start Date]],5),""))))</f>
        <v/>
      </c>
      <c r="P227" s="169" t="str">
        <f>IF(Main[[#This Row],[Tech Start Date]]&lt;1/1/1990,"",IF(Main[[#This Row],[Class]]="C",WORKDAY(Main[[#This Row],[Tech Start Date]],28),IF(Main[[#This Row],[Class]]="B", WORKDAY(Main[[#This Row],[Tech Start Date]],19),IF(Main[[#This Row],[Class]]="A",WORKDAY(Main[[#This Row],[Tech Start Date]],9),""))))</f>
        <v/>
      </c>
      <c r="Q227" s="162"/>
      <c r="R227" s="162"/>
      <c r="S227" s="159" t="s">
        <v>6</v>
      </c>
      <c r="T227" s="173" t="s">
        <v>4</v>
      </c>
      <c r="U227" s="159" t="s">
        <v>29</v>
      </c>
      <c r="V227" s="159" t="s">
        <v>1932</v>
      </c>
      <c r="W227" s="159" t="s">
        <v>1936</v>
      </c>
      <c r="X227" s="159" t="s">
        <v>949</v>
      </c>
      <c r="Y227" s="159" t="s">
        <v>3071</v>
      </c>
      <c r="Z227" s="159" t="s">
        <v>4</v>
      </c>
      <c r="AA227" s="154" t="s">
        <v>949</v>
      </c>
    </row>
    <row r="228" spans="1:27" ht="18.600000000000001" customHeight="1">
      <c r="A228" s="157" t="str">
        <f>IF(priority(Main[[#This Row],[Comments]])&lt;&gt;0, priority(Main[[#This Row],[Comments]]),"")</f>
        <v/>
      </c>
      <c r="B228" s="158" t="s">
        <v>1112</v>
      </c>
      <c r="C228" s="159" t="s">
        <v>93</v>
      </c>
      <c r="D228" s="160" t="s">
        <v>151</v>
      </c>
      <c r="E228" s="162"/>
      <c r="F228" s="162"/>
      <c r="G228" s="164" t="str">
        <f>IF(stdProdLT(Main[[#This Row],[Comments]])=0.1,"N/A",IF(stdProdLT(Main[[#This Row],[Comments]])=0,"",stdProdLT(Main[[#This Row],[Comments]])))</f>
        <v/>
      </c>
      <c r="H228" s="166" t="str">
        <f>IF(AND(Main[[#This Row],[In Stock Date]]&lt;&gt;"",Main[[#This Row],[Revised Due Date]]&lt;&gt;""),Main[[#This Row],[In Stock Date]]-Main[[#This Row],[Revised Due Date]],"")</f>
        <v/>
      </c>
      <c r="I228" s="159" t="s">
        <v>4</v>
      </c>
      <c r="J228" s="159" t="s">
        <v>4</v>
      </c>
      <c r="K228" s="159" t="s">
        <v>4</v>
      </c>
      <c r="L228" s="162"/>
      <c r="M228" s="169" t="str">
        <f>IF(Main[[#This Row],[Tech Start Date]]&lt;1/1/1990,"",IF(Main[[#This Row],[Class]]="C",WORKDAY(Main[[#This Row],[Tech Start Date]],9),IF(Main[[#This Row],[Class]]="B", WORKDAY(Main[[#This Row],[Tech Start Date]],6),IF(Main[[#This Row],[Class]]="A",WORKDAY(Main[[#This Row],[Tech Start Date]],2),""))))</f>
        <v/>
      </c>
      <c r="N228" s="169" t="str">
        <f>IF(Main[[#This Row],[Tech Start Date]]&lt;1/1/1990,"",IF(Main[[#This Row],[Class]]="C",WORKDAY(Main[[#This Row],[Tech Start Date]],19),IF(Main[[#This Row],[Class]]="B", WORKDAY(Main[[#This Row],[Tech Start Date]],12),IF(Main[[#This Row],[Class]]="A",WORKDAY(Main[[#This Row],[Tech Start Date]],4),""))))</f>
        <v/>
      </c>
      <c r="O228" s="169" t="str">
        <f>IF(Main[[#This Row],[Tech Start Date]]&lt;1/1/1990,"",IF(Main[[#This Row],[Class]]="C",WORKDAY(Main[[#This Row],[Tech Start Date]],23),IF(Main[[#This Row],[Class]]="B", WORKDAY(Main[[#This Row],[Tech Start Date]],15),IF(Main[[#This Row],[Class]]="A",WORKDAY(Main[[#This Row],[Tech Start Date]],5),""))))</f>
        <v/>
      </c>
      <c r="P228" s="169" t="str">
        <f>IF(Main[[#This Row],[Tech Start Date]]&lt;1/1/1990,"",IF(Main[[#This Row],[Class]]="C",WORKDAY(Main[[#This Row],[Tech Start Date]],28),IF(Main[[#This Row],[Class]]="B", WORKDAY(Main[[#This Row],[Tech Start Date]],19),IF(Main[[#This Row],[Class]]="A",WORKDAY(Main[[#This Row],[Tech Start Date]],9),""))))</f>
        <v/>
      </c>
      <c r="Q228" s="162"/>
      <c r="R228" s="162"/>
      <c r="S228" s="159" t="s">
        <v>11</v>
      </c>
      <c r="T228" s="173" t="s">
        <v>4</v>
      </c>
      <c r="U228" s="159" t="s">
        <v>14</v>
      </c>
      <c r="V228" s="159" t="s">
        <v>1935</v>
      </c>
      <c r="W228" s="159" t="s">
        <v>1938</v>
      </c>
      <c r="X228" s="159" t="s">
        <v>559</v>
      </c>
      <c r="Y228" s="159" t="s">
        <v>3075</v>
      </c>
      <c r="Z228" s="159" t="s">
        <v>4</v>
      </c>
      <c r="AA228" s="154" t="s">
        <v>3579</v>
      </c>
    </row>
    <row r="229" spans="1:27" ht="18.600000000000001" customHeight="1">
      <c r="A229" s="157" t="str">
        <f>IF(priority(Main[[#This Row],[Comments]])&lt;&gt;0, priority(Main[[#This Row],[Comments]]),"")</f>
        <v/>
      </c>
      <c r="B229" s="158" t="s">
        <v>1113</v>
      </c>
      <c r="C229" s="159" t="s">
        <v>26</v>
      </c>
      <c r="D229" s="160" t="s">
        <v>152</v>
      </c>
      <c r="E229" s="162"/>
      <c r="F229" s="162">
        <v>40613</v>
      </c>
      <c r="G229" s="164" t="str">
        <f>IF(stdProdLT(Main[[#This Row],[Comments]])=0.1,"N/A",IF(stdProdLT(Main[[#This Row],[Comments]])=0,"",stdProdLT(Main[[#This Row],[Comments]])))</f>
        <v/>
      </c>
      <c r="H229" s="166" t="str">
        <f>IF(AND(Main[[#This Row],[In Stock Date]]&lt;&gt;"",Main[[#This Row],[Revised Due Date]]&lt;&gt;""),Main[[#This Row],[In Stock Date]]-Main[[#This Row],[Revised Due Date]],"")</f>
        <v/>
      </c>
      <c r="I229" s="159" t="s">
        <v>4</v>
      </c>
      <c r="J229" s="159" t="s">
        <v>28</v>
      </c>
      <c r="K229" s="159" t="s">
        <v>4</v>
      </c>
      <c r="L229" s="162"/>
      <c r="M229" s="169" t="str">
        <f>IF(Main[[#This Row],[Tech Start Date]]&lt;1/1/1990,"",IF(Main[[#This Row],[Class]]="C",WORKDAY(Main[[#This Row],[Tech Start Date]],9),IF(Main[[#This Row],[Class]]="B", WORKDAY(Main[[#This Row],[Tech Start Date]],6),IF(Main[[#This Row],[Class]]="A",WORKDAY(Main[[#This Row],[Tech Start Date]],2),""))))</f>
        <v/>
      </c>
      <c r="N229" s="169" t="str">
        <f>IF(Main[[#This Row],[Tech Start Date]]&lt;1/1/1990,"",IF(Main[[#This Row],[Class]]="C",WORKDAY(Main[[#This Row],[Tech Start Date]],19),IF(Main[[#This Row],[Class]]="B", WORKDAY(Main[[#This Row],[Tech Start Date]],12),IF(Main[[#This Row],[Class]]="A",WORKDAY(Main[[#This Row],[Tech Start Date]],4),""))))</f>
        <v/>
      </c>
      <c r="O229" s="169" t="str">
        <f>IF(Main[[#This Row],[Tech Start Date]]&lt;1/1/1990,"",IF(Main[[#This Row],[Class]]="C",WORKDAY(Main[[#This Row],[Tech Start Date]],23),IF(Main[[#This Row],[Class]]="B", WORKDAY(Main[[#This Row],[Tech Start Date]],15),IF(Main[[#This Row],[Class]]="A",WORKDAY(Main[[#This Row],[Tech Start Date]],5),""))))</f>
        <v/>
      </c>
      <c r="P229" s="169" t="str">
        <f>IF(Main[[#This Row],[Tech Start Date]]&lt;1/1/1990,"",IF(Main[[#This Row],[Class]]="C",WORKDAY(Main[[#This Row],[Tech Start Date]],28),IF(Main[[#This Row],[Class]]="B", WORKDAY(Main[[#This Row],[Tech Start Date]],19),IF(Main[[#This Row],[Class]]="A",WORKDAY(Main[[#This Row],[Tech Start Date]],9),""))))</f>
        <v/>
      </c>
      <c r="Q229" s="162"/>
      <c r="R229" s="162"/>
      <c r="S229" s="159" t="s">
        <v>11</v>
      </c>
      <c r="T229" s="173" t="s">
        <v>4</v>
      </c>
      <c r="U229" s="159" t="s">
        <v>14</v>
      </c>
      <c r="V229" s="159" t="s">
        <v>1932</v>
      </c>
      <c r="W229" s="159" t="s">
        <v>1940</v>
      </c>
      <c r="X229" s="159" t="s">
        <v>2926</v>
      </c>
      <c r="Y229" s="159" t="s">
        <v>3061</v>
      </c>
      <c r="Z229" s="159" t="s">
        <v>129</v>
      </c>
      <c r="AA229" s="154" t="s">
        <v>2926</v>
      </c>
    </row>
    <row r="230" spans="1:27" ht="18.600000000000001" customHeight="1">
      <c r="A230" s="157" t="str">
        <f>IF(priority(Main[[#This Row],[Comments]])&lt;&gt;0, priority(Main[[#This Row],[Comments]]),"")</f>
        <v/>
      </c>
      <c r="B230" s="158" t="s">
        <v>1119</v>
      </c>
      <c r="C230" s="159" t="s">
        <v>4</v>
      </c>
      <c r="D230" s="160" t="s">
        <v>153</v>
      </c>
      <c r="E230" s="162">
        <v>40584.587800925925</v>
      </c>
      <c r="F230" s="162"/>
      <c r="G230" s="164" t="str">
        <f>IF(stdProdLT(Main[[#This Row],[Comments]])=0.1,"N/A",IF(stdProdLT(Main[[#This Row],[Comments]])=0,"",stdProdLT(Main[[#This Row],[Comments]])))</f>
        <v/>
      </c>
      <c r="H230" s="166" t="str">
        <f>IF(AND(Main[[#This Row],[In Stock Date]]&lt;&gt;"",Main[[#This Row],[Revised Due Date]]&lt;&gt;""),Main[[#This Row],[In Stock Date]]-Main[[#This Row],[Revised Due Date]],"")</f>
        <v/>
      </c>
      <c r="I230" s="159" t="s">
        <v>4</v>
      </c>
      <c r="J230" s="159" t="s">
        <v>4</v>
      </c>
      <c r="K230" s="159" t="s">
        <v>4</v>
      </c>
      <c r="L230" s="162"/>
      <c r="M230" s="169" t="str">
        <f>IF(Main[[#This Row],[Tech Start Date]]&lt;1/1/1990,"",IF(Main[[#This Row],[Class]]="C",WORKDAY(Main[[#This Row],[Tech Start Date]],9),IF(Main[[#This Row],[Class]]="B", WORKDAY(Main[[#This Row],[Tech Start Date]],6),IF(Main[[#This Row],[Class]]="A",WORKDAY(Main[[#This Row],[Tech Start Date]],2),""))))</f>
        <v/>
      </c>
      <c r="N230" s="169" t="str">
        <f>IF(Main[[#This Row],[Tech Start Date]]&lt;1/1/1990,"",IF(Main[[#This Row],[Class]]="C",WORKDAY(Main[[#This Row],[Tech Start Date]],19),IF(Main[[#This Row],[Class]]="B", WORKDAY(Main[[#This Row],[Tech Start Date]],12),IF(Main[[#This Row],[Class]]="A",WORKDAY(Main[[#This Row],[Tech Start Date]],4),""))))</f>
        <v/>
      </c>
      <c r="O230" s="169" t="str">
        <f>IF(Main[[#This Row],[Tech Start Date]]&lt;1/1/1990,"",IF(Main[[#This Row],[Class]]="C",WORKDAY(Main[[#This Row],[Tech Start Date]],23),IF(Main[[#This Row],[Class]]="B", WORKDAY(Main[[#This Row],[Tech Start Date]],15),IF(Main[[#This Row],[Class]]="A",WORKDAY(Main[[#This Row],[Tech Start Date]],5),""))))</f>
        <v/>
      </c>
      <c r="P230" s="169" t="str">
        <f>IF(Main[[#This Row],[Tech Start Date]]&lt;1/1/1990,"",IF(Main[[#This Row],[Class]]="C",WORKDAY(Main[[#This Row],[Tech Start Date]],28),IF(Main[[#This Row],[Class]]="B", WORKDAY(Main[[#This Row],[Tech Start Date]],19),IF(Main[[#This Row],[Class]]="A",WORKDAY(Main[[#This Row],[Tech Start Date]],9),""))))</f>
        <v/>
      </c>
      <c r="Q230" s="162"/>
      <c r="R230" s="162"/>
      <c r="S230" s="159" t="s">
        <v>4</v>
      </c>
      <c r="T230" s="173" t="s">
        <v>4</v>
      </c>
      <c r="U230" s="159" t="s">
        <v>29</v>
      </c>
      <c r="V230" s="159" t="s">
        <v>1933</v>
      </c>
      <c r="W230" s="159" t="s">
        <v>4</v>
      </c>
      <c r="X230" s="159" t="s">
        <v>954</v>
      </c>
      <c r="Y230" s="159" t="s">
        <v>3076</v>
      </c>
      <c r="Z230" s="159" t="s">
        <v>4</v>
      </c>
      <c r="AA230" s="154" t="s">
        <v>954</v>
      </c>
    </row>
    <row r="231" spans="1:27" ht="18.600000000000001" customHeight="1">
      <c r="A231" s="157" t="str">
        <f>IF(priority(Main[[#This Row],[Comments]])&lt;&gt;0, priority(Main[[#This Row],[Comments]]),"")</f>
        <v/>
      </c>
      <c r="B231" s="158" t="s">
        <v>1120</v>
      </c>
      <c r="C231" s="159" t="s">
        <v>4</v>
      </c>
      <c r="D231" s="160" t="s">
        <v>154</v>
      </c>
      <c r="E231" s="162"/>
      <c r="F231" s="162"/>
      <c r="G231" s="164" t="str">
        <f>IF(stdProdLT(Main[[#This Row],[Comments]])=0.1,"N/A",IF(stdProdLT(Main[[#This Row],[Comments]])=0,"",stdProdLT(Main[[#This Row],[Comments]])))</f>
        <v/>
      </c>
      <c r="H231" s="166" t="str">
        <f>IF(AND(Main[[#This Row],[In Stock Date]]&lt;&gt;"",Main[[#This Row],[Revised Due Date]]&lt;&gt;""),Main[[#This Row],[In Stock Date]]-Main[[#This Row],[Revised Due Date]],"")</f>
        <v/>
      </c>
      <c r="I231" s="159" t="s">
        <v>30</v>
      </c>
      <c r="J231" s="159" t="s">
        <v>52</v>
      </c>
      <c r="K231" s="159" t="s">
        <v>4</v>
      </c>
      <c r="L231" s="162"/>
      <c r="M231" s="169" t="str">
        <f>IF(Main[[#This Row],[Tech Start Date]]&lt;1/1/1990,"",IF(Main[[#This Row],[Class]]="C",WORKDAY(Main[[#This Row],[Tech Start Date]],9),IF(Main[[#This Row],[Class]]="B", WORKDAY(Main[[#This Row],[Tech Start Date]],6),IF(Main[[#This Row],[Class]]="A",WORKDAY(Main[[#This Row],[Tech Start Date]],2),""))))</f>
        <v/>
      </c>
      <c r="N231" s="169" t="str">
        <f>IF(Main[[#This Row],[Tech Start Date]]&lt;1/1/1990,"",IF(Main[[#This Row],[Class]]="C",WORKDAY(Main[[#This Row],[Tech Start Date]],19),IF(Main[[#This Row],[Class]]="B", WORKDAY(Main[[#This Row],[Tech Start Date]],12),IF(Main[[#This Row],[Class]]="A",WORKDAY(Main[[#This Row],[Tech Start Date]],4),""))))</f>
        <v/>
      </c>
      <c r="O231" s="169" t="str">
        <f>IF(Main[[#This Row],[Tech Start Date]]&lt;1/1/1990,"",IF(Main[[#This Row],[Class]]="C",WORKDAY(Main[[#This Row],[Tech Start Date]],23),IF(Main[[#This Row],[Class]]="B", WORKDAY(Main[[#This Row],[Tech Start Date]],15),IF(Main[[#This Row],[Class]]="A",WORKDAY(Main[[#This Row],[Tech Start Date]],5),""))))</f>
        <v/>
      </c>
      <c r="P231" s="169" t="str">
        <f>IF(Main[[#This Row],[Tech Start Date]]&lt;1/1/1990,"",IF(Main[[#This Row],[Class]]="C",WORKDAY(Main[[#This Row],[Tech Start Date]],28),IF(Main[[#This Row],[Class]]="B", WORKDAY(Main[[#This Row],[Tech Start Date]],19),IF(Main[[#This Row],[Class]]="A",WORKDAY(Main[[#This Row],[Tech Start Date]],9),""))))</f>
        <v/>
      </c>
      <c r="Q231" s="162">
        <v>40448</v>
      </c>
      <c r="R231" s="162"/>
      <c r="S231" s="159" t="s">
        <v>6</v>
      </c>
      <c r="T231" s="173" t="s">
        <v>4</v>
      </c>
      <c r="U231" s="159" t="s">
        <v>14</v>
      </c>
      <c r="V231" s="159" t="s">
        <v>1935</v>
      </c>
      <c r="W231" s="159" t="s">
        <v>4</v>
      </c>
      <c r="X231" s="159" t="s">
        <v>2902</v>
      </c>
      <c r="Y231" s="159" t="s">
        <v>3016</v>
      </c>
      <c r="Z231" s="159" t="s">
        <v>535</v>
      </c>
      <c r="AA231" s="154" t="s">
        <v>2902</v>
      </c>
    </row>
    <row r="232" spans="1:27" ht="18.600000000000001" customHeight="1">
      <c r="A232" s="157" t="str">
        <f>IF(priority(Main[[#This Row],[Comments]])&lt;&gt;0, priority(Main[[#This Row],[Comments]]),"")</f>
        <v/>
      </c>
      <c r="B232" s="158" t="s">
        <v>3366</v>
      </c>
      <c r="C232" s="159" t="s">
        <v>4</v>
      </c>
      <c r="D232" s="160" t="s">
        <v>3367</v>
      </c>
      <c r="E232" s="162">
        <v>40935.463946759257</v>
      </c>
      <c r="F232" s="162"/>
      <c r="G232" s="164" t="str">
        <f>IF(stdProdLT(Main[[#This Row],[Comments]])=0.1,"N/A",IF(stdProdLT(Main[[#This Row],[Comments]])=0,"",stdProdLT(Main[[#This Row],[Comments]])))</f>
        <v/>
      </c>
      <c r="H232" s="166" t="str">
        <f>IF(AND(Main[[#This Row],[In Stock Date]]&lt;&gt;"",Main[[#This Row],[Revised Due Date]]&lt;&gt;""),Main[[#This Row],[In Stock Date]]-Main[[#This Row],[Revised Due Date]],"")</f>
        <v/>
      </c>
      <c r="I232" s="159" t="s">
        <v>4</v>
      </c>
      <c r="J232" s="159" t="s">
        <v>4</v>
      </c>
      <c r="K232" s="159" t="s">
        <v>4</v>
      </c>
      <c r="L232" s="162"/>
      <c r="M232" s="169" t="str">
        <f>IF(Main[[#This Row],[Tech Start Date]]&lt;1/1/1990,"",IF(Main[[#This Row],[Class]]="C",WORKDAY(Main[[#This Row],[Tech Start Date]],9),IF(Main[[#This Row],[Class]]="B", WORKDAY(Main[[#This Row],[Tech Start Date]],6),IF(Main[[#This Row],[Class]]="A",WORKDAY(Main[[#This Row],[Tech Start Date]],2),""))))</f>
        <v/>
      </c>
      <c r="N232" s="169" t="str">
        <f>IF(Main[[#This Row],[Tech Start Date]]&lt;1/1/1990,"",IF(Main[[#This Row],[Class]]="C",WORKDAY(Main[[#This Row],[Tech Start Date]],19),IF(Main[[#This Row],[Class]]="B", WORKDAY(Main[[#This Row],[Tech Start Date]],12),IF(Main[[#This Row],[Class]]="A",WORKDAY(Main[[#This Row],[Tech Start Date]],4),""))))</f>
        <v/>
      </c>
      <c r="O232" s="169" t="str">
        <f>IF(Main[[#This Row],[Tech Start Date]]&lt;1/1/1990,"",IF(Main[[#This Row],[Class]]="C",WORKDAY(Main[[#This Row],[Tech Start Date]],23),IF(Main[[#This Row],[Class]]="B", WORKDAY(Main[[#This Row],[Tech Start Date]],15),IF(Main[[#This Row],[Class]]="A",WORKDAY(Main[[#This Row],[Tech Start Date]],5),""))))</f>
        <v/>
      </c>
      <c r="P232" s="169" t="str">
        <f>IF(Main[[#This Row],[Tech Start Date]]&lt;1/1/1990,"",IF(Main[[#This Row],[Class]]="C",WORKDAY(Main[[#This Row],[Tech Start Date]],28),IF(Main[[#This Row],[Class]]="B", WORKDAY(Main[[#This Row],[Tech Start Date]],19),IF(Main[[#This Row],[Class]]="A",WORKDAY(Main[[#This Row],[Tech Start Date]],9),""))))</f>
        <v/>
      </c>
      <c r="Q232" s="162"/>
      <c r="R232" s="162"/>
      <c r="S232" s="159" t="s">
        <v>6</v>
      </c>
      <c r="T232" s="173" t="s">
        <v>4</v>
      </c>
      <c r="U232" s="159" t="s">
        <v>7</v>
      </c>
      <c r="V232" s="159" t="s">
        <v>1942</v>
      </c>
      <c r="W232" s="159" t="s">
        <v>4</v>
      </c>
      <c r="X232" s="159" t="s">
        <v>2925</v>
      </c>
      <c r="Y232" s="159" t="s">
        <v>3058</v>
      </c>
      <c r="Z232" s="159" t="s">
        <v>4</v>
      </c>
      <c r="AA232" s="154" t="s">
        <v>2925</v>
      </c>
    </row>
    <row r="233" spans="1:27" ht="18.600000000000001" customHeight="1">
      <c r="A233" s="157" t="str">
        <f>IF(priority(Main[[#This Row],[Comments]])&lt;&gt;0, priority(Main[[#This Row],[Comments]]),"")</f>
        <v/>
      </c>
      <c r="B233" s="158" t="s">
        <v>1420</v>
      </c>
      <c r="C233" s="159" t="s">
        <v>72</v>
      </c>
      <c r="D233" s="160" t="s">
        <v>1969</v>
      </c>
      <c r="E233" s="162">
        <v>40671.832905092589</v>
      </c>
      <c r="F233" s="162"/>
      <c r="G233" s="164" t="str">
        <f>IF(stdProdLT(Main[[#This Row],[Comments]])=0.1,"N/A",IF(stdProdLT(Main[[#This Row],[Comments]])=0,"",stdProdLT(Main[[#This Row],[Comments]])))</f>
        <v/>
      </c>
      <c r="H233" s="166" t="str">
        <f>IF(AND(Main[[#This Row],[In Stock Date]]&lt;&gt;"",Main[[#This Row],[Revised Due Date]]&lt;&gt;""),Main[[#This Row],[In Stock Date]]-Main[[#This Row],[Revised Due Date]],"")</f>
        <v/>
      </c>
      <c r="I233" s="159" t="s">
        <v>2035</v>
      </c>
      <c r="J233" s="159" t="s">
        <v>28</v>
      </c>
      <c r="K233" s="159" t="s">
        <v>4</v>
      </c>
      <c r="L233" s="162"/>
      <c r="M233" s="169" t="str">
        <f>IF(Main[[#This Row],[Tech Start Date]]&lt;1/1/1990,"",IF(Main[[#This Row],[Class]]="C",WORKDAY(Main[[#This Row],[Tech Start Date]],9),IF(Main[[#This Row],[Class]]="B", WORKDAY(Main[[#This Row],[Tech Start Date]],6),IF(Main[[#This Row],[Class]]="A",WORKDAY(Main[[#This Row],[Tech Start Date]],2),""))))</f>
        <v/>
      </c>
      <c r="N233" s="169" t="str">
        <f>IF(Main[[#This Row],[Tech Start Date]]&lt;1/1/1990,"",IF(Main[[#This Row],[Class]]="C",WORKDAY(Main[[#This Row],[Tech Start Date]],19),IF(Main[[#This Row],[Class]]="B", WORKDAY(Main[[#This Row],[Tech Start Date]],12),IF(Main[[#This Row],[Class]]="A",WORKDAY(Main[[#This Row],[Tech Start Date]],4),""))))</f>
        <v/>
      </c>
      <c r="O233" s="169" t="str">
        <f>IF(Main[[#This Row],[Tech Start Date]]&lt;1/1/1990,"",IF(Main[[#This Row],[Class]]="C",WORKDAY(Main[[#This Row],[Tech Start Date]],23),IF(Main[[#This Row],[Class]]="B", WORKDAY(Main[[#This Row],[Tech Start Date]],15),IF(Main[[#This Row],[Class]]="A",WORKDAY(Main[[#This Row],[Tech Start Date]],5),""))))</f>
        <v/>
      </c>
      <c r="P233" s="169" t="str">
        <f>IF(Main[[#This Row],[Tech Start Date]]&lt;1/1/1990,"",IF(Main[[#This Row],[Class]]="C",WORKDAY(Main[[#This Row],[Tech Start Date]],28),IF(Main[[#This Row],[Class]]="B", WORKDAY(Main[[#This Row],[Tech Start Date]],19),IF(Main[[#This Row],[Class]]="A",WORKDAY(Main[[#This Row],[Tech Start Date]],9),""))))</f>
        <v/>
      </c>
      <c r="Q233" s="162"/>
      <c r="R233" s="171">
        <v>40786</v>
      </c>
      <c r="S233" s="159" t="s">
        <v>11</v>
      </c>
      <c r="T233" s="173" t="s">
        <v>2362</v>
      </c>
      <c r="U233" s="159" t="s">
        <v>7</v>
      </c>
      <c r="V233" s="159" t="s">
        <v>1947</v>
      </c>
      <c r="W233" s="159" t="s">
        <v>1936</v>
      </c>
      <c r="X233" s="159" t="s">
        <v>2931</v>
      </c>
      <c r="Y233" s="159" t="s">
        <v>3065</v>
      </c>
      <c r="Z233" s="159" t="s">
        <v>2237</v>
      </c>
      <c r="AA233" s="154" t="s">
        <v>2931</v>
      </c>
    </row>
    <row r="234" spans="1:27" ht="18.600000000000001" customHeight="1">
      <c r="A234" s="157" t="str">
        <f>IF(priority(Main[[#This Row],[Comments]])&lt;&gt;0, priority(Main[[#This Row],[Comments]]),"")</f>
        <v/>
      </c>
      <c r="B234" s="158" t="s">
        <v>2733</v>
      </c>
      <c r="C234" s="159" t="s">
        <v>42</v>
      </c>
      <c r="D234" s="160" t="s">
        <v>2734</v>
      </c>
      <c r="E234" s="162">
        <v>40897.730937499997</v>
      </c>
      <c r="F234" s="162"/>
      <c r="G234" s="164" t="str">
        <f>IF(stdProdLT(Main[[#This Row],[Comments]])=0.1,"N/A",IF(stdProdLT(Main[[#This Row],[Comments]])=0,"",stdProdLT(Main[[#This Row],[Comments]])))</f>
        <v/>
      </c>
      <c r="H234" s="166" t="str">
        <f>IF(AND(Main[[#This Row],[In Stock Date]]&lt;&gt;"",Main[[#This Row],[Revised Due Date]]&lt;&gt;""),Main[[#This Row],[In Stock Date]]-Main[[#This Row],[Revised Due Date]],"")</f>
        <v/>
      </c>
      <c r="I234" s="159" t="s">
        <v>242</v>
      </c>
      <c r="J234" s="159" t="s">
        <v>21</v>
      </c>
      <c r="K234" s="159" t="s">
        <v>1941</v>
      </c>
      <c r="L234" s="162"/>
      <c r="M234" s="169" t="str">
        <f>IF(Main[[#This Row],[Tech Start Date]]&lt;1/1/1990,"",IF(Main[[#This Row],[Class]]="C",WORKDAY(Main[[#This Row],[Tech Start Date]],9),IF(Main[[#This Row],[Class]]="B", WORKDAY(Main[[#This Row],[Tech Start Date]],6),IF(Main[[#This Row],[Class]]="A",WORKDAY(Main[[#This Row],[Tech Start Date]],2),""))))</f>
        <v/>
      </c>
      <c r="N234" s="169" t="str">
        <f>IF(Main[[#This Row],[Tech Start Date]]&lt;1/1/1990,"",IF(Main[[#This Row],[Class]]="C",WORKDAY(Main[[#This Row],[Tech Start Date]],19),IF(Main[[#This Row],[Class]]="B", WORKDAY(Main[[#This Row],[Tech Start Date]],12),IF(Main[[#This Row],[Class]]="A",WORKDAY(Main[[#This Row],[Tech Start Date]],4),""))))</f>
        <v/>
      </c>
      <c r="O234" s="169" t="str">
        <f>IF(Main[[#This Row],[Tech Start Date]]&lt;1/1/1990,"",IF(Main[[#This Row],[Class]]="C",WORKDAY(Main[[#This Row],[Tech Start Date]],23),IF(Main[[#This Row],[Class]]="B", WORKDAY(Main[[#This Row],[Tech Start Date]],15),IF(Main[[#This Row],[Class]]="A",WORKDAY(Main[[#This Row],[Tech Start Date]],5),""))))</f>
        <v/>
      </c>
      <c r="P234" s="169" t="str">
        <f>IF(Main[[#This Row],[Tech Start Date]]&lt;1/1/1990,"",IF(Main[[#This Row],[Class]]="C",WORKDAY(Main[[#This Row],[Tech Start Date]],28),IF(Main[[#This Row],[Class]]="B", WORKDAY(Main[[#This Row],[Tech Start Date]],19),IF(Main[[#This Row],[Class]]="A",WORKDAY(Main[[#This Row],[Tech Start Date]],9),""))))</f>
        <v/>
      </c>
      <c r="Q234" s="162">
        <v>41244</v>
      </c>
      <c r="R234" s="162"/>
      <c r="S234" s="159" t="s">
        <v>6</v>
      </c>
      <c r="T234" s="173" t="s">
        <v>4</v>
      </c>
      <c r="U234" s="159" t="s">
        <v>29</v>
      </c>
      <c r="V234" s="159" t="s">
        <v>1942</v>
      </c>
      <c r="W234" s="159" t="s">
        <v>1934</v>
      </c>
      <c r="X234" s="159" t="s">
        <v>30</v>
      </c>
      <c r="Y234" s="159" t="s">
        <v>3027</v>
      </c>
      <c r="Z234" s="159" t="s">
        <v>535</v>
      </c>
      <c r="AA234" s="154" t="s">
        <v>30</v>
      </c>
    </row>
    <row r="235" spans="1:27" ht="18.600000000000001" customHeight="1">
      <c r="A235" s="157" t="str">
        <f>IF(priority(Main[[#This Row],[Comments]])&lt;&gt;0, priority(Main[[#This Row],[Comments]]),"")</f>
        <v/>
      </c>
      <c r="B235" s="158" t="s">
        <v>1094</v>
      </c>
      <c r="C235" s="159" t="s">
        <v>4</v>
      </c>
      <c r="D235" s="160" t="s">
        <v>133</v>
      </c>
      <c r="E235" s="162"/>
      <c r="F235" s="162">
        <v>40598</v>
      </c>
      <c r="G235" s="164" t="str">
        <f>IF(stdProdLT(Main[[#This Row],[Comments]])=0.1,"N/A",IF(stdProdLT(Main[[#This Row],[Comments]])=0,"",stdProdLT(Main[[#This Row],[Comments]])))</f>
        <v/>
      </c>
      <c r="H235" s="166" t="str">
        <f>IF(AND(Main[[#This Row],[In Stock Date]]&lt;&gt;"",Main[[#This Row],[Revised Due Date]]&lt;&gt;""),Main[[#This Row],[In Stock Date]]-Main[[#This Row],[Revised Due Date]],"")</f>
        <v/>
      </c>
      <c r="I235" s="159" t="s">
        <v>4</v>
      </c>
      <c r="J235" s="159" t="s">
        <v>4</v>
      </c>
      <c r="K235" s="159" t="s">
        <v>4</v>
      </c>
      <c r="L235" s="162"/>
      <c r="M235" s="169" t="str">
        <f>IF(Main[[#This Row],[Tech Start Date]]&lt;1/1/1990,"",IF(Main[[#This Row],[Class]]="C",WORKDAY(Main[[#This Row],[Tech Start Date]],9),IF(Main[[#This Row],[Class]]="B", WORKDAY(Main[[#This Row],[Tech Start Date]],6),IF(Main[[#This Row],[Class]]="A",WORKDAY(Main[[#This Row],[Tech Start Date]],2),""))))</f>
        <v/>
      </c>
      <c r="N235" s="169" t="str">
        <f>IF(Main[[#This Row],[Tech Start Date]]&lt;1/1/1990,"",IF(Main[[#This Row],[Class]]="C",WORKDAY(Main[[#This Row],[Tech Start Date]],19),IF(Main[[#This Row],[Class]]="B", WORKDAY(Main[[#This Row],[Tech Start Date]],12),IF(Main[[#This Row],[Class]]="A",WORKDAY(Main[[#This Row],[Tech Start Date]],4),""))))</f>
        <v/>
      </c>
      <c r="O235" s="169" t="str">
        <f>IF(Main[[#This Row],[Tech Start Date]]&lt;1/1/1990,"",IF(Main[[#This Row],[Class]]="C",WORKDAY(Main[[#This Row],[Tech Start Date]],23),IF(Main[[#This Row],[Class]]="B", WORKDAY(Main[[#This Row],[Tech Start Date]],15),IF(Main[[#This Row],[Class]]="A",WORKDAY(Main[[#This Row],[Tech Start Date]],5),""))))</f>
        <v/>
      </c>
      <c r="P235" s="169" t="str">
        <f>IF(Main[[#This Row],[Tech Start Date]]&lt;1/1/1990,"",IF(Main[[#This Row],[Class]]="C",WORKDAY(Main[[#This Row],[Tech Start Date]],28),IF(Main[[#This Row],[Class]]="B", WORKDAY(Main[[#This Row],[Tech Start Date]],19),IF(Main[[#This Row],[Class]]="A",WORKDAY(Main[[#This Row],[Tech Start Date]],9),""))))</f>
        <v/>
      </c>
      <c r="Q235" s="162">
        <v>40598</v>
      </c>
      <c r="R235" s="162"/>
      <c r="S235" s="159" t="s">
        <v>11</v>
      </c>
      <c r="T235" s="173" t="s">
        <v>4</v>
      </c>
      <c r="U235" s="159" t="s">
        <v>14</v>
      </c>
      <c r="V235" s="159" t="s">
        <v>1942</v>
      </c>
      <c r="W235" s="159" t="s">
        <v>1938</v>
      </c>
      <c r="X235" s="159" t="s">
        <v>2932</v>
      </c>
      <c r="Y235" s="159" t="s">
        <v>3066</v>
      </c>
      <c r="Z235" s="159" t="s">
        <v>4</v>
      </c>
      <c r="AA235" s="154" t="s">
        <v>2932</v>
      </c>
    </row>
    <row r="236" spans="1:27" ht="18.600000000000001" customHeight="1">
      <c r="A236" s="157" t="str">
        <f>IF(priority(Main[[#This Row],[Comments]])&lt;&gt;0, priority(Main[[#This Row],[Comments]]),"")</f>
        <v/>
      </c>
      <c r="B236" s="158" t="s">
        <v>1096</v>
      </c>
      <c r="C236" s="159" t="s">
        <v>4</v>
      </c>
      <c r="D236" s="160" t="s">
        <v>135</v>
      </c>
      <c r="E236" s="162">
        <v>40683.594340277778</v>
      </c>
      <c r="F236" s="162"/>
      <c r="G236" s="164" t="str">
        <f>IF(stdProdLT(Main[[#This Row],[Comments]])=0.1,"N/A",IF(stdProdLT(Main[[#This Row],[Comments]])=0,"",stdProdLT(Main[[#This Row],[Comments]])))</f>
        <v/>
      </c>
      <c r="H236" s="166" t="str">
        <f>IF(AND(Main[[#This Row],[In Stock Date]]&lt;&gt;"",Main[[#This Row],[Revised Due Date]]&lt;&gt;""),Main[[#This Row],[In Stock Date]]-Main[[#This Row],[Revised Due Date]],"")</f>
        <v/>
      </c>
      <c r="I236" s="159" t="s">
        <v>4</v>
      </c>
      <c r="J236" s="159" t="s">
        <v>4</v>
      </c>
      <c r="K236" s="159" t="s">
        <v>4</v>
      </c>
      <c r="L236" s="162"/>
      <c r="M236" s="169" t="str">
        <f>IF(Main[[#This Row],[Tech Start Date]]&lt;1/1/1990,"",IF(Main[[#This Row],[Class]]="C",WORKDAY(Main[[#This Row],[Tech Start Date]],9),IF(Main[[#This Row],[Class]]="B", WORKDAY(Main[[#This Row],[Tech Start Date]],6),IF(Main[[#This Row],[Class]]="A",WORKDAY(Main[[#This Row],[Tech Start Date]],2),""))))</f>
        <v/>
      </c>
      <c r="N236" s="169" t="str">
        <f>IF(Main[[#This Row],[Tech Start Date]]&lt;1/1/1990,"",IF(Main[[#This Row],[Class]]="C",WORKDAY(Main[[#This Row],[Tech Start Date]],19),IF(Main[[#This Row],[Class]]="B", WORKDAY(Main[[#This Row],[Tech Start Date]],12),IF(Main[[#This Row],[Class]]="A",WORKDAY(Main[[#This Row],[Tech Start Date]],4),""))))</f>
        <v/>
      </c>
      <c r="O236" s="169" t="str">
        <f>IF(Main[[#This Row],[Tech Start Date]]&lt;1/1/1990,"",IF(Main[[#This Row],[Class]]="C",WORKDAY(Main[[#This Row],[Tech Start Date]],23),IF(Main[[#This Row],[Class]]="B", WORKDAY(Main[[#This Row],[Tech Start Date]],15),IF(Main[[#This Row],[Class]]="A",WORKDAY(Main[[#This Row],[Tech Start Date]],5),""))))</f>
        <v/>
      </c>
      <c r="P236" s="169" t="str">
        <f>IF(Main[[#This Row],[Tech Start Date]]&lt;1/1/1990,"",IF(Main[[#This Row],[Class]]="C",WORKDAY(Main[[#This Row],[Tech Start Date]],28),IF(Main[[#This Row],[Class]]="B", WORKDAY(Main[[#This Row],[Tech Start Date]],19),IF(Main[[#This Row],[Class]]="A",WORKDAY(Main[[#This Row],[Tech Start Date]],9),""))))</f>
        <v/>
      </c>
      <c r="Q236" s="162">
        <v>40718</v>
      </c>
      <c r="R236" s="162"/>
      <c r="S236" s="159" t="s">
        <v>6</v>
      </c>
      <c r="T236" s="173" t="s">
        <v>4</v>
      </c>
      <c r="U236" s="159" t="s">
        <v>7</v>
      </c>
      <c r="V236" s="159" t="s">
        <v>1932</v>
      </c>
      <c r="W236" s="159" t="s">
        <v>1940</v>
      </c>
      <c r="X236" s="159" t="s">
        <v>2905</v>
      </c>
      <c r="Y236" s="159" t="s">
        <v>3023</v>
      </c>
      <c r="Z236" s="159" t="s">
        <v>4</v>
      </c>
      <c r="AA236" s="154" t="s">
        <v>2905</v>
      </c>
    </row>
    <row r="237" spans="1:27" ht="18.600000000000001" customHeight="1">
      <c r="A237" s="157" t="str">
        <f>IF(priority(Main[[#This Row],[Comments]])&lt;&gt;0, priority(Main[[#This Row],[Comments]]),"")</f>
        <v/>
      </c>
      <c r="B237" s="158" t="s">
        <v>1097</v>
      </c>
      <c r="C237" s="159" t="s">
        <v>4</v>
      </c>
      <c r="D237" s="160" t="s">
        <v>136</v>
      </c>
      <c r="E237" s="162">
        <v>40312.634143518517</v>
      </c>
      <c r="F237" s="162"/>
      <c r="G237" s="164" t="str">
        <f>IF(stdProdLT(Main[[#This Row],[Comments]])=0.1,"N/A",IF(stdProdLT(Main[[#This Row],[Comments]])=0,"",stdProdLT(Main[[#This Row],[Comments]])))</f>
        <v/>
      </c>
      <c r="H237" s="166" t="str">
        <f>IF(AND(Main[[#This Row],[In Stock Date]]&lt;&gt;"",Main[[#This Row],[Revised Due Date]]&lt;&gt;""),Main[[#This Row],[In Stock Date]]-Main[[#This Row],[Revised Due Date]],"")</f>
        <v/>
      </c>
      <c r="I237" s="159" t="s">
        <v>129</v>
      </c>
      <c r="J237" s="159" t="s">
        <v>4</v>
      </c>
      <c r="K237" s="159" t="s">
        <v>4</v>
      </c>
      <c r="L237" s="162"/>
      <c r="M237" s="169" t="str">
        <f>IF(Main[[#This Row],[Tech Start Date]]&lt;1/1/1990,"",IF(Main[[#This Row],[Class]]="C",WORKDAY(Main[[#This Row],[Tech Start Date]],9),IF(Main[[#This Row],[Class]]="B", WORKDAY(Main[[#This Row],[Tech Start Date]],6),IF(Main[[#This Row],[Class]]="A",WORKDAY(Main[[#This Row],[Tech Start Date]],2),""))))</f>
        <v/>
      </c>
      <c r="N237" s="169" t="str">
        <f>IF(Main[[#This Row],[Tech Start Date]]&lt;1/1/1990,"",IF(Main[[#This Row],[Class]]="C",WORKDAY(Main[[#This Row],[Tech Start Date]],19),IF(Main[[#This Row],[Class]]="B", WORKDAY(Main[[#This Row],[Tech Start Date]],12),IF(Main[[#This Row],[Class]]="A",WORKDAY(Main[[#This Row],[Tech Start Date]],4),""))))</f>
        <v/>
      </c>
      <c r="O237" s="169" t="str">
        <f>IF(Main[[#This Row],[Tech Start Date]]&lt;1/1/1990,"",IF(Main[[#This Row],[Class]]="C",WORKDAY(Main[[#This Row],[Tech Start Date]],23),IF(Main[[#This Row],[Class]]="B", WORKDAY(Main[[#This Row],[Tech Start Date]],15),IF(Main[[#This Row],[Class]]="A",WORKDAY(Main[[#This Row],[Tech Start Date]],5),""))))</f>
        <v/>
      </c>
      <c r="P237" s="169" t="str">
        <f>IF(Main[[#This Row],[Tech Start Date]]&lt;1/1/1990,"",IF(Main[[#This Row],[Class]]="C",WORKDAY(Main[[#This Row],[Tech Start Date]],28),IF(Main[[#This Row],[Class]]="B", WORKDAY(Main[[#This Row],[Tech Start Date]],19),IF(Main[[#This Row],[Class]]="A",WORKDAY(Main[[#This Row],[Tech Start Date]],9),""))))</f>
        <v/>
      </c>
      <c r="Q237" s="162">
        <v>40329</v>
      </c>
      <c r="R237" s="162"/>
      <c r="S237" s="159" t="s">
        <v>6</v>
      </c>
      <c r="T237" s="173" t="s">
        <v>4</v>
      </c>
      <c r="U237" s="159" t="s">
        <v>7</v>
      </c>
      <c r="V237" s="159" t="s">
        <v>1932</v>
      </c>
      <c r="W237" s="159" t="s">
        <v>1934</v>
      </c>
      <c r="X237" s="159" t="s">
        <v>422</v>
      </c>
      <c r="Y237" s="159" t="s">
        <v>3067</v>
      </c>
      <c r="Z237" s="159" t="s">
        <v>4</v>
      </c>
      <c r="AA237" s="154" t="s">
        <v>3566</v>
      </c>
    </row>
    <row r="238" spans="1:27" ht="18.600000000000001" customHeight="1">
      <c r="A238" s="157" t="str">
        <f>IF(priority(Main[[#This Row],[Comments]])&lt;&gt;0, priority(Main[[#This Row],[Comments]]),"")</f>
        <v/>
      </c>
      <c r="B238" s="158" t="s">
        <v>1098</v>
      </c>
      <c r="C238" s="159" t="s">
        <v>4</v>
      </c>
      <c r="D238" s="160" t="s">
        <v>97</v>
      </c>
      <c r="E238" s="162"/>
      <c r="F238" s="162"/>
      <c r="G238" s="164" t="str">
        <f>IF(stdProdLT(Main[[#This Row],[Comments]])=0.1,"N/A",IF(stdProdLT(Main[[#This Row],[Comments]])=0,"",stdProdLT(Main[[#This Row],[Comments]])))</f>
        <v/>
      </c>
      <c r="H238" s="166" t="str">
        <f>IF(AND(Main[[#This Row],[In Stock Date]]&lt;&gt;"",Main[[#This Row],[Revised Due Date]]&lt;&gt;""),Main[[#This Row],[In Stock Date]]-Main[[#This Row],[Revised Due Date]],"")</f>
        <v/>
      </c>
      <c r="I238" s="159" t="s">
        <v>4</v>
      </c>
      <c r="J238" s="159" t="s">
        <v>4</v>
      </c>
      <c r="K238" s="159" t="s">
        <v>4</v>
      </c>
      <c r="L238" s="162"/>
      <c r="M238" s="169" t="str">
        <f>IF(Main[[#This Row],[Tech Start Date]]&lt;1/1/1990,"",IF(Main[[#This Row],[Class]]="C",WORKDAY(Main[[#This Row],[Tech Start Date]],9),IF(Main[[#This Row],[Class]]="B", WORKDAY(Main[[#This Row],[Tech Start Date]],6),IF(Main[[#This Row],[Class]]="A",WORKDAY(Main[[#This Row],[Tech Start Date]],2),""))))</f>
        <v/>
      </c>
      <c r="N238" s="169" t="str">
        <f>IF(Main[[#This Row],[Tech Start Date]]&lt;1/1/1990,"",IF(Main[[#This Row],[Class]]="C",WORKDAY(Main[[#This Row],[Tech Start Date]],19),IF(Main[[#This Row],[Class]]="B", WORKDAY(Main[[#This Row],[Tech Start Date]],12),IF(Main[[#This Row],[Class]]="A",WORKDAY(Main[[#This Row],[Tech Start Date]],4),""))))</f>
        <v/>
      </c>
      <c r="O238" s="169" t="str">
        <f>IF(Main[[#This Row],[Tech Start Date]]&lt;1/1/1990,"",IF(Main[[#This Row],[Class]]="C",WORKDAY(Main[[#This Row],[Tech Start Date]],23),IF(Main[[#This Row],[Class]]="B", WORKDAY(Main[[#This Row],[Tech Start Date]],15),IF(Main[[#This Row],[Class]]="A",WORKDAY(Main[[#This Row],[Tech Start Date]],5),""))))</f>
        <v/>
      </c>
      <c r="P238" s="169" t="str">
        <f>IF(Main[[#This Row],[Tech Start Date]]&lt;1/1/1990,"",IF(Main[[#This Row],[Class]]="C",WORKDAY(Main[[#This Row],[Tech Start Date]],28),IF(Main[[#This Row],[Class]]="B", WORKDAY(Main[[#This Row],[Tech Start Date]],19),IF(Main[[#This Row],[Class]]="A",WORKDAY(Main[[#This Row],[Tech Start Date]],9),""))))</f>
        <v/>
      </c>
      <c r="Q238" s="162">
        <v>40858</v>
      </c>
      <c r="R238" s="162"/>
      <c r="S238" s="159" t="s">
        <v>17</v>
      </c>
      <c r="T238" s="173" t="s">
        <v>4</v>
      </c>
      <c r="U238" s="159" t="s">
        <v>14</v>
      </c>
      <c r="V238" s="159" t="s">
        <v>1932</v>
      </c>
      <c r="W238" s="159" t="s">
        <v>1937</v>
      </c>
      <c r="X238" s="159" t="s">
        <v>50</v>
      </c>
      <c r="Y238" s="159" t="s">
        <v>3046</v>
      </c>
      <c r="Z238" s="159" t="s">
        <v>4</v>
      </c>
      <c r="AA238" s="154" t="s">
        <v>2912</v>
      </c>
    </row>
    <row r="239" spans="1:27" ht="18.600000000000001" customHeight="1">
      <c r="A239" s="157" t="str">
        <f>IF(priority(Main[[#This Row],[Comments]])&lt;&gt;0, priority(Main[[#This Row],[Comments]]),"")</f>
        <v/>
      </c>
      <c r="B239" s="158" t="s">
        <v>1687</v>
      </c>
      <c r="C239" s="159" t="s">
        <v>4</v>
      </c>
      <c r="D239" s="160" t="s">
        <v>740</v>
      </c>
      <c r="E239" s="162"/>
      <c r="F239" s="162"/>
      <c r="G239" s="164" t="str">
        <f>IF(stdProdLT(Main[[#This Row],[Comments]])=0.1,"N/A",IF(stdProdLT(Main[[#This Row],[Comments]])=0,"",stdProdLT(Main[[#This Row],[Comments]])))</f>
        <v/>
      </c>
      <c r="H239" s="166" t="str">
        <f>IF(AND(Main[[#This Row],[In Stock Date]]&lt;&gt;"",Main[[#This Row],[Revised Due Date]]&lt;&gt;""),Main[[#This Row],[In Stock Date]]-Main[[#This Row],[Revised Due Date]],"")</f>
        <v/>
      </c>
      <c r="I239" s="159" t="s">
        <v>4</v>
      </c>
      <c r="J239" s="159" t="s">
        <v>4</v>
      </c>
      <c r="K239" s="159" t="s">
        <v>4</v>
      </c>
      <c r="L239" s="162"/>
      <c r="M239" s="169" t="str">
        <f>IF(Main[[#This Row],[Tech Start Date]]&lt;1/1/1990,"",IF(Main[[#This Row],[Class]]="C",WORKDAY(Main[[#This Row],[Tech Start Date]],9),IF(Main[[#This Row],[Class]]="B", WORKDAY(Main[[#This Row],[Tech Start Date]],6),IF(Main[[#This Row],[Class]]="A",WORKDAY(Main[[#This Row],[Tech Start Date]],2),""))))</f>
        <v/>
      </c>
      <c r="N239" s="169" t="str">
        <f>IF(Main[[#This Row],[Tech Start Date]]&lt;1/1/1990,"",IF(Main[[#This Row],[Class]]="C",WORKDAY(Main[[#This Row],[Tech Start Date]],19),IF(Main[[#This Row],[Class]]="B", WORKDAY(Main[[#This Row],[Tech Start Date]],12),IF(Main[[#This Row],[Class]]="A",WORKDAY(Main[[#This Row],[Tech Start Date]],4),""))))</f>
        <v/>
      </c>
      <c r="O239" s="169" t="str">
        <f>IF(Main[[#This Row],[Tech Start Date]]&lt;1/1/1990,"",IF(Main[[#This Row],[Class]]="C",WORKDAY(Main[[#This Row],[Tech Start Date]],23),IF(Main[[#This Row],[Class]]="B", WORKDAY(Main[[#This Row],[Tech Start Date]],15),IF(Main[[#This Row],[Class]]="A",WORKDAY(Main[[#This Row],[Tech Start Date]],5),""))))</f>
        <v/>
      </c>
      <c r="P239" s="169" t="str">
        <f>IF(Main[[#This Row],[Tech Start Date]]&lt;1/1/1990,"",IF(Main[[#This Row],[Class]]="C",WORKDAY(Main[[#This Row],[Tech Start Date]],28),IF(Main[[#This Row],[Class]]="B", WORKDAY(Main[[#This Row],[Tech Start Date]],19),IF(Main[[#This Row],[Class]]="A",WORKDAY(Main[[#This Row],[Tech Start Date]],9),""))))</f>
        <v/>
      </c>
      <c r="Q239" s="162"/>
      <c r="R239" s="162"/>
      <c r="S239" s="159" t="s">
        <v>23</v>
      </c>
      <c r="T239" s="173" t="s">
        <v>4</v>
      </c>
      <c r="U239" s="159" t="s">
        <v>14</v>
      </c>
      <c r="V239" s="159" t="s">
        <v>1932</v>
      </c>
      <c r="W239" s="159" t="s">
        <v>1936</v>
      </c>
      <c r="X239" s="159" t="s">
        <v>403</v>
      </c>
      <c r="Y239" s="159" t="s">
        <v>4</v>
      </c>
      <c r="Z239" s="159" t="s">
        <v>4</v>
      </c>
      <c r="AA239" s="154" t="s">
        <v>3578</v>
      </c>
    </row>
    <row r="240" spans="1:27" ht="18.600000000000001" customHeight="1">
      <c r="A240" s="140" t="str">
        <f>IF(priority(Main[[#This Row],[Comments]])&lt;&gt;0, priority(Main[[#This Row],[Comments]]),"")</f>
        <v/>
      </c>
      <c r="B240" s="90" t="s">
        <v>1099</v>
      </c>
      <c r="C240" s="72" t="s">
        <v>113</v>
      </c>
      <c r="D240" s="73" t="s">
        <v>137</v>
      </c>
      <c r="E240" s="74"/>
      <c r="F240" s="74"/>
      <c r="G240" s="75" t="str">
        <f>IF(stdProdLT(Main[[#This Row],[Comments]])=0.1,"N/A",IF(stdProdLT(Main[[#This Row],[Comments]])=0,"",stdProdLT(Main[[#This Row],[Comments]])))</f>
        <v/>
      </c>
      <c r="H240" s="76" t="str">
        <f>IF(AND(Main[[#This Row],[In Stock Date]]&lt;&gt;"",Main[[#This Row],[Revised Due Date]]&lt;&gt;""),Main[[#This Row],[In Stock Date]]-Main[[#This Row],[Revised Due Date]],"")</f>
        <v/>
      </c>
      <c r="I240" s="72" t="s">
        <v>4</v>
      </c>
      <c r="J240" s="72" t="s">
        <v>4</v>
      </c>
      <c r="K240" s="72" t="s">
        <v>4</v>
      </c>
      <c r="L240" s="74"/>
      <c r="M240" s="77" t="str">
        <f>IF(Main[[#This Row],[Tech Start Date]]&lt;1/1/1990,"",IF(Main[[#This Row],[Class]]="C",WORKDAY(Main[[#This Row],[Tech Start Date]],9),IF(Main[[#This Row],[Class]]="B", WORKDAY(Main[[#This Row],[Tech Start Date]],6),IF(Main[[#This Row],[Class]]="A",WORKDAY(Main[[#This Row],[Tech Start Date]],2),""))))</f>
        <v/>
      </c>
      <c r="N240" s="77" t="str">
        <f>IF(Main[[#This Row],[Tech Start Date]]&lt;1/1/1990,"",IF(Main[[#This Row],[Class]]="C",WORKDAY(Main[[#This Row],[Tech Start Date]],19),IF(Main[[#This Row],[Class]]="B", WORKDAY(Main[[#This Row],[Tech Start Date]],12),IF(Main[[#This Row],[Class]]="A",WORKDAY(Main[[#This Row],[Tech Start Date]],4),""))))</f>
        <v/>
      </c>
      <c r="O240" s="77" t="str">
        <f>IF(Main[[#This Row],[Tech Start Date]]&lt;1/1/1990,"",IF(Main[[#This Row],[Class]]="C",WORKDAY(Main[[#This Row],[Tech Start Date]],23),IF(Main[[#This Row],[Class]]="B", WORKDAY(Main[[#This Row],[Tech Start Date]],15),IF(Main[[#This Row],[Class]]="A",WORKDAY(Main[[#This Row],[Tech Start Date]],5),""))))</f>
        <v/>
      </c>
      <c r="P240" s="77" t="str">
        <f>IF(Main[[#This Row],[Tech Start Date]]&lt;1/1/1990,"",IF(Main[[#This Row],[Class]]="C",WORKDAY(Main[[#This Row],[Tech Start Date]],28),IF(Main[[#This Row],[Class]]="B", WORKDAY(Main[[#This Row],[Tech Start Date]],19),IF(Main[[#This Row],[Class]]="A",WORKDAY(Main[[#This Row],[Tech Start Date]],9),""))))</f>
        <v/>
      </c>
      <c r="Q240" s="74">
        <v>40641</v>
      </c>
      <c r="R240" s="74"/>
      <c r="S240" s="72" t="s">
        <v>11</v>
      </c>
      <c r="T240" s="80" t="s">
        <v>4</v>
      </c>
      <c r="U240" s="72" t="s">
        <v>14</v>
      </c>
      <c r="V240" s="72" t="s">
        <v>1932</v>
      </c>
      <c r="W240" s="72" t="s">
        <v>1940</v>
      </c>
      <c r="X240" s="72" t="s">
        <v>2923</v>
      </c>
      <c r="Y240" s="72" t="s">
        <v>3068</v>
      </c>
      <c r="Z240" s="72" t="s">
        <v>4</v>
      </c>
      <c r="AA240" s="147" t="s">
        <v>2923</v>
      </c>
    </row>
    <row r="241" spans="1:27" ht="18.600000000000001" customHeight="1">
      <c r="A241" s="140" t="str">
        <f>IF(priority(Main[[#This Row],[Comments]])&lt;&gt;0, priority(Main[[#This Row],[Comments]]),"")</f>
        <v/>
      </c>
      <c r="B241" s="90" t="s">
        <v>1100</v>
      </c>
      <c r="C241" s="72" t="s">
        <v>138</v>
      </c>
      <c r="D241" s="73" t="s">
        <v>139</v>
      </c>
      <c r="E241" s="74"/>
      <c r="F241" s="74"/>
      <c r="G241" s="75" t="str">
        <f>IF(stdProdLT(Main[[#This Row],[Comments]])=0.1,"N/A",IF(stdProdLT(Main[[#This Row],[Comments]])=0,"",stdProdLT(Main[[#This Row],[Comments]])))</f>
        <v/>
      </c>
      <c r="H241" s="76" t="str">
        <f>IF(AND(Main[[#This Row],[In Stock Date]]&lt;&gt;"",Main[[#This Row],[Revised Due Date]]&lt;&gt;""),Main[[#This Row],[In Stock Date]]-Main[[#This Row],[Revised Due Date]],"")</f>
        <v/>
      </c>
      <c r="I241" s="72" t="s">
        <v>4</v>
      </c>
      <c r="J241" s="72" t="s">
        <v>4</v>
      </c>
      <c r="K241" s="72" t="s">
        <v>4</v>
      </c>
      <c r="L241" s="74"/>
      <c r="M241" s="77" t="str">
        <f>IF(Main[[#This Row],[Tech Start Date]]&lt;1/1/1990,"",IF(Main[[#This Row],[Class]]="C",WORKDAY(Main[[#This Row],[Tech Start Date]],9),IF(Main[[#This Row],[Class]]="B", WORKDAY(Main[[#This Row],[Tech Start Date]],6),IF(Main[[#This Row],[Class]]="A",WORKDAY(Main[[#This Row],[Tech Start Date]],2),""))))</f>
        <v/>
      </c>
      <c r="N241" s="77" t="str">
        <f>IF(Main[[#This Row],[Tech Start Date]]&lt;1/1/1990,"",IF(Main[[#This Row],[Class]]="C",WORKDAY(Main[[#This Row],[Tech Start Date]],19),IF(Main[[#This Row],[Class]]="B", WORKDAY(Main[[#This Row],[Tech Start Date]],12),IF(Main[[#This Row],[Class]]="A",WORKDAY(Main[[#This Row],[Tech Start Date]],4),""))))</f>
        <v/>
      </c>
      <c r="O241" s="77" t="str">
        <f>IF(Main[[#This Row],[Tech Start Date]]&lt;1/1/1990,"",IF(Main[[#This Row],[Class]]="C",WORKDAY(Main[[#This Row],[Tech Start Date]],23),IF(Main[[#This Row],[Class]]="B", WORKDAY(Main[[#This Row],[Tech Start Date]],15),IF(Main[[#This Row],[Class]]="A",WORKDAY(Main[[#This Row],[Tech Start Date]],5),""))))</f>
        <v/>
      </c>
      <c r="P241" s="77" t="str">
        <f>IF(Main[[#This Row],[Tech Start Date]]&lt;1/1/1990,"",IF(Main[[#This Row],[Class]]="C",WORKDAY(Main[[#This Row],[Tech Start Date]],28),IF(Main[[#This Row],[Class]]="B", WORKDAY(Main[[#This Row],[Tech Start Date]],19),IF(Main[[#This Row],[Class]]="A",WORKDAY(Main[[#This Row],[Tech Start Date]],9),""))))</f>
        <v/>
      </c>
      <c r="Q241" s="74">
        <v>40641</v>
      </c>
      <c r="R241" s="74"/>
      <c r="S241" s="72" t="s">
        <v>11</v>
      </c>
      <c r="T241" s="80" t="s">
        <v>4</v>
      </c>
      <c r="U241" s="72" t="s">
        <v>14</v>
      </c>
      <c r="V241" s="72" t="s">
        <v>1932</v>
      </c>
      <c r="W241" s="72" t="s">
        <v>1940</v>
      </c>
      <c r="X241" s="72" t="s">
        <v>2923</v>
      </c>
      <c r="Y241" s="72" t="s">
        <v>3057</v>
      </c>
      <c r="Z241" s="72" t="s">
        <v>4</v>
      </c>
      <c r="AA241" s="147" t="s">
        <v>2923</v>
      </c>
    </row>
    <row r="242" spans="1:27" ht="18.600000000000001" customHeight="1">
      <c r="A242" s="140" t="str">
        <f>IF(priority(Main[[#This Row],[Comments]])&lt;&gt;0, priority(Main[[#This Row],[Comments]]),"")</f>
        <v/>
      </c>
      <c r="B242" s="90" t="s">
        <v>1102</v>
      </c>
      <c r="C242" s="72" t="s">
        <v>33</v>
      </c>
      <c r="D242" s="73" t="s">
        <v>140</v>
      </c>
      <c r="E242" s="74"/>
      <c r="F242" s="74"/>
      <c r="G242" s="75" t="str">
        <f>IF(stdProdLT(Main[[#This Row],[Comments]])=0.1,"N/A",IF(stdProdLT(Main[[#This Row],[Comments]])=0,"",stdProdLT(Main[[#This Row],[Comments]])))</f>
        <v/>
      </c>
      <c r="H242" s="76" t="str">
        <f>IF(AND(Main[[#This Row],[In Stock Date]]&lt;&gt;"",Main[[#This Row],[Revised Due Date]]&lt;&gt;""),Main[[#This Row],[In Stock Date]]-Main[[#This Row],[Revised Due Date]],"")</f>
        <v/>
      </c>
      <c r="I242" s="72" t="s">
        <v>4</v>
      </c>
      <c r="J242" s="72" t="s">
        <v>4</v>
      </c>
      <c r="K242" s="72" t="s">
        <v>4</v>
      </c>
      <c r="L242" s="74"/>
      <c r="M242" s="77" t="str">
        <f>IF(Main[[#This Row],[Tech Start Date]]&lt;1/1/1990,"",IF(Main[[#This Row],[Class]]="C",WORKDAY(Main[[#This Row],[Tech Start Date]],9),IF(Main[[#This Row],[Class]]="B", WORKDAY(Main[[#This Row],[Tech Start Date]],6),IF(Main[[#This Row],[Class]]="A",WORKDAY(Main[[#This Row],[Tech Start Date]],2),""))))</f>
        <v/>
      </c>
      <c r="N242" s="77" t="str">
        <f>IF(Main[[#This Row],[Tech Start Date]]&lt;1/1/1990,"",IF(Main[[#This Row],[Class]]="C",WORKDAY(Main[[#This Row],[Tech Start Date]],19),IF(Main[[#This Row],[Class]]="B", WORKDAY(Main[[#This Row],[Tech Start Date]],12),IF(Main[[#This Row],[Class]]="A",WORKDAY(Main[[#This Row],[Tech Start Date]],4),""))))</f>
        <v/>
      </c>
      <c r="O242" s="77" t="str">
        <f>IF(Main[[#This Row],[Tech Start Date]]&lt;1/1/1990,"",IF(Main[[#This Row],[Class]]="C",WORKDAY(Main[[#This Row],[Tech Start Date]],23),IF(Main[[#This Row],[Class]]="B", WORKDAY(Main[[#This Row],[Tech Start Date]],15),IF(Main[[#This Row],[Class]]="A",WORKDAY(Main[[#This Row],[Tech Start Date]],5),""))))</f>
        <v/>
      </c>
      <c r="P242" s="77" t="str">
        <f>IF(Main[[#This Row],[Tech Start Date]]&lt;1/1/1990,"",IF(Main[[#This Row],[Class]]="C",WORKDAY(Main[[#This Row],[Tech Start Date]],28),IF(Main[[#This Row],[Class]]="B", WORKDAY(Main[[#This Row],[Tech Start Date]],19),IF(Main[[#This Row],[Class]]="A",WORKDAY(Main[[#This Row],[Tech Start Date]],9),""))))</f>
        <v/>
      </c>
      <c r="Q242" s="74"/>
      <c r="R242" s="74"/>
      <c r="S242" s="72" t="s">
        <v>11</v>
      </c>
      <c r="T242" s="80" t="s">
        <v>4</v>
      </c>
      <c r="U242" s="72" t="s">
        <v>14</v>
      </c>
      <c r="V242" s="72" t="s">
        <v>1933</v>
      </c>
      <c r="W242" s="72" t="s">
        <v>1940</v>
      </c>
      <c r="X242" s="72" t="s">
        <v>2911</v>
      </c>
      <c r="Y242" s="72" t="s">
        <v>3035</v>
      </c>
      <c r="Z242" s="72" t="s">
        <v>4</v>
      </c>
      <c r="AA242" s="147" t="s">
        <v>2911</v>
      </c>
    </row>
    <row r="243" spans="1:27" ht="18.600000000000001" customHeight="1">
      <c r="A243" s="140" t="str">
        <f>IF(priority(Main[[#This Row],[Comments]])&lt;&gt;0, priority(Main[[#This Row],[Comments]]),"")</f>
        <v/>
      </c>
      <c r="B243" s="90" t="s">
        <v>1103</v>
      </c>
      <c r="C243" s="72" t="s">
        <v>4</v>
      </c>
      <c r="D243" s="73" t="s">
        <v>141</v>
      </c>
      <c r="E243" s="74">
        <v>40436.663981481484</v>
      </c>
      <c r="F243" s="74"/>
      <c r="G243" s="75" t="str">
        <f>IF(stdProdLT(Main[[#This Row],[Comments]])=0.1,"N/A",IF(stdProdLT(Main[[#This Row],[Comments]])=0,"",stdProdLT(Main[[#This Row],[Comments]])))</f>
        <v/>
      </c>
      <c r="H243" s="76" t="str">
        <f>IF(AND(Main[[#This Row],[In Stock Date]]&lt;&gt;"",Main[[#This Row],[Revised Due Date]]&lt;&gt;""),Main[[#This Row],[In Stock Date]]-Main[[#This Row],[Revised Due Date]],"")</f>
        <v/>
      </c>
      <c r="I243" s="72" t="s">
        <v>4</v>
      </c>
      <c r="J243" s="72" t="s">
        <v>4</v>
      </c>
      <c r="K243" s="72" t="s">
        <v>4</v>
      </c>
      <c r="L243" s="74"/>
      <c r="M243" s="77" t="str">
        <f>IF(Main[[#This Row],[Tech Start Date]]&lt;1/1/1990,"",IF(Main[[#This Row],[Class]]="C",WORKDAY(Main[[#This Row],[Tech Start Date]],9),IF(Main[[#This Row],[Class]]="B", WORKDAY(Main[[#This Row],[Tech Start Date]],6),IF(Main[[#This Row],[Class]]="A",WORKDAY(Main[[#This Row],[Tech Start Date]],2),""))))</f>
        <v/>
      </c>
      <c r="N243" s="77" t="str">
        <f>IF(Main[[#This Row],[Tech Start Date]]&lt;1/1/1990,"",IF(Main[[#This Row],[Class]]="C",WORKDAY(Main[[#This Row],[Tech Start Date]],19),IF(Main[[#This Row],[Class]]="B", WORKDAY(Main[[#This Row],[Tech Start Date]],12),IF(Main[[#This Row],[Class]]="A",WORKDAY(Main[[#This Row],[Tech Start Date]],4),""))))</f>
        <v/>
      </c>
      <c r="O243" s="77" t="str">
        <f>IF(Main[[#This Row],[Tech Start Date]]&lt;1/1/1990,"",IF(Main[[#This Row],[Class]]="C",WORKDAY(Main[[#This Row],[Tech Start Date]],23),IF(Main[[#This Row],[Class]]="B", WORKDAY(Main[[#This Row],[Tech Start Date]],15),IF(Main[[#This Row],[Class]]="A",WORKDAY(Main[[#This Row],[Tech Start Date]],5),""))))</f>
        <v/>
      </c>
      <c r="P243" s="77" t="str">
        <f>IF(Main[[#This Row],[Tech Start Date]]&lt;1/1/1990,"",IF(Main[[#This Row],[Class]]="C",WORKDAY(Main[[#This Row],[Tech Start Date]],28),IF(Main[[#This Row],[Class]]="B", WORKDAY(Main[[#This Row],[Tech Start Date]],19),IF(Main[[#This Row],[Class]]="A",WORKDAY(Main[[#This Row],[Tech Start Date]],9),""))))</f>
        <v/>
      </c>
      <c r="Q243" s="74"/>
      <c r="R243" s="74"/>
      <c r="S243" s="72" t="s">
        <v>17</v>
      </c>
      <c r="T243" s="80" t="s">
        <v>142</v>
      </c>
      <c r="U243" s="72" t="s">
        <v>7</v>
      </c>
      <c r="V243" s="72" t="s">
        <v>1933</v>
      </c>
      <c r="W243" s="72" t="s">
        <v>1940</v>
      </c>
      <c r="X243" s="72" t="s">
        <v>933</v>
      </c>
      <c r="Y243" s="72" t="s">
        <v>3069</v>
      </c>
      <c r="Z243" s="72" t="s">
        <v>4</v>
      </c>
      <c r="AA243" s="147" t="s">
        <v>933</v>
      </c>
    </row>
    <row r="244" spans="1:27" ht="18.600000000000001" customHeight="1">
      <c r="A244" s="140" t="str">
        <f>IF(priority(Main[[#This Row],[Comments]])&lt;&gt;0, priority(Main[[#This Row],[Comments]]),"")</f>
        <v/>
      </c>
      <c r="B244" s="90" t="s">
        <v>1512</v>
      </c>
      <c r="C244" s="72" t="s">
        <v>93</v>
      </c>
      <c r="D244" s="73" t="s">
        <v>605</v>
      </c>
      <c r="E244" s="74">
        <v>40016.655266203707</v>
      </c>
      <c r="F244" s="74"/>
      <c r="G244" s="75" t="str">
        <f>IF(stdProdLT(Main[[#This Row],[Comments]])=0.1,"N/A",IF(stdProdLT(Main[[#This Row],[Comments]])=0,"",stdProdLT(Main[[#This Row],[Comments]])))</f>
        <v/>
      </c>
      <c r="H244" s="76" t="str">
        <f>IF(AND(Main[[#This Row],[In Stock Date]]&lt;&gt;"",Main[[#This Row],[Revised Due Date]]&lt;&gt;""),Main[[#This Row],[In Stock Date]]-Main[[#This Row],[Revised Due Date]],"")</f>
        <v/>
      </c>
      <c r="I244" s="72" t="s">
        <v>4</v>
      </c>
      <c r="J244" s="72" t="s">
        <v>4</v>
      </c>
      <c r="K244" s="72" t="s">
        <v>4</v>
      </c>
      <c r="L244" s="74"/>
      <c r="M244" s="77" t="str">
        <f>IF(Main[[#This Row],[Tech Start Date]]&lt;1/1/1990,"",IF(Main[[#This Row],[Class]]="C",WORKDAY(Main[[#This Row],[Tech Start Date]],9),IF(Main[[#This Row],[Class]]="B", WORKDAY(Main[[#This Row],[Tech Start Date]],6),IF(Main[[#This Row],[Class]]="A",WORKDAY(Main[[#This Row],[Tech Start Date]],2),""))))</f>
        <v/>
      </c>
      <c r="N244" s="77" t="str">
        <f>IF(Main[[#This Row],[Tech Start Date]]&lt;1/1/1990,"",IF(Main[[#This Row],[Class]]="C",WORKDAY(Main[[#This Row],[Tech Start Date]],19),IF(Main[[#This Row],[Class]]="B", WORKDAY(Main[[#This Row],[Tech Start Date]],12),IF(Main[[#This Row],[Class]]="A",WORKDAY(Main[[#This Row],[Tech Start Date]],4),""))))</f>
        <v/>
      </c>
      <c r="O244" s="77" t="str">
        <f>IF(Main[[#This Row],[Tech Start Date]]&lt;1/1/1990,"",IF(Main[[#This Row],[Class]]="C",WORKDAY(Main[[#This Row],[Tech Start Date]],23),IF(Main[[#This Row],[Class]]="B", WORKDAY(Main[[#This Row],[Tech Start Date]],15),IF(Main[[#This Row],[Class]]="A",WORKDAY(Main[[#This Row],[Tech Start Date]],5),""))))</f>
        <v/>
      </c>
      <c r="P244" s="77" t="str">
        <f>IF(Main[[#This Row],[Tech Start Date]]&lt;1/1/1990,"",IF(Main[[#This Row],[Class]]="C",WORKDAY(Main[[#This Row],[Tech Start Date]],28),IF(Main[[#This Row],[Class]]="B", WORKDAY(Main[[#This Row],[Tech Start Date]],19),IF(Main[[#This Row],[Class]]="A",WORKDAY(Main[[#This Row],[Tech Start Date]],9),""))))</f>
        <v/>
      </c>
      <c r="Q244" s="74"/>
      <c r="R244" s="74"/>
      <c r="S244" s="72" t="s">
        <v>17</v>
      </c>
      <c r="T244" s="80" t="s">
        <v>4</v>
      </c>
      <c r="U244" s="72" t="s">
        <v>29</v>
      </c>
      <c r="V244" s="72" t="s">
        <v>1935</v>
      </c>
      <c r="W244" s="72" t="s">
        <v>1938</v>
      </c>
      <c r="X244" s="72" t="s">
        <v>2937</v>
      </c>
      <c r="Y244" s="72" t="s">
        <v>3078</v>
      </c>
      <c r="Z244" s="72" t="s">
        <v>4</v>
      </c>
      <c r="AA244" s="147" t="s">
        <v>2937</v>
      </c>
    </row>
    <row r="245" spans="1:27" ht="18.600000000000001" customHeight="1">
      <c r="A245" s="140" t="str">
        <f>IF(priority(Main[[#This Row],[Comments]])&lt;&gt;0, priority(Main[[#This Row],[Comments]]),"")</f>
        <v/>
      </c>
      <c r="B245" s="90" t="s">
        <v>1693</v>
      </c>
      <c r="C245" s="72" t="s">
        <v>4</v>
      </c>
      <c r="D245" s="73" t="s">
        <v>744</v>
      </c>
      <c r="E245" s="74">
        <v>40618.366238425922</v>
      </c>
      <c r="F245" s="74"/>
      <c r="G245" s="75" t="str">
        <f>IF(stdProdLT(Main[[#This Row],[Comments]])=0.1,"N/A",IF(stdProdLT(Main[[#This Row],[Comments]])=0,"",stdProdLT(Main[[#This Row],[Comments]])))</f>
        <v/>
      </c>
      <c r="H245" s="76" t="str">
        <f>IF(AND(Main[[#This Row],[In Stock Date]]&lt;&gt;"",Main[[#This Row],[Revised Due Date]]&lt;&gt;""),Main[[#This Row],[In Stock Date]]-Main[[#This Row],[Revised Due Date]],"")</f>
        <v/>
      </c>
      <c r="I245" s="72" t="s">
        <v>30</v>
      </c>
      <c r="J245" s="72" t="s">
        <v>28</v>
      </c>
      <c r="K245" s="72" t="s">
        <v>1941</v>
      </c>
      <c r="L245" s="74"/>
      <c r="M245" s="77" t="str">
        <f>IF(Main[[#This Row],[Tech Start Date]]&lt;1/1/1990,"",IF(Main[[#This Row],[Class]]="C",WORKDAY(Main[[#This Row],[Tech Start Date]],9),IF(Main[[#This Row],[Class]]="B", WORKDAY(Main[[#This Row],[Tech Start Date]],6),IF(Main[[#This Row],[Class]]="A",WORKDAY(Main[[#This Row],[Tech Start Date]],2),""))))</f>
        <v/>
      </c>
      <c r="N245" s="77" t="str">
        <f>IF(Main[[#This Row],[Tech Start Date]]&lt;1/1/1990,"",IF(Main[[#This Row],[Class]]="C",WORKDAY(Main[[#This Row],[Tech Start Date]],19),IF(Main[[#This Row],[Class]]="B", WORKDAY(Main[[#This Row],[Tech Start Date]],12),IF(Main[[#This Row],[Class]]="A",WORKDAY(Main[[#This Row],[Tech Start Date]],4),""))))</f>
        <v/>
      </c>
      <c r="O245" s="77" t="str">
        <f>IF(Main[[#This Row],[Tech Start Date]]&lt;1/1/1990,"",IF(Main[[#This Row],[Class]]="C",WORKDAY(Main[[#This Row],[Tech Start Date]],23),IF(Main[[#This Row],[Class]]="B", WORKDAY(Main[[#This Row],[Tech Start Date]],15),IF(Main[[#This Row],[Class]]="A",WORKDAY(Main[[#This Row],[Tech Start Date]],5),""))))</f>
        <v/>
      </c>
      <c r="P245" s="77" t="str">
        <f>IF(Main[[#This Row],[Tech Start Date]]&lt;1/1/1990,"",IF(Main[[#This Row],[Class]]="C",WORKDAY(Main[[#This Row],[Tech Start Date]],28),IF(Main[[#This Row],[Class]]="B", WORKDAY(Main[[#This Row],[Tech Start Date]],19),IF(Main[[#This Row],[Class]]="A",WORKDAY(Main[[#This Row],[Tech Start Date]],9),""))))</f>
        <v/>
      </c>
      <c r="Q245" s="74"/>
      <c r="R245" s="74"/>
      <c r="S245" s="72" t="s">
        <v>6</v>
      </c>
      <c r="T245" s="80" t="s">
        <v>4</v>
      </c>
      <c r="U245" s="72" t="s">
        <v>29</v>
      </c>
      <c r="V245" s="72" t="s">
        <v>1935</v>
      </c>
      <c r="W245" s="72" t="s">
        <v>1934</v>
      </c>
      <c r="X245" s="72" t="s">
        <v>420</v>
      </c>
      <c r="Y245" s="72" t="s">
        <v>3062</v>
      </c>
      <c r="Z245" s="72" t="s">
        <v>30</v>
      </c>
      <c r="AA245" s="147" t="s">
        <v>420</v>
      </c>
    </row>
    <row r="246" spans="1:27" ht="18.600000000000001" customHeight="1">
      <c r="A246" s="140" t="str">
        <f>IF(priority(Main[[#This Row],[Comments]])&lt;&gt;0, priority(Main[[#This Row],[Comments]]),"")</f>
        <v/>
      </c>
      <c r="B246" s="90" t="s">
        <v>2092</v>
      </c>
      <c r="C246" s="72" t="s">
        <v>4</v>
      </c>
      <c r="D246" s="73" t="s">
        <v>2093</v>
      </c>
      <c r="E246" s="74"/>
      <c r="F246" s="74"/>
      <c r="G246" s="75" t="str">
        <f>IF(stdProdLT(Main[[#This Row],[Comments]])=0.1,"N/A",IF(stdProdLT(Main[[#This Row],[Comments]])=0,"",stdProdLT(Main[[#This Row],[Comments]])))</f>
        <v/>
      </c>
      <c r="H246" s="76" t="str">
        <f>IF(AND(Main[[#This Row],[In Stock Date]]&lt;&gt;"",Main[[#This Row],[Revised Due Date]]&lt;&gt;""),Main[[#This Row],[In Stock Date]]-Main[[#This Row],[Revised Due Date]],"")</f>
        <v/>
      </c>
      <c r="I246" s="72" t="s">
        <v>4</v>
      </c>
      <c r="J246" s="72" t="s">
        <v>4</v>
      </c>
      <c r="K246" s="72" t="s">
        <v>4</v>
      </c>
      <c r="L246" s="74"/>
      <c r="M246" s="77" t="str">
        <f>IF(Main[[#This Row],[Tech Start Date]]&lt;1/1/1990,"",IF(Main[[#This Row],[Class]]="C",WORKDAY(Main[[#This Row],[Tech Start Date]],9),IF(Main[[#This Row],[Class]]="B", WORKDAY(Main[[#This Row],[Tech Start Date]],6),IF(Main[[#This Row],[Class]]="A",WORKDAY(Main[[#This Row],[Tech Start Date]],2),""))))</f>
        <v/>
      </c>
      <c r="N246" s="77" t="str">
        <f>IF(Main[[#This Row],[Tech Start Date]]&lt;1/1/1990,"",IF(Main[[#This Row],[Class]]="C",WORKDAY(Main[[#This Row],[Tech Start Date]],19),IF(Main[[#This Row],[Class]]="B", WORKDAY(Main[[#This Row],[Tech Start Date]],12),IF(Main[[#This Row],[Class]]="A",WORKDAY(Main[[#This Row],[Tech Start Date]],4),""))))</f>
        <v/>
      </c>
      <c r="O246" s="77" t="str">
        <f>IF(Main[[#This Row],[Tech Start Date]]&lt;1/1/1990,"",IF(Main[[#This Row],[Class]]="C",WORKDAY(Main[[#This Row],[Tech Start Date]],23),IF(Main[[#This Row],[Class]]="B", WORKDAY(Main[[#This Row],[Tech Start Date]],15),IF(Main[[#This Row],[Class]]="A",WORKDAY(Main[[#This Row],[Tech Start Date]],5),""))))</f>
        <v/>
      </c>
      <c r="P246" s="77" t="str">
        <f>IF(Main[[#This Row],[Tech Start Date]]&lt;1/1/1990,"",IF(Main[[#This Row],[Class]]="C",WORKDAY(Main[[#This Row],[Tech Start Date]],28),IF(Main[[#This Row],[Class]]="B", WORKDAY(Main[[#This Row],[Tech Start Date]],19),IF(Main[[#This Row],[Class]]="A",WORKDAY(Main[[#This Row],[Tech Start Date]],9),""))))</f>
        <v/>
      </c>
      <c r="Q246" s="74"/>
      <c r="R246" s="155"/>
      <c r="S246" s="72" t="s">
        <v>6</v>
      </c>
      <c r="T246" s="80" t="s">
        <v>4</v>
      </c>
      <c r="U246" s="72" t="s">
        <v>14</v>
      </c>
      <c r="V246" s="72" t="s">
        <v>1932</v>
      </c>
      <c r="W246" s="72" t="s">
        <v>1936</v>
      </c>
      <c r="X246" s="72" t="s">
        <v>310</v>
      </c>
      <c r="Y246" s="72" t="s">
        <v>4</v>
      </c>
      <c r="Z246" s="72" t="s">
        <v>4</v>
      </c>
      <c r="AA246" s="147" t="s">
        <v>3574</v>
      </c>
    </row>
    <row r="247" spans="1:27" ht="18.600000000000001" customHeight="1">
      <c r="A247" s="157" t="str">
        <f>IF(priority(Main[[#This Row],[Comments]])&lt;&gt;0, priority(Main[[#This Row],[Comments]]),"")</f>
        <v/>
      </c>
      <c r="B247" s="158" t="s">
        <v>1122</v>
      </c>
      <c r="C247" s="159" t="s">
        <v>156</v>
      </c>
      <c r="D247" s="160" t="s">
        <v>157</v>
      </c>
      <c r="E247" s="162"/>
      <c r="F247" s="162"/>
      <c r="G247" s="164" t="str">
        <f>IF(stdProdLT(Main[[#This Row],[Comments]])=0.1,"N/A",IF(stdProdLT(Main[[#This Row],[Comments]])=0,"",stdProdLT(Main[[#This Row],[Comments]])))</f>
        <v/>
      </c>
      <c r="H247" s="166" t="str">
        <f>IF(AND(Main[[#This Row],[In Stock Date]]&lt;&gt;"",Main[[#This Row],[Revised Due Date]]&lt;&gt;""),Main[[#This Row],[In Stock Date]]-Main[[#This Row],[Revised Due Date]],"")</f>
        <v/>
      </c>
      <c r="I247" s="159" t="s">
        <v>4</v>
      </c>
      <c r="J247" s="159" t="s">
        <v>4</v>
      </c>
      <c r="K247" s="159" t="s">
        <v>4</v>
      </c>
      <c r="L247" s="162"/>
      <c r="M247" s="169" t="str">
        <f>IF(Main[[#This Row],[Tech Start Date]]&lt;1/1/1990,"",IF(Main[[#This Row],[Class]]="C",WORKDAY(Main[[#This Row],[Tech Start Date]],9),IF(Main[[#This Row],[Class]]="B", WORKDAY(Main[[#This Row],[Tech Start Date]],6),IF(Main[[#This Row],[Class]]="A",WORKDAY(Main[[#This Row],[Tech Start Date]],2),""))))</f>
        <v/>
      </c>
      <c r="N247" s="169" t="str">
        <f>IF(Main[[#This Row],[Tech Start Date]]&lt;1/1/1990,"",IF(Main[[#This Row],[Class]]="C",WORKDAY(Main[[#This Row],[Tech Start Date]],19),IF(Main[[#This Row],[Class]]="B", WORKDAY(Main[[#This Row],[Tech Start Date]],12),IF(Main[[#This Row],[Class]]="A",WORKDAY(Main[[#This Row],[Tech Start Date]],4),""))))</f>
        <v/>
      </c>
      <c r="O247" s="169" t="str">
        <f>IF(Main[[#This Row],[Tech Start Date]]&lt;1/1/1990,"",IF(Main[[#This Row],[Class]]="C",WORKDAY(Main[[#This Row],[Tech Start Date]],23),IF(Main[[#This Row],[Class]]="B", WORKDAY(Main[[#This Row],[Tech Start Date]],15),IF(Main[[#This Row],[Class]]="A",WORKDAY(Main[[#This Row],[Tech Start Date]],5),""))))</f>
        <v/>
      </c>
      <c r="P247" s="169" t="str">
        <f>IF(Main[[#This Row],[Tech Start Date]]&lt;1/1/1990,"",IF(Main[[#This Row],[Class]]="C",WORKDAY(Main[[#This Row],[Tech Start Date]],28),IF(Main[[#This Row],[Class]]="B", WORKDAY(Main[[#This Row],[Tech Start Date]],19),IF(Main[[#This Row],[Class]]="A",WORKDAY(Main[[#This Row],[Tech Start Date]],9),""))))</f>
        <v/>
      </c>
      <c r="Q247" s="162">
        <v>40144</v>
      </c>
      <c r="R247" s="162"/>
      <c r="S247" s="159" t="s">
        <v>11</v>
      </c>
      <c r="T247" s="173" t="s">
        <v>4</v>
      </c>
      <c r="U247" s="159" t="s">
        <v>14</v>
      </c>
      <c r="V247" s="159" t="s">
        <v>1932</v>
      </c>
      <c r="W247" s="159" t="s">
        <v>1934</v>
      </c>
      <c r="X247" s="159" t="s">
        <v>2938</v>
      </c>
      <c r="Y247" s="159" t="s">
        <v>4</v>
      </c>
      <c r="Z247" s="159" t="s">
        <v>4</v>
      </c>
      <c r="AA247" s="154" t="s">
        <v>2938</v>
      </c>
    </row>
    <row r="248" spans="1:27" ht="18.600000000000001" customHeight="1">
      <c r="A248" s="157" t="str">
        <f>IF(priority(Main[[#This Row],[Comments]])&lt;&gt;0, priority(Main[[#This Row],[Comments]]),"")</f>
        <v/>
      </c>
      <c r="B248" s="158" t="s">
        <v>1123</v>
      </c>
      <c r="C248" s="159" t="s">
        <v>158</v>
      </c>
      <c r="D248" s="160" t="s">
        <v>159</v>
      </c>
      <c r="E248" s="162"/>
      <c r="F248" s="162"/>
      <c r="G248" s="164" t="str">
        <f>IF(stdProdLT(Main[[#This Row],[Comments]])=0.1,"N/A",IF(stdProdLT(Main[[#This Row],[Comments]])=0,"",stdProdLT(Main[[#This Row],[Comments]])))</f>
        <v/>
      </c>
      <c r="H248" s="166" t="str">
        <f>IF(AND(Main[[#This Row],[In Stock Date]]&lt;&gt;"",Main[[#This Row],[Revised Due Date]]&lt;&gt;""),Main[[#This Row],[In Stock Date]]-Main[[#This Row],[Revised Due Date]],"")</f>
        <v/>
      </c>
      <c r="I248" s="159" t="s">
        <v>4</v>
      </c>
      <c r="J248" s="159" t="s">
        <v>4</v>
      </c>
      <c r="K248" s="159" t="s">
        <v>4</v>
      </c>
      <c r="L248" s="162"/>
      <c r="M248" s="169" t="str">
        <f>IF(Main[[#This Row],[Tech Start Date]]&lt;1/1/1990,"",IF(Main[[#This Row],[Class]]="C",WORKDAY(Main[[#This Row],[Tech Start Date]],9),IF(Main[[#This Row],[Class]]="B", WORKDAY(Main[[#This Row],[Tech Start Date]],6),IF(Main[[#This Row],[Class]]="A",WORKDAY(Main[[#This Row],[Tech Start Date]],2),""))))</f>
        <v/>
      </c>
      <c r="N248" s="169" t="str">
        <f>IF(Main[[#This Row],[Tech Start Date]]&lt;1/1/1990,"",IF(Main[[#This Row],[Class]]="C",WORKDAY(Main[[#This Row],[Tech Start Date]],19),IF(Main[[#This Row],[Class]]="B", WORKDAY(Main[[#This Row],[Tech Start Date]],12),IF(Main[[#This Row],[Class]]="A",WORKDAY(Main[[#This Row],[Tech Start Date]],4),""))))</f>
        <v/>
      </c>
      <c r="O248" s="169" t="str">
        <f>IF(Main[[#This Row],[Tech Start Date]]&lt;1/1/1990,"",IF(Main[[#This Row],[Class]]="C",WORKDAY(Main[[#This Row],[Tech Start Date]],23),IF(Main[[#This Row],[Class]]="B", WORKDAY(Main[[#This Row],[Tech Start Date]],15),IF(Main[[#This Row],[Class]]="A",WORKDAY(Main[[#This Row],[Tech Start Date]],5),""))))</f>
        <v/>
      </c>
      <c r="P248" s="169" t="str">
        <f>IF(Main[[#This Row],[Tech Start Date]]&lt;1/1/1990,"",IF(Main[[#This Row],[Class]]="C",WORKDAY(Main[[#This Row],[Tech Start Date]],28),IF(Main[[#This Row],[Class]]="B", WORKDAY(Main[[#This Row],[Tech Start Date]],19),IF(Main[[#This Row],[Class]]="A",WORKDAY(Main[[#This Row],[Tech Start Date]],9),""))))</f>
        <v/>
      </c>
      <c r="Q248" s="162"/>
      <c r="R248" s="171"/>
      <c r="S248" s="159" t="s">
        <v>11</v>
      </c>
      <c r="T248" s="173" t="s">
        <v>4</v>
      </c>
      <c r="U248" s="159" t="s">
        <v>14</v>
      </c>
      <c r="V248" s="159" t="s">
        <v>1933</v>
      </c>
      <c r="W248" s="159" t="s">
        <v>1934</v>
      </c>
      <c r="X248" s="159" t="s">
        <v>2899</v>
      </c>
      <c r="Y248" s="159" t="s">
        <v>3080</v>
      </c>
      <c r="Z248" s="159" t="s">
        <v>4</v>
      </c>
      <c r="AA248" s="154" t="s">
        <v>3580</v>
      </c>
    </row>
    <row r="249" spans="1:27" ht="18.600000000000001" customHeight="1">
      <c r="A249" s="140" t="str">
        <f>IF(priority(Main[[#This Row],[Comments]])&lt;&gt;0, priority(Main[[#This Row],[Comments]]),"")</f>
        <v/>
      </c>
      <c r="B249" s="90" t="s">
        <v>1124</v>
      </c>
      <c r="C249" s="72" t="s">
        <v>160</v>
      </c>
      <c r="D249" s="73" t="s">
        <v>161</v>
      </c>
      <c r="E249" s="74"/>
      <c r="F249" s="74">
        <v>40513</v>
      </c>
      <c r="G249" s="75" t="str">
        <f>IF(stdProdLT(Main[[#This Row],[Comments]])=0.1,"N/A",IF(stdProdLT(Main[[#This Row],[Comments]])=0,"",stdProdLT(Main[[#This Row],[Comments]])))</f>
        <v/>
      </c>
      <c r="H249" s="76" t="str">
        <f>IF(AND(Main[[#This Row],[In Stock Date]]&lt;&gt;"",Main[[#This Row],[Revised Due Date]]&lt;&gt;""),Main[[#This Row],[In Stock Date]]-Main[[#This Row],[Revised Due Date]],"")</f>
        <v/>
      </c>
      <c r="I249" s="72" t="s">
        <v>4</v>
      </c>
      <c r="J249" s="72" t="s">
        <v>28</v>
      </c>
      <c r="K249" s="81" t="s">
        <v>4</v>
      </c>
      <c r="L249" s="74"/>
      <c r="M249" s="77" t="str">
        <f>IF(Main[[#This Row],[Tech Start Date]]&lt;1/1/1990,"",IF(Main[[#This Row],[Class]]="C",WORKDAY(Main[[#This Row],[Tech Start Date]],9),IF(Main[[#This Row],[Class]]="B", WORKDAY(Main[[#This Row],[Tech Start Date]],6),IF(Main[[#This Row],[Class]]="A",WORKDAY(Main[[#This Row],[Tech Start Date]],2),""))))</f>
        <v/>
      </c>
      <c r="N249" s="77" t="str">
        <f>IF(Main[[#This Row],[Tech Start Date]]&lt;1/1/1990,"",IF(Main[[#This Row],[Class]]="C",WORKDAY(Main[[#This Row],[Tech Start Date]],19),IF(Main[[#This Row],[Class]]="B", WORKDAY(Main[[#This Row],[Tech Start Date]],12),IF(Main[[#This Row],[Class]]="A",WORKDAY(Main[[#This Row],[Tech Start Date]],4),""))))</f>
        <v/>
      </c>
      <c r="O249" s="77" t="str">
        <f>IF(Main[[#This Row],[Tech Start Date]]&lt;1/1/1990,"",IF(Main[[#This Row],[Class]]="C",WORKDAY(Main[[#This Row],[Tech Start Date]],23),IF(Main[[#This Row],[Class]]="B", WORKDAY(Main[[#This Row],[Tech Start Date]],15),IF(Main[[#This Row],[Class]]="A",WORKDAY(Main[[#This Row],[Tech Start Date]],5),""))))</f>
        <v/>
      </c>
      <c r="P249" s="77" t="str">
        <f>IF(Main[[#This Row],[Tech Start Date]]&lt;1/1/1990,"",IF(Main[[#This Row],[Class]]="C",WORKDAY(Main[[#This Row],[Tech Start Date]],28),IF(Main[[#This Row],[Class]]="B", WORKDAY(Main[[#This Row],[Tech Start Date]],19),IF(Main[[#This Row],[Class]]="A",WORKDAY(Main[[#This Row],[Tech Start Date]],9),""))))</f>
        <v/>
      </c>
      <c r="Q249" s="74">
        <v>40382</v>
      </c>
      <c r="R249" s="74"/>
      <c r="S249" s="72" t="s">
        <v>11</v>
      </c>
      <c r="T249" s="80" t="s">
        <v>4</v>
      </c>
      <c r="U249" s="72" t="s">
        <v>14</v>
      </c>
      <c r="V249" s="72" t="s">
        <v>1932</v>
      </c>
      <c r="W249" s="72" t="s">
        <v>1940</v>
      </c>
      <c r="X249" s="72" t="s">
        <v>2939</v>
      </c>
      <c r="Y249" s="72" t="s">
        <v>3081</v>
      </c>
      <c r="Z249" s="72" t="s">
        <v>129</v>
      </c>
      <c r="AA249" s="147" t="s">
        <v>2939</v>
      </c>
    </row>
    <row r="250" spans="1:27" ht="18.600000000000001" customHeight="1">
      <c r="A250" s="157" t="str">
        <f>IF(priority(Main[[#This Row],[Comments]])&lt;&gt;0, priority(Main[[#This Row],[Comments]]),"")</f>
        <v/>
      </c>
      <c r="B250" s="158" t="s">
        <v>2195</v>
      </c>
      <c r="C250" s="159" t="s">
        <v>4</v>
      </c>
      <c r="D250" s="160" t="s">
        <v>2196</v>
      </c>
      <c r="E250" s="162">
        <v>40781.644953703704</v>
      </c>
      <c r="F250" s="162"/>
      <c r="G250" s="164" t="str">
        <f>IF(stdProdLT(Main[[#This Row],[Comments]])=0.1,"N/A",IF(stdProdLT(Main[[#This Row],[Comments]])=0,"",stdProdLT(Main[[#This Row],[Comments]])))</f>
        <v/>
      </c>
      <c r="H250" s="166" t="str">
        <f>IF(AND(Main[[#This Row],[In Stock Date]]&lt;&gt;"",Main[[#This Row],[Revised Due Date]]&lt;&gt;""),Main[[#This Row],[In Stock Date]]-Main[[#This Row],[Revised Due Date]],"")</f>
        <v/>
      </c>
      <c r="I250" s="159" t="s">
        <v>4</v>
      </c>
      <c r="J250" s="159" t="s">
        <v>4</v>
      </c>
      <c r="K250" s="159" t="s">
        <v>4</v>
      </c>
      <c r="L250" s="162"/>
      <c r="M250" s="169" t="str">
        <f>IF(Main[[#This Row],[Tech Start Date]]&lt;1/1/1990,"",IF(Main[[#This Row],[Class]]="C",WORKDAY(Main[[#This Row],[Tech Start Date]],9),IF(Main[[#This Row],[Class]]="B", WORKDAY(Main[[#This Row],[Tech Start Date]],6),IF(Main[[#This Row],[Class]]="A",WORKDAY(Main[[#This Row],[Tech Start Date]],2),""))))</f>
        <v/>
      </c>
      <c r="N250" s="169" t="str">
        <f>IF(Main[[#This Row],[Tech Start Date]]&lt;1/1/1990,"",IF(Main[[#This Row],[Class]]="C",WORKDAY(Main[[#This Row],[Tech Start Date]],19),IF(Main[[#This Row],[Class]]="B", WORKDAY(Main[[#This Row],[Tech Start Date]],12),IF(Main[[#This Row],[Class]]="A",WORKDAY(Main[[#This Row],[Tech Start Date]],4),""))))</f>
        <v/>
      </c>
      <c r="O250" s="169" t="str">
        <f>IF(Main[[#This Row],[Tech Start Date]]&lt;1/1/1990,"",IF(Main[[#This Row],[Class]]="C",WORKDAY(Main[[#This Row],[Tech Start Date]],23),IF(Main[[#This Row],[Class]]="B", WORKDAY(Main[[#This Row],[Tech Start Date]],15),IF(Main[[#This Row],[Class]]="A",WORKDAY(Main[[#This Row],[Tech Start Date]],5),""))))</f>
        <v/>
      </c>
      <c r="P250" s="169" t="str">
        <f>IF(Main[[#This Row],[Tech Start Date]]&lt;1/1/1990,"",IF(Main[[#This Row],[Class]]="C",WORKDAY(Main[[#This Row],[Tech Start Date]],28),IF(Main[[#This Row],[Class]]="B", WORKDAY(Main[[#This Row],[Tech Start Date]],19),IF(Main[[#This Row],[Class]]="A",WORKDAY(Main[[#This Row],[Tech Start Date]],9),""))))</f>
        <v/>
      </c>
      <c r="Q250" s="162">
        <v>40809</v>
      </c>
      <c r="R250" s="162"/>
      <c r="S250" s="159" t="s">
        <v>6</v>
      </c>
      <c r="T250" s="173" t="s">
        <v>4</v>
      </c>
      <c r="U250" s="159" t="s">
        <v>7</v>
      </c>
      <c r="V250" s="159" t="s">
        <v>1932</v>
      </c>
      <c r="W250" s="159" t="s">
        <v>4</v>
      </c>
      <c r="X250" s="159" t="s">
        <v>2903</v>
      </c>
      <c r="Y250" s="159" t="s">
        <v>3019</v>
      </c>
      <c r="Z250" s="159" t="s">
        <v>4</v>
      </c>
      <c r="AA250" s="154" t="s">
        <v>2903</v>
      </c>
    </row>
    <row r="251" spans="1:27" ht="18.600000000000001" customHeight="1">
      <c r="A251" s="140" t="str">
        <f>IF(priority(Main[[#This Row],[Comments]])&lt;&gt;0, priority(Main[[#This Row],[Comments]]),"")</f>
        <v/>
      </c>
      <c r="B251" s="90" t="s">
        <v>2754</v>
      </c>
      <c r="C251" s="72" t="s">
        <v>4</v>
      </c>
      <c r="D251" s="73" t="s">
        <v>2755</v>
      </c>
      <c r="E251" s="74">
        <v>40892.147916666669</v>
      </c>
      <c r="F251" s="74"/>
      <c r="G251" s="75" t="str">
        <f>IF(stdProdLT(Main[[#This Row],[Comments]])=0.1,"N/A",IF(stdProdLT(Main[[#This Row],[Comments]])=0,"",stdProdLT(Main[[#This Row],[Comments]])))</f>
        <v/>
      </c>
      <c r="H251" s="76" t="str">
        <f>IF(AND(Main[[#This Row],[In Stock Date]]&lt;&gt;"",Main[[#This Row],[Revised Due Date]]&lt;&gt;""),Main[[#This Row],[In Stock Date]]-Main[[#This Row],[Revised Due Date]],"")</f>
        <v/>
      </c>
      <c r="I251" s="72" t="s">
        <v>69</v>
      </c>
      <c r="J251" s="72" t="s">
        <v>70</v>
      </c>
      <c r="K251" s="72" t="s">
        <v>1941</v>
      </c>
      <c r="L251" s="74"/>
      <c r="M251" s="77" t="str">
        <f>IF(Main[[#This Row],[Tech Start Date]]&lt;1/1/1990,"",IF(Main[[#This Row],[Class]]="C",WORKDAY(Main[[#This Row],[Tech Start Date]],9),IF(Main[[#This Row],[Class]]="B", WORKDAY(Main[[#This Row],[Tech Start Date]],6),IF(Main[[#This Row],[Class]]="A",WORKDAY(Main[[#This Row],[Tech Start Date]],2),""))))</f>
        <v/>
      </c>
      <c r="N251" s="77" t="str">
        <f>IF(Main[[#This Row],[Tech Start Date]]&lt;1/1/1990,"",IF(Main[[#This Row],[Class]]="C",WORKDAY(Main[[#This Row],[Tech Start Date]],19),IF(Main[[#This Row],[Class]]="B", WORKDAY(Main[[#This Row],[Tech Start Date]],12),IF(Main[[#This Row],[Class]]="A",WORKDAY(Main[[#This Row],[Tech Start Date]],4),""))))</f>
        <v/>
      </c>
      <c r="O251" s="77" t="str">
        <f>IF(Main[[#This Row],[Tech Start Date]]&lt;1/1/1990,"",IF(Main[[#This Row],[Class]]="C",WORKDAY(Main[[#This Row],[Tech Start Date]],23),IF(Main[[#This Row],[Class]]="B", WORKDAY(Main[[#This Row],[Tech Start Date]],15),IF(Main[[#This Row],[Class]]="A",WORKDAY(Main[[#This Row],[Tech Start Date]],5),""))))</f>
        <v/>
      </c>
      <c r="P251" s="77" t="str">
        <f>IF(Main[[#This Row],[Tech Start Date]]&lt;1/1/1990,"",IF(Main[[#This Row],[Class]]="C",WORKDAY(Main[[#This Row],[Tech Start Date]],28),IF(Main[[#This Row],[Class]]="B", WORKDAY(Main[[#This Row],[Tech Start Date]],19),IF(Main[[#This Row],[Class]]="A",WORKDAY(Main[[#This Row],[Tech Start Date]],9),""))))</f>
        <v/>
      </c>
      <c r="Q251" s="74">
        <v>40914</v>
      </c>
      <c r="R251" s="74"/>
      <c r="S251" s="72" t="s">
        <v>6</v>
      </c>
      <c r="T251" s="80" t="s">
        <v>4</v>
      </c>
      <c r="U251" s="72" t="s">
        <v>29</v>
      </c>
      <c r="V251" s="72" t="s">
        <v>1935</v>
      </c>
      <c r="W251" s="72" t="s">
        <v>1936</v>
      </c>
      <c r="X251" s="72" t="s">
        <v>2935</v>
      </c>
      <c r="Y251" s="72" t="s">
        <v>3073</v>
      </c>
      <c r="Z251" s="72" t="s">
        <v>30</v>
      </c>
      <c r="AA251" s="147" t="s">
        <v>2935</v>
      </c>
    </row>
    <row r="252" spans="1:27" ht="18.600000000000001" customHeight="1">
      <c r="A252" s="157" t="str">
        <f>IF(priority(Main[[#This Row],[Comments]])&lt;&gt;0, priority(Main[[#This Row],[Comments]]),"")</f>
        <v/>
      </c>
      <c r="B252" s="158" t="s">
        <v>2374</v>
      </c>
      <c r="C252" s="159" t="s">
        <v>4</v>
      </c>
      <c r="D252" s="160" t="s">
        <v>2375</v>
      </c>
      <c r="E252" s="162">
        <v>40876.410104166665</v>
      </c>
      <c r="F252" s="162"/>
      <c r="G252" s="164" t="str">
        <f>IF(stdProdLT(Main[[#This Row],[Comments]])=0.1,"N/A",IF(stdProdLT(Main[[#This Row],[Comments]])=0,"",stdProdLT(Main[[#This Row],[Comments]])))</f>
        <v/>
      </c>
      <c r="H252" s="166" t="str">
        <f>IF(AND(Main[[#This Row],[In Stock Date]]&lt;&gt;"",Main[[#This Row],[Revised Due Date]]&lt;&gt;""),Main[[#This Row],[In Stock Date]]-Main[[#This Row],[Revised Due Date]],"")</f>
        <v/>
      </c>
      <c r="I252" s="159" t="s">
        <v>4</v>
      </c>
      <c r="J252" s="159" t="s">
        <v>4</v>
      </c>
      <c r="K252" s="159" t="s">
        <v>4</v>
      </c>
      <c r="L252" s="162"/>
      <c r="M252" s="169" t="str">
        <f>IF(Main[[#This Row],[Tech Start Date]]&lt;1/1/1990,"",IF(Main[[#This Row],[Class]]="C",WORKDAY(Main[[#This Row],[Tech Start Date]],9),IF(Main[[#This Row],[Class]]="B", WORKDAY(Main[[#This Row],[Tech Start Date]],6),IF(Main[[#This Row],[Class]]="A",WORKDAY(Main[[#This Row],[Tech Start Date]],2),""))))</f>
        <v/>
      </c>
      <c r="N252" s="169" t="str">
        <f>IF(Main[[#This Row],[Tech Start Date]]&lt;1/1/1990,"",IF(Main[[#This Row],[Class]]="C",WORKDAY(Main[[#This Row],[Tech Start Date]],19),IF(Main[[#This Row],[Class]]="B", WORKDAY(Main[[#This Row],[Tech Start Date]],12),IF(Main[[#This Row],[Class]]="A",WORKDAY(Main[[#This Row],[Tech Start Date]],4),""))))</f>
        <v/>
      </c>
      <c r="O252" s="169" t="str">
        <f>IF(Main[[#This Row],[Tech Start Date]]&lt;1/1/1990,"",IF(Main[[#This Row],[Class]]="C",WORKDAY(Main[[#This Row],[Tech Start Date]],23),IF(Main[[#This Row],[Class]]="B", WORKDAY(Main[[#This Row],[Tech Start Date]],15),IF(Main[[#This Row],[Class]]="A",WORKDAY(Main[[#This Row],[Tech Start Date]],5),""))))</f>
        <v/>
      </c>
      <c r="P252" s="169" t="str">
        <f>IF(Main[[#This Row],[Tech Start Date]]&lt;1/1/1990,"",IF(Main[[#This Row],[Class]]="C",WORKDAY(Main[[#This Row],[Tech Start Date]],28),IF(Main[[#This Row],[Class]]="B", WORKDAY(Main[[#This Row],[Tech Start Date]],19),IF(Main[[#This Row],[Class]]="A",WORKDAY(Main[[#This Row],[Tech Start Date]],9),""))))</f>
        <v/>
      </c>
      <c r="Q252" s="162">
        <v>40879</v>
      </c>
      <c r="R252" s="162"/>
      <c r="S252" s="159" t="s">
        <v>6</v>
      </c>
      <c r="T252" s="173" t="s">
        <v>4</v>
      </c>
      <c r="U252" s="159" t="s">
        <v>29</v>
      </c>
      <c r="V252" s="159" t="s">
        <v>1933</v>
      </c>
      <c r="W252" s="159" t="s">
        <v>1936</v>
      </c>
      <c r="X252" s="159" t="s">
        <v>953</v>
      </c>
      <c r="Y252" s="159" t="s">
        <v>3082</v>
      </c>
      <c r="Z252" s="159" t="s">
        <v>4</v>
      </c>
      <c r="AA252" s="154" t="s">
        <v>953</v>
      </c>
    </row>
    <row r="253" spans="1:27" ht="18.600000000000001" customHeight="1">
      <c r="A253" s="140" t="str">
        <f>IF(priority(Main[[#This Row],[Comments]])&lt;&gt;0, priority(Main[[#This Row],[Comments]]),"")</f>
        <v/>
      </c>
      <c r="B253" s="90" t="s">
        <v>2499</v>
      </c>
      <c r="C253" s="72" t="s">
        <v>4</v>
      </c>
      <c r="D253" s="73" t="s">
        <v>2500</v>
      </c>
      <c r="E253" s="74">
        <v>40876.411770833336</v>
      </c>
      <c r="F253" s="74"/>
      <c r="G253" s="75" t="str">
        <f>IF(stdProdLT(Main[[#This Row],[Comments]])=0.1,"N/A",IF(stdProdLT(Main[[#This Row],[Comments]])=0,"",stdProdLT(Main[[#This Row],[Comments]])))</f>
        <v/>
      </c>
      <c r="H253" s="76" t="str">
        <f>IF(AND(Main[[#This Row],[In Stock Date]]&lt;&gt;"",Main[[#This Row],[Revised Due Date]]&lt;&gt;""),Main[[#This Row],[In Stock Date]]-Main[[#This Row],[Revised Due Date]],"")</f>
        <v/>
      </c>
      <c r="I253" s="72" t="s">
        <v>4</v>
      </c>
      <c r="J253" s="72" t="s">
        <v>4</v>
      </c>
      <c r="K253" s="72" t="s">
        <v>4</v>
      </c>
      <c r="L253" s="74"/>
      <c r="M253" s="77" t="str">
        <f>IF(Main[[#This Row],[Tech Start Date]]&lt;1/1/1990,"",IF(Main[[#This Row],[Class]]="C",WORKDAY(Main[[#This Row],[Tech Start Date]],9),IF(Main[[#This Row],[Class]]="B", WORKDAY(Main[[#This Row],[Tech Start Date]],6),IF(Main[[#This Row],[Class]]="A",WORKDAY(Main[[#This Row],[Tech Start Date]],2),""))))</f>
        <v/>
      </c>
      <c r="N253" s="77" t="str">
        <f>IF(Main[[#This Row],[Tech Start Date]]&lt;1/1/1990,"",IF(Main[[#This Row],[Class]]="C",WORKDAY(Main[[#This Row],[Tech Start Date]],19),IF(Main[[#This Row],[Class]]="B", WORKDAY(Main[[#This Row],[Tech Start Date]],12),IF(Main[[#This Row],[Class]]="A",WORKDAY(Main[[#This Row],[Tech Start Date]],4),""))))</f>
        <v/>
      </c>
      <c r="O253" s="77" t="str">
        <f>IF(Main[[#This Row],[Tech Start Date]]&lt;1/1/1990,"",IF(Main[[#This Row],[Class]]="C",WORKDAY(Main[[#This Row],[Tech Start Date]],23),IF(Main[[#This Row],[Class]]="B", WORKDAY(Main[[#This Row],[Tech Start Date]],15),IF(Main[[#This Row],[Class]]="A",WORKDAY(Main[[#This Row],[Tech Start Date]],5),""))))</f>
        <v/>
      </c>
      <c r="P253" s="77" t="str">
        <f>IF(Main[[#This Row],[Tech Start Date]]&lt;1/1/1990,"",IF(Main[[#This Row],[Class]]="C",WORKDAY(Main[[#This Row],[Tech Start Date]],28),IF(Main[[#This Row],[Class]]="B", WORKDAY(Main[[#This Row],[Tech Start Date]],19),IF(Main[[#This Row],[Class]]="A",WORKDAY(Main[[#This Row],[Tech Start Date]],9),""))))</f>
        <v/>
      </c>
      <c r="Q253" s="74"/>
      <c r="R253" s="74"/>
      <c r="S253" s="72" t="s">
        <v>6</v>
      </c>
      <c r="T253" s="80" t="s">
        <v>4</v>
      </c>
      <c r="U253" s="72" t="s">
        <v>7</v>
      </c>
      <c r="V253" s="72" t="s">
        <v>1932</v>
      </c>
      <c r="W253" s="72" t="s">
        <v>1940</v>
      </c>
      <c r="X253" s="72" t="s">
        <v>310</v>
      </c>
      <c r="Y253" s="72" t="s">
        <v>4</v>
      </c>
      <c r="Z253" s="72" t="s">
        <v>4</v>
      </c>
      <c r="AA253" s="147" t="s">
        <v>3581</v>
      </c>
    </row>
    <row r="254" spans="1:27" ht="18.600000000000001" customHeight="1">
      <c r="A254" s="140" t="str">
        <f>IF(priority(Main[[#This Row],[Comments]])&lt;&gt;0, priority(Main[[#This Row],[Comments]]),"")</f>
        <v/>
      </c>
      <c r="B254" s="90" t="s">
        <v>2000</v>
      </c>
      <c r="C254" s="72" t="s">
        <v>1995</v>
      </c>
      <c r="D254" s="73" t="s">
        <v>2001</v>
      </c>
      <c r="E254" s="74"/>
      <c r="F254" s="74"/>
      <c r="G254" s="75" t="str">
        <f>IF(stdProdLT(Main[[#This Row],[Comments]])=0.1,"N/A",IF(stdProdLT(Main[[#This Row],[Comments]])=0,"",stdProdLT(Main[[#This Row],[Comments]])))</f>
        <v/>
      </c>
      <c r="H254" s="76" t="str">
        <f>IF(AND(Main[[#This Row],[In Stock Date]]&lt;&gt;"",Main[[#This Row],[Revised Due Date]]&lt;&gt;""),Main[[#This Row],[In Stock Date]]-Main[[#This Row],[Revised Due Date]],"")</f>
        <v/>
      </c>
      <c r="I254" s="72" t="s">
        <v>4</v>
      </c>
      <c r="J254" s="72" t="s">
        <v>4</v>
      </c>
      <c r="K254" s="72" t="s">
        <v>4</v>
      </c>
      <c r="L254" s="74"/>
      <c r="M254" s="77" t="str">
        <f>IF(Main[[#This Row],[Tech Start Date]]&lt;1/1/1990,"",IF(Main[[#This Row],[Class]]="C",WORKDAY(Main[[#This Row],[Tech Start Date]],9),IF(Main[[#This Row],[Class]]="B", WORKDAY(Main[[#This Row],[Tech Start Date]],6),IF(Main[[#This Row],[Class]]="A",WORKDAY(Main[[#This Row],[Tech Start Date]],2),""))))</f>
        <v/>
      </c>
      <c r="N254" s="77" t="str">
        <f>IF(Main[[#This Row],[Tech Start Date]]&lt;1/1/1990,"",IF(Main[[#This Row],[Class]]="C",WORKDAY(Main[[#This Row],[Tech Start Date]],19),IF(Main[[#This Row],[Class]]="B", WORKDAY(Main[[#This Row],[Tech Start Date]],12),IF(Main[[#This Row],[Class]]="A",WORKDAY(Main[[#This Row],[Tech Start Date]],4),""))))</f>
        <v/>
      </c>
      <c r="O254" s="77" t="str">
        <f>IF(Main[[#This Row],[Tech Start Date]]&lt;1/1/1990,"",IF(Main[[#This Row],[Class]]="C",WORKDAY(Main[[#This Row],[Tech Start Date]],23),IF(Main[[#This Row],[Class]]="B", WORKDAY(Main[[#This Row],[Tech Start Date]],15),IF(Main[[#This Row],[Class]]="A",WORKDAY(Main[[#This Row],[Tech Start Date]],5),""))))</f>
        <v/>
      </c>
      <c r="P254" s="77" t="str">
        <f>IF(Main[[#This Row],[Tech Start Date]]&lt;1/1/1990,"",IF(Main[[#This Row],[Class]]="C",WORKDAY(Main[[#This Row],[Tech Start Date]],28),IF(Main[[#This Row],[Class]]="B", WORKDAY(Main[[#This Row],[Tech Start Date]],19),IF(Main[[#This Row],[Class]]="A",WORKDAY(Main[[#This Row],[Tech Start Date]],9),""))))</f>
        <v/>
      </c>
      <c r="Q254" s="74">
        <v>40745</v>
      </c>
      <c r="R254" s="74"/>
      <c r="S254" s="72" t="s">
        <v>11</v>
      </c>
      <c r="T254" s="80" t="s">
        <v>4</v>
      </c>
      <c r="U254" s="72" t="s">
        <v>14</v>
      </c>
      <c r="V254" s="72" t="s">
        <v>1933</v>
      </c>
      <c r="W254" s="72" t="s">
        <v>1934</v>
      </c>
      <c r="X254" s="72" t="s">
        <v>2899</v>
      </c>
      <c r="Y254" s="72" t="s">
        <v>4</v>
      </c>
      <c r="Z254" s="72" t="s">
        <v>4</v>
      </c>
      <c r="AA254" s="147" t="s">
        <v>2899</v>
      </c>
    </row>
    <row r="255" spans="1:27" ht="18.600000000000001" customHeight="1">
      <c r="A255" s="157" t="str">
        <f>IF(priority(Main[[#This Row],[Comments]])&lt;&gt;0, priority(Main[[#This Row],[Comments]]),"")</f>
        <v/>
      </c>
      <c r="B255" s="158" t="s">
        <v>3490</v>
      </c>
      <c r="C255" s="159" t="s">
        <v>4</v>
      </c>
      <c r="D255" s="160" t="s">
        <v>3491</v>
      </c>
      <c r="E255" s="162">
        <v>40939.457824074074</v>
      </c>
      <c r="F255" s="162"/>
      <c r="G255" s="164" t="str">
        <f>IF(stdProdLT(Main[[#This Row],[Comments]])=0.1,"N/A",IF(stdProdLT(Main[[#This Row],[Comments]])=0,"",stdProdLT(Main[[#This Row],[Comments]])))</f>
        <v/>
      </c>
      <c r="H255" s="166" t="str">
        <f>IF(AND(Main[[#This Row],[In Stock Date]]&lt;&gt;"",Main[[#This Row],[Revised Due Date]]&lt;&gt;""),Main[[#This Row],[In Stock Date]]-Main[[#This Row],[Revised Due Date]],"")</f>
        <v/>
      </c>
      <c r="I255" s="159" t="s">
        <v>4</v>
      </c>
      <c r="J255" s="159" t="s">
        <v>4</v>
      </c>
      <c r="K255" s="159" t="s">
        <v>4</v>
      </c>
      <c r="L255" s="162"/>
      <c r="M255" s="169" t="str">
        <f>IF(Main[[#This Row],[Tech Start Date]]&lt;1/1/1990,"",IF(Main[[#This Row],[Class]]="C",WORKDAY(Main[[#This Row],[Tech Start Date]],9),IF(Main[[#This Row],[Class]]="B", WORKDAY(Main[[#This Row],[Tech Start Date]],6),IF(Main[[#This Row],[Class]]="A",WORKDAY(Main[[#This Row],[Tech Start Date]],2),""))))</f>
        <v/>
      </c>
      <c r="N255" s="169" t="str">
        <f>IF(Main[[#This Row],[Tech Start Date]]&lt;1/1/1990,"",IF(Main[[#This Row],[Class]]="C",WORKDAY(Main[[#This Row],[Tech Start Date]],19),IF(Main[[#This Row],[Class]]="B", WORKDAY(Main[[#This Row],[Tech Start Date]],12),IF(Main[[#This Row],[Class]]="A",WORKDAY(Main[[#This Row],[Tech Start Date]],4),""))))</f>
        <v/>
      </c>
      <c r="O255" s="169" t="str">
        <f>IF(Main[[#This Row],[Tech Start Date]]&lt;1/1/1990,"",IF(Main[[#This Row],[Class]]="C",WORKDAY(Main[[#This Row],[Tech Start Date]],23),IF(Main[[#This Row],[Class]]="B", WORKDAY(Main[[#This Row],[Tech Start Date]],15),IF(Main[[#This Row],[Class]]="A",WORKDAY(Main[[#This Row],[Tech Start Date]],5),""))))</f>
        <v/>
      </c>
      <c r="P255" s="169" t="str">
        <f>IF(Main[[#This Row],[Tech Start Date]]&lt;1/1/1990,"",IF(Main[[#This Row],[Class]]="C",WORKDAY(Main[[#This Row],[Tech Start Date]],28),IF(Main[[#This Row],[Class]]="B", WORKDAY(Main[[#This Row],[Tech Start Date]],19),IF(Main[[#This Row],[Class]]="A",WORKDAY(Main[[#This Row],[Tech Start Date]],9),""))))</f>
        <v/>
      </c>
      <c r="Q255" s="162">
        <v>40968</v>
      </c>
      <c r="R255" s="162"/>
      <c r="S255" s="159" t="s">
        <v>6</v>
      </c>
      <c r="T255" s="173" t="s">
        <v>4</v>
      </c>
      <c r="U255" s="159" t="s">
        <v>7</v>
      </c>
      <c r="V255" s="159" t="s">
        <v>1932</v>
      </c>
      <c r="W255" s="159" t="s">
        <v>4</v>
      </c>
      <c r="X255" s="159" t="s">
        <v>2906</v>
      </c>
      <c r="Y255" s="159" t="s">
        <v>3025</v>
      </c>
      <c r="Z255" s="159" t="s">
        <v>4</v>
      </c>
      <c r="AA255" s="154" t="s">
        <v>2906</v>
      </c>
    </row>
    <row r="256" spans="1:27" ht="18.600000000000001" customHeight="1">
      <c r="A256" s="157" t="str">
        <f>IF(priority(Main[[#This Row],[Comments]])&lt;&gt;0, priority(Main[[#This Row],[Comments]]),"")</f>
        <v/>
      </c>
      <c r="B256" s="158" t="s">
        <v>1170</v>
      </c>
      <c r="C256" s="159" t="s">
        <v>4</v>
      </c>
      <c r="D256" s="160" t="s">
        <v>2369</v>
      </c>
      <c r="E256" s="162">
        <v>40274.393113425926</v>
      </c>
      <c r="F256" s="162"/>
      <c r="G256" s="164" t="str">
        <f>IF(stdProdLT(Main[[#This Row],[Comments]])=0.1,"N/A",IF(stdProdLT(Main[[#This Row],[Comments]])=0,"",stdProdLT(Main[[#This Row],[Comments]])))</f>
        <v/>
      </c>
      <c r="H256" s="166" t="str">
        <f>IF(AND(Main[[#This Row],[In Stock Date]]&lt;&gt;"",Main[[#This Row],[Revised Due Date]]&lt;&gt;""),Main[[#This Row],[In Stock Date]]-Main[[#This Row],[Revised Due Date]],"")</f>
        <v/>
      </c>
      <c r="I256" s="159" t="s">
        <v>4</v>
      </c>
      <c r="J256" s="159" t="s">
        <v>4</v>
      </c>
      <c r="K256" s="159" t="s">
        <v>4</v>
      </c>
      <c r="L256" s="162"/>
      <c r="M256" s="169" t="str">
        <f>IF(Main[[#This Row],[Tech Start Date]]&lt;1/1/1990,"",IF(Main[[#This Row],[Class]]="C",WORKDAY(Main[[#This Row],[Tech Start Date]],9),IF(Main[[#This Row],[Class]]="B", WORKDAY(Main[[#This Row],[Tech Start Date]],6),IF(Main[[#This Row],[Class]]="A",WORKDAY(Main[[#This Row],[Tech Start Date]],2),""))))</f>
        <v/>
      </c>
      <c r="N256" s="169" t="str">
        <f>IF(Main[[#This Row],[Tech Start Date]]&lt;1/1/1990,"",IF(Main[[#This Row],[Class]]="C",WORKDAY(Main[[#This Row],[Tech Start Date]],19),IF(Main[[#This Row],[Class]]="B", WORKDAY(Main[[#This Row],[Tech Start Date]],12),IF(Main[[#This Row],[Class]]="A",WORKDAY(Main[[#This Row],[Tech Start Date]],4),""))))</f>
        <v/>
      </c>
      <c r="O256" s="169" t="str">
        <f>IF(Main[[#This Row],[Tech Start Date]]&lt;1/1/1990,"",IF(Main[[#This Row],[Class]]="C",WORKDAY(Main[[#This Row],[Tech Start Date]],23),IF(Main[[#This Row],[Class]]="B", WORKDAY(Main[[#This Row],[Tech Start Date]],15),IF(Main[[#This Row],[Class]]="A",WORKDAY(Main[[#This Row],[Tech Start Date]],5),""))))</f>
        <v/>
      </c>
      <c r="P256" s="169" t="str">
        <f>IF(Main[[#This Row],[Tech Start Date]]&lt;1/1/1990,"",IF(Main[[#This Row],[Class]]="C",WORKDAY(Main[[#This Row],[Tech Start Date]],28),IF(Main[[#This Row],[Class]]="B", WORKDAY(Main[[#This Row],[Tech Start Date]],19),IF(Main[[#This Row],[Class]]="A",WORKDAY(Main[[#This Row],[Tech Start Date]],9),""))))</f>
        <v/>
      </c>
      <c r="Q256" s="162">
        <v>40302</v>
      </c>
      <c r="R256" s="162"/>
      <c r="S256" s="159" t="s">
        <v>6</v>
      </c>
      <c r="T256" s="173" t="s">
        <v>4</v>
      </c>
      <c r="U256" s="159" t="s">
        <v>7</v>
      </c>
      <c r="V256" s="159" t="s">
        <v>1932</v>
      </c>
      <c r="W256" s="159" t="s">
        <v>1934</v>
      </c>
      <c r="X256" s="159" t="s">
        <v>2905</v>
      </c>
      <c r="Y256" s="159" t="s">
        <v>3023</v>
      </c>
      <c r="Z256" s="159" t="s">
        <v>4</v>
      </c>
      <c r="AA256" s="154" t="s">
        <v>2905</v>
      </c>
    </row>
    <row r="257" spans="1:27" ht="18.600000000000001" customHeight="1">
      <c r="A257" s="140" t="str">
        <f>IF(priority(Main[[#This Row],[Comments]])&lt;&gt;0, priority(Main[[#This Row],[Comments]]),"")</f>
        <v/>
      </c>
      <c r="B257" s="90" t="s">
        <v>1403</v>
      </c>
      <c r="C257" s="72" t="s">
        <v>4</v>
      </c>
      <c r="D257" s="73" t="s">
        <v>2370</v>
      </c>
      <c r="E257" s="74">
        <v>40644.246631944443</v>
      </c>
      <c r="F257" s="74"/>
      <c r="G257" s="75" t="str">
        <f>IF(stdProdLT(Main[[#This Row],[Comments]])=0.1,"N/A",IF(stdProdLT(Main[[#This Row],[Comments]])=0,"",stdProdLT(Main[[#This Row],[Comments]])))</f>
        <v/>
      </c>
      <c r="H257" s="76" t="str">
        <f>IF(AND(Main[[#This Row],[In Stock Date]]&lt;&gt;"",Main[[#This Row],[Revised Due Date]]&lt;&gt;""),Main[[#This Row],[In Stock Date]]-Main[[#This Row],[Revised Due Date]],"")</f>
        <v/>
      </c>
      <c r="I257" s="72" t="s">
        <v>923</v>
      </c>
      <c r="J257" s="72" t="s">
        <v>52</v>
      </c>
      <c r="K257" s="72" t="s">
        <v>4</v>
      </c>
      <c r="L257" s="74"/>
      <c r="M257" s="77" t="str">
        <f>IF(Main[[#This Row],[Tech Start Date]]&lt;1/1/1990,"",IF(Main[[#This Row],[Class]]="C",WORKDAY(Main[[#This Row],[Tech Start Date]],9),IF(Main[[#This Row],[Class]]="B", WORKDAY(Main[[#This Row],[Tech Start Date]],6),IF(Main[[#This Row],[Class]]="A",WORKDAY(Main[[#This Row],[Tech Start Date]],2),""))))</f>
        <v/>
      </c>
      <c r="N257" s="77" t="str">
        <f>IF(Main[[#This Row],[Tech Start Date]]&lt;1/1/1990,"",IF(Main[[#This Row],[Class]]="C",WORKDAY(Main[[#This Row],[Tech Start Date]],19),IF(Main[[#This Row],[Class]]="B", WORKDAY(Main[[#This Row],[Tech Start Date]],12),IF(Main[[#This Row],[Class]]="A",WORKDAY(Main[[#This Row],[Tech Start Date]],4),""))))</f>
        <v/>
      </c>
      <c r="O257" s="77" t="str">
        <f>IF(Main[[#This Row],[Tech Start Date]]&lt;1/1/1990,"",IF(Main[[#This Row],[Class]]="C",WORKDAY(Main[[#This Row],[Tech Start Date]],23),IF(Main[[#This Row],[Class]]="B", WORKDAY(Main[[#This Row],[Tech Start Date]],15),IF(Main[[#This Row],[Class]]="A",WORKDAY(Main[[#This Row],[Tech Start Date]],5),""))))</f>
        <v/>
      </c>
      <c r="P257" s="77" t="str">
        <f>IF(Main[[#This Row],[Tech Start Date]]&lt;1/1/1990,"",IF(Main[[#This Row],[Class]]="C",WORKDAY(Main[[#This Row],[Tech Start Date]],28),IF(Main[[#This Row],[Class]]="B", WORKDAY(Main[[#This Row],[Tech Start Date]],19),IF(Main[[#This Row],[Class]]="A",WORKDAY(Main[[#This Row],[Tech Start Date]],9),""))))</f>
        <v/>
      </c>
      <c r="Q257" s="74">
        <v>40659</v>
      </c>
      <c r="R257" s="74"/>
      <c r="S257" s="72" t="s">
        <v>6</v>
      </c>
      <c r="T257" s="80" t="s">
        <v>4</v>
      </c>
      <c r="U257" s="72" t="s">
        <v>29</v>
      </c>
      <c r="V257" s="72" t="s">
        <v>1932</v>
      </c>
      <c r="W257" s="72" t="s">
        <v>1940</v>
      </c>
      <c r="X257" s="72" t="s">
        <v>2905</v>
      </c>
      <c r="Y257" s="72" t="s">
        <v>3023</v>
      </c>
      <c r="Z257" s="72" t="s">
        <v>4</v>
      </c>
      <c r="AA257" s="147" t="s">
        <v>2905</v>
      </c>
    </row>
    <row r="258" spans="1:27" ht="18.600000000000001" customHeight="1">
      <c r="A258" s="157" t="str">
        <f>IF(priority(Main[[#This Row],[Comments]])&lt;&gt;0, priority(Main[[#This Row],[Comments]]),"")</f>
        <v/>
      </c>
      <c r="B258" s="158" t="s">
        <v>1127</v>
      </c>
      <c r="C258" s="159" t="s">
        <v>4</v>
      </c>
      <c r="D258" s="160" t="s">
        <v>164</v>
      </c>
      <c r="E258" s="162">
        <v>40585.667395833334</v>
      </c>
      <c r="F258" s="162">
        <v>40602</v>
      </c>
      <c r="G258" s="164" t="str">
        <f>IF(stdProdLT(Main[[#This Row],[Comments]])=0.1,"N/A",IF(stdProdLT(Main[[#This Row],[Comments]])=0,"",stdProdLT(Main[[#This Row],[Comments]])))</f>
        <v/>
      </c>
      <c r="H258" s="166" t="str">
        <f>IF(AND(Main[[#This Row],[In Stock Date]]&lt;&gt;"",Main[[#This Row],[Revised Due Date]]&lt;&gt;""),Main[[#This Row],[In Stock Date]]-Main[[#This Row],[Revised Due Date]],"")</f>
        <v/>
      </c>
      <c r="I258" s="159" t="s">
        <v>165</v>
      </c>
      <c r="J258" s="159" t="s">
        <v>52</v>
      </c>
      <c r="K258" s="159" t="s">
        <v>1941</v>
      </c>
      <c r="L258" s="162"/>
      <c r="M258" s="169" t="str">
        <f>IF(Main[[#This Row],[Tech Start Date]]&lt;1/1/1990,"",IF(Main[[#This Row],[Class]]="C",WORKDAY(Main[[#This Row],[Tech Start Date]],9),IF(Main[[#This Row],[Class]]="B", WORKDAY(Main[[#This Row],[Tech Start Date]],6),IF(Main[[#This Row],[Class]]="A",WORKDAY(Main[[#This Row],[Tech Start Date]],2),""))))</f>
        <v/>
      </c>
      <c r="N258" s="169" t="str">
        <f>IF(Main[[#This Row],[Tech Start Date]]&lt;1/1/1990,"",IF(Main[[#This Row],[Class]]="C",WORKDAY(Main[[#This Row],[Tech Start Date]],19),IF(Main[[#This Row],[Class]]="B", WORKDAY(Main[[#This Row],[Tech Start Date]],12),IF(Main[[#This Row],[Class]]="A",WORKDAY(Main[[#This Row],[Tech Start Date]],4),""))))</f>
        <v/>
      </c>
      <c r="O258" s="169" t="str">
        <f>IF(Main[[#This Row],[Tech Start Date]]&lt;1/1/1990,"",IF(Main[[#This Row],[Class]]="C",WORKDAY(Main[[#This Row],[Tech Start Date]],23),IF(Main[[#This Row],[Class]]="B", WORKDAY(Main[[#This Row],[Tech Start Date]],15),IF(Main[[#This Row],[Class]]="A",WORKDAY(Main[[#This Row],[Tech Start Date]],5),""))))</f>
        <v/>
      </c>
      <c r="P258" s="169" t="str">
        <f>IF(Main[[#This Row],[Tech Start Date]]&lt;1/1/1990,"",IF(Main[[#This Row],[Class]]="C",WORKDAY(Main[[#This Row],[Tech Start Date]],28),IF(Main[[#This Row],[Class]]="B", WORKDAY(Main[[#This Row],[Tech Start Date]],19),IF(Main[[#This Row],[Class]]="A",WORKDAY(Main[[#This Row],[Tech Start Date]],9),""))))</f>
        <v/>
      </c>
      <c r="Q258" s="162">
        <v>40602</v>
      </c>
      <c r="R258" s="162"/>
      <c r="S258" s="159" t="s">
        <v>6</v>
      </c>
      <c r="T258" s="173" t="s">
        <v>4</v>
      </c>
      <c r="U258" s="159" t="s">
        <v>29</v>
      </c>
      <c r="V258" s="159" t="s">
        <v>1935</v>
      </c>
      <c r="W258" s="159" t="s">
        <v>1934</v>
      </c>
      <c r="X258" s="159" t="s">
        <v>30</v>
      </c>
      <c r="Y258" s="159" t="s">
        <v>3044</v>
      </c>
      <c r="Z258" s="159" t="s">
        <v>420</v>
      </c>
      <c r="AA258" s="154" t="s">
        <v>30</v>
      </c>
    </row>
    <row r="259" spans="1:27" ht="18.600000000000001" customHeight="1">
      <c r="A259" s="140" t="str">
        <f>IF(priority(Main[[#This Row],[Comments]])&lt;&gt;0, priority(Main[[#This Row],[Comments]]),"")</f>
        <v/>
      </c>
      <c r="B259" s="90" t="s">
        <v>1128</v>
      </c>
      <c r="C259" s="72" t="s">
        <v>4</v>
      </c>
      <c r="D259" s="73" t="s">
        <v>166</v>
      </c>
      <c r="E259" s="74">
        <v>40315.288738425923</v>
      </c>
      <c r="F259" s="74"/>
      <c r="G259" s="75" t="str">
        <f>IF(stdProdLT(Main[[#This Row],[Comments]])=0.1,"N/A",IF(stdProdLT(Main[[#This Row],[Comments]])=0,"",stdProdLT(Main[[#This Row],[Comments]])))</f>
        <v/>
      </c>
      <c r="H259" s="76" t="str">
        <f>IF(AND(Main[[#This Row],[In Stock Date]]&lt;&gt;"",Main[[#This Row],[Revised Due Date]]&lt;&gt;""),Main[[#This Row],[In Stock Date]]-Main[[#This Row],[Revised Due Date]],"")</f>
        <v/>
      </c>
      <c r="I259" s="72" t="s">
        <v>129</v>
      </c>
      <c r="J259" s="72" t="s">
        <v>4</v>
      </c>
      <c r="K259" s="72" t="s">
        <v>4</v>
      </c>
      <c r="L259" s="74"/>
      <c r="M259" s="77" t="str">
        <f>IF(Main[[#This Row],[Tech Start Date]]&lt;1/1/1990,"",IF(Main[[#This Row],[Class]]="C",WORKDAY(Main[[#This Row],[Tech Start Date]],9),IF(Main[[#This Row],[Class]]="B", WORKDAY(Main[[#This Row],[Tech Start Date]],6),IF(Main[[#This Row],[Class]]="A",WORKDAY(Main[[#This Row],[Tech Start Date]],2),""))))</f>
        <v/>
      </c>
      <c r="N259" s="77" t="str">
        <f>IF(Main[[#This Row],[Tech Start Date]]&lt;1/1/1990,"",IF(Main[[#This Row],[Class]]="C",WORKDAY(Main[[#This Row],[Tech Start Date]],19),IF(Main[[#This Row],[Class]]="B", WORKDAY(Main[[#This Row],[Tech Start Date]],12),IF(Main[[#This Row],[Class]]="A",WORKDAY(Main[[#This Row],[Tech Start Date]],4),""))))</f>
        <v/>
      </c>
      <c r="O259" s="77" t="str">
        <f>IF(Main[[#This Row],[Tech Start Date]]&lt;1/1/1990,"",IF(Main[[#This Row],[Class]]="C",WORKDAY(Main[[#This Row],[Tech Start Date]],23),IF(Main[[#This Row],[Class]]="B", WORKDAY(Main[[#This Row],[Tech Start Date]],15),IF(Main[[#This Row],[Class]]="A",WORKDAY(Main[[#This Row],[Tech Start Date]],5),""))))</f>
        <v/>
      </c>
      <c r="P259" s="77" t="str">
        <f>IF(Main[[#This Row],[Tech Start Date]]&lt;1/1/1990,"",IF(Main[[#This Row],[Class]]="C",WORKDAY(Main[[#This Row],[Tech Start Date]],28),IF(Main[[#This Row],[Class]]="B", WORKDAY(Main[[#This Row],[Tech Start Date]],19),IF(Main[[#This Row],[Class]]="A",WORKDAY(Main[[#This Row],[Tech Start Date]],9),""))))</f>
        <v/>
      </c>
      <c r="Q259" s="74">
        <v>40359</v>
      </c>
      <c r="R259" s="74"/>
      <c r="S259" s="72" t="s">
        <v>6</v>
      </c>
      <c r="T259" s="80" t="s">
        <v>4</v>
      </c>
      <c r="U259" s="72" t="s">
        <v>7</v>
      </c>
      <c r="V259" s="72" t="s">
        <v>1932</v>
      </c>
      <c r="W259" s="72" t="s">
        <v>4</v>
      </c>
      <c r="X259" s="72" t="s">
        <v>2906</v>
      </c>
      <c r="Y259" s="72" t="s">
        <v>3025</v>
      </c>
      <c r="Z259" s="72" t="s">
        <v>4</v>
      </c>
      <c r="AA259" s="147" t="s">
        <v>2906</v>
      </c>
    </row>
    <row r="260" spans="1:27" ht="18.600000000000001" customHeight="1">
      <c r="A260" s="140" t="str">
        <f>IF(priority(Main[[#This Row],[Comments]])&lt;&gt;0, priority(Main[[#This Row],[Comments]]),"")</f>
        <v/>
      </c>
      <c r="B260" s="90" t="s">
        <v>1129</v>
      </c>
      <c r="C260" s="72" t="s">
        <v>31</v>
      </c>
      <c r="D260" s="73" t="s">
        <v>167</v>
      </c>
      <c r="E260" s="74">
        <v>40490.313692129632</v>
      </c>
      <c r="F260" s="74">
        <v>40546</v>
      </c>
      <c r="G260" s="75" t="str">
        <f>IF(stdProdLT(Main[[#This Row],[Comments]])=0.1,"N/A",IF(stdProdLT(Main[[#This Row],[Comments]])=0,"",stdProdLT(Main[[#This Row],[Comments]])))</f>
        <v/>
      </c>
      <c r="H260" s="76" t="str">
        <f>IF(AND(Main[[#This Row],[In Stock Date]]&lt;&gt;"",Main[[#This Row],[Revised Due Date]]&lt;&gt;""),Main[[#This Row],[In Stock Date]]-Main[[#This Row],[Revised Due Date]],"")</f>
        <v/>
      </c>
      <c r="I260" s="72" t="s">
        <v>4</v>
      </c>
      <c r="J260" s="72" t="s">
        <v>4</v>
      </c>
      <c r="K260" s="72" t="s">
        <v>4</v>
      </c>
      <c r="L260" s="74"/>
      <c r="M260" s="77" t="str">
        <f>IF(Main[[#This Row],[Tech Start Date]]&lt;1/1/1990,"",IF(Main[[#This Row],[Class]]="C",WORKDAY(Main[[#This Row],[Tech Start Date]],9),IF(Main[[#This Row],[Class]]="B", WORKDAY(Main[[#This Row],[Tech Start Date]],6),IF(Main[[#This Row],[Class]]="A",WORKDAY(Main[[#This Row],[Tech Start Date]],2),""))))</f>
        <v/>
      </c>
      <c r="N260" s="77" t="str">
        <f>IF(Main[[#This Row],[Tech Start Date]]&lt;1/1/1990,"",IF(Main[[#This Row],[Class]]="C",WORKDAY(Main[[#This Row],[Tech Start Date]],19),IF(Main[[#This Row],[Class]]="B", WORKDAY(Main[[#This Row],[Tech Start Date]],12),IF(Main[[#This Row],[Class]]="A",WORKDAY(Main[[#This Row],[Tech Start Date]],4),""))))</f>
        <v/>
      </c>
      <c r="O260" s="77" t="str">
        <f>IF(Main[[#This Row],[Tech Start Date]]&lt;1/1/1990,"",IF(Main[[#This Row],[Class]]="C",WORKDAY(Main[[#This Row],[Tech Start Date]],23),IF(Main[[#This Row],[Class]]="B", WORKDAY(Main[[#This Row],[Tech Start Date]],15),IF(Main[[#This Row],[Class]]="A",WORKDAY(Main[[#This Row],[Tech Start Date]],5),""))))</f>
        <v/>
      </c>
      <c r="P260" s="77" t="str">
        <f>IF(Main[[#This Row],[Tech Start Date]]&lt;1/1/1990,"",IF(Main[[#This Row],[Class]]="C",WORKDAY(Main[[#This Row],[Tech Start Date]],28),IF(Main[[#This Row],[Class]]="B", WORKDAY(Main[[#This Row],[Tech Start Date]],19),IF(Main[[#This Row],[Class]]="A",WORKDAY(Main[[#This Row],[Tech Start Date]],9),""))))</f>
        <v/>
      </c>
      <c r="Q260" s="74">
        <v>40543</v>
      </c>
      <c r="R260" s="74"/>
      <c r="S260" s="72" t="s">
        <v>17</v>
      </c>
      <c r="T260" s="80" t="s">
        <v>4</v>
      </c>
      <c r="U260" s="72" t="s">
        <v>7</v>
      </c>
      <c r="V260" s="72" t="s">
        <v>1935</v>
      </c>
      <c r="W260" s="72" t="s">
        <v>4</v>
      </c>
      <c r="X260" s="72" t="s">
        <v>2940</v>
      </c>
      <c r="Y260" s="72" t="s">
        <v>3084</v>
      </c>
      <c r="Z260" s="72" t="s">
        <v>4</v>
      </c>
      <c r="AA260" s="147" t="s">
        <v>2940</v>
      </c>
    </row>
    <row r="261" spans="1:27" ht="18.600000000000001" customHeight="1">
      <c r="A261" s="157" t="str">
        <f>IF(priority(Main[[#This Row],[Comments]])&lt;&gt;0, priority(Main[[#This Row],[Comments]]),"")</f>
        <v/>
      </c>
      <c r="B261" s="158" t="s">
        <v>1130</v>
      </c>
      <c r="C261" s="159" t="s">
        <v>4</v>
      </c>
      <c r="D261" s="160" t="s">
        <v>168</v>
      </c>
      <c r="E261" s="162">
        <v>40455.90861111111</v>
      </c>
      <c r="F261" s="162"/>
      <c r="G261" s="164" t="str">
        <f>IF(stdProdLT(Main[[#This Row],[Comments]])=0.1,"N/A",IF(stdProdLT(Main[[#This Row],[Comments]])=0,"",stdProdLT(Main[[#This Row],[Comments]])))</f>
        <v/>
      </c>
      <c r="H261" s="166" t="str">
        <f>IF(AND(Main[[#This Row],[In Stock Date]]&lt;&gt;"",Main[[#This Row],[Revised Due Date]]&lt;&gt;""),Main[[#This Row],[In Stock Date]]-Main[[#This Row],[Revised Due Date]],"")</f>
        <v/>
      </c>
      <c r="I261" s="159" t="s">
        <v>4</v>
      </c>
      <c r="J261" s="159" t="s">
        <v>28</v>
      </c>
      <c r="K261" s="159" t="s">
        <v>1944</v>
      </c>
      <c r="L261" s="162"/>
      <c r="M261" s="169" t="str">
        <f>IF(Main[[#This Row],[Tech Start Date]]&lt;1/1/1990,"",IF(Main[[#This Row],[Class]]="C",WORKDAY(Main[[#This Row],[Tech Start Date]],9),IF(Main[[#This Row],[Class]]="B", WORKDAY(Main[[#This Row],[Tech Start Date]],6),IF(Main[[#This Row],[Class]]="A",WORKDAY(Main[[#This Row],[Tech Start Date]],2),""))))</f>
        <v/>
      </c>
      <c r="N261" s="169" t="str">
        <f>IF(Main[[#This Row],[Tech Start Date]]&lt;1/1/1990,"",IF(Main[[#This Row],[Class]]="C",WORKDAY(Main[[#This Row],[Tech Start Date]],19),IF(Main[[#This Row],[Class]]="B", WORKDAY(Main[[#This Row],[Tech Start Date]],12),IF(Main[[#This Row],[Class]]="A",WORKDAY(Main[[#This Row],[Tech Start Date]],4),""))))</f>
        <v/>
      </c>
      <c r="O261" s="169" t="str">
        <f>IF(Main[[#This Row],[Tech Start Date]]&lt;1/1/1990,"",IF(Main[[#This Row],[Class]]="C",WORKDAY(Main[[#This Row],[Tech Start Date]],23),IF(Main[[#This Row],[Class]]="B", WORKDAY(Main[[#This Row],[Tech Start Date]],15),IF(Main[[#This Row],[Class]]="A",WORKDAY(Main[[#This Row],[Tech Start Date]],5),""))))</f>
        <v/>
      </c>
      <c r="P261" s="169" t="str">
        <f>IF(Main[[#This Row],[Tech Start Date]]&lt;1/1/1990,"",IF(Main[[#This Row],[Class]]="C",WORKDAY(Main[[#This Row],[Tech Start Date]],28),IF(Main[[#This Row],[Class]]="B", WORKDAY(Main[[#This Row],[Tech Start Date]],19),IF(Main[[#This Row],[Class]]="A",WORKDAY(Main[[#This Row],[Tech Start Date]],9),""))))</f>
        <v/>
      </c>
      <c r="Q261" s="162">
        <v>40512</v>
      </c>
      <c r="R261" s="162"/>
      <c r="S261" s="159" t="s">
        <v>17</v>
      </c>
      <c r="T261" s="173" t="s">
        <v>4</v>
      </c>
      <c r="U261" s="159" t="s">
        <v>7</v>
      </c>
      <c r="V261" s="159" t="s">
        <v>1932</v>
      </c>
      <c r="W261" s="159" t="s">
        <v>1937</v>
      </c>
      <c r="X261" s="159" t="s">
        <v>129</v>
      </c>
      <c r="Y261" s="159" t="s">
        <v>3020</v>
      </c>
      <c r="Z261" s="159" t="s">
        <v>129</v>
      </c>
      <c r="AA261" s="154" t="s">
        <v>129</v>
      </c>
    </row>
    <row r="262" spans="1:27" ht="18.600000000000001" customHeight="1">
      <c r="A262" s="140" t="str">
        <f>IF(priority(Main[[#This Row],[Comments]])&lt;&gt;0, priority(Main[[#This Row],[Comments]]),"")</f>
        <v/>
      </c>
      <c r="B262" s="90" t="s">
        <v>1131</v>
      </c>
      <c r="C262" s="72" t="s">
        <v>4</v>
      </c>
      <c r="D262" s="73" t="s">
        <v>169</v>
      </c>
      <c r="E262" s="74"/>
      <c r="F262" s="74"/>
      <c r="G262" s="75" t="str">
        <f>IF(stdProdLT(Main[[#This Row],[Comments]])=0.1,"N/A",IF(stdProdLT(Main[[#This Row],[Comments]])=0,"",stdProdLT(Main[[#This Row],[Comments]])))</f>
        <v/>
      </c>
      <c r="H262" s="76" t="str">
        <f>IF(AND(Main[[#This Row],[In Stock Date]]&lt;&gt;"",Main[[#This Row],[Revised Due Date]]&lt;&gt;""),Main[[#This Row],[In Stock Date]]-Main[[#This Row],[Revised Due Date]],"")</f>
        <v/>
      </c>
      <c r="I262" s="72" t="s">
        <v>4</v>
      </c>
      <c r="J262" s="72" t="s">
        <v>28</v>
      </c>
      <c r="K262" s="72" t="s">
        <v>1944</v>
      </c>
      <c r="L262" s="74"/>
      <c r="M262" s="77" t="str">
        <f>IF(Main[[#This Row],[Tech Start Date]]&lt;1/1/1990,"",IF(Main[[#This Row],[Class]]="C",WORKDAY(Main[[#This Row],[Tech Start Date]],9),IF(Main[[#This Row],[Class]]="B", WORKDAY(Main[[#This Row],[Tech Start Date]],6),IF(Main[[#This Row],[Class]]="A",WORKDAY(Main[[#This Row],[Tech Start Date]],2),""))))</f>
        <v/>
      </c>
      <c r="N262" s="77" t="str">
        <f>IF(Main[[#This Row],[Tech Start Date]]&lt;1/1/1990,"",IF(Main[[#This Row],[Class]]="C",WORKDAY(Main[[#This Row],[Tech Start Date]],19),IF(Main[[#This Row],[Class]]="B", WORKDAY(Main[[#This Row],[Tech Start Date]],12),IF(Main[[#This Row],[Class]]="A",WORKDAY(Main[[#This Row],[Tech Start Date]],4),""))))</f>
        <v/>
      </c>
      <c r="O262" s="77" t="str">
        <f>IF(Main[[#This Row],[Tech Start Date]]&lt;1/1/1990,"",IF(Main[[#This Row],[Class]]="C",WORKDAY(Main[[#This Row],[Tech Start Date]],23),IF(Main[[#This Row],[Class]]="B", WORKDAY(Main[[#This Row],[Tech Start Date]],15),IF(Main[[#This Row],[Class]]="A",WORKDAY(Main[[#This Row],[Tech Start Date]],5),""))))</f>
        <v/>
      </c>
      <c r="P262" s="77" t="str">
        <f>IF(Main[[#This Row],[Tech Start Date]]&lt;1/1/1990,"",IF(Main[[#This Row],[Class]]="C",WORKDAY(Main[[#This Row],[Tech Start Date]],28),IF(Main[[#This Row],[Class]]="B", WORKDAY(Main[[#This Row],[Tech Start Date]],19),IF(Main[[#This Row],[Class]]="A",WORKDAY(Main[[#This Row],[Tech Start Date]],9),""))))</f>
        <v/>
      </c>
      <c r="Q262" s="74"/>
      <c r="R262" s="74"/>
      <c r="S262" s="72" t="s">
        <v>17</v>
      </c>
      <c r="T262" s="80" t="s">
        <v>4</v>
      </c>
      <c r="U262" s="72" t="s">
        <v>14</v>
      </c>
      <c r="V262" s="72" t="s">
        <v>1935</v>
      </c>
      <c r="W262" s="72" t="s">
        <v>1937</v>
      </c>
      <c r="X262" s="72" t="s">
        <v>559</v>
      </c>
      <c r="Y262" s="72" t="s">
        <v>3039</v>
      </c>
      <c r="Z262" s="72" t="s">
        <v>980</v>
      </c>
      <c r="AA262" s="147" t="s">
        <v>559</v>
      </c>
    </row>
    <row r="263" spans="1:27" ht="18.600000000000001" customHeight="1">
      <c r="A263" s="157" t="str">
        <f>IF(priority(Main[[#This Row],[Comments]])&lt;&gt;0, priority(Main[[#This Row],[Comments]]),"")</f>
        <v/>
      </c>
      <c r="B263" s="158" t="s">
        <v>2717</v>
      </c>
      <c r="C263" s="159" t="s">
        <v>4</v>
      </c>
      <c r="D263" s="160" t="s">
        <v>2756</v>
      </c>
      <c r="E263" s="162">
        <v>40879.610138888886</v>
      </c>
      <c r="F263" s="162"/>
      <c r="G263" s="164" t="str">
        <f>IF(stdProdLT(Main[[#This Row],[Comments]])=0.1,"N/A",IF(stdProdLT(Main[[#This Row],[Comments]])=0,"",stdProdLT(Main[[#This Row],[Comments]])))</f>
        <v/>
      </c>
      <c r="H263" s="166" t="str">
        <f>IF(AND(Main[[#This Row],[In Stock Date]]&lt;&gt;"",Main[[#This Row],[Revised Due Date]]&lt;&gt;""),Main[[#This Row],[In Stock Date]]-Main[[#This Row],[Revised Due Date]],"")</f>
        <v/>
      </c>
      <c r="I263" s="159" t="s">
        <v>69</v>
      </c>
      <c r="J263" s="159" t="s">
        <v>21</v>
      </c>
      <c r="K263" s="159" t="s">
        <v>1941</v>
      </c>
      <c r="L263" s="162"/>
      <c r="M263" s="169" t="str">
        <f>IF(Main[[#This Row],[Tech Start Date]]&lt;1/1/1990,"",IF(Main[[#This Row],[Class]]="C",WORKDAY(Main[[#This Row],[Tech Start Date]],9),IF(Main[[#This Row],[Class]]="B", WORKDAY(Main[[#This Row],[Tech Start Date]],6),IF(Main[[#This Row],[Class]]="A",WORKDAY(Main[[#This Row],[Tech Start Date]],2),""))))</f>
        <v/>
      </c>
      <c r="N263" s="169" t="str">
        <f>IF(Main[[#This Row],[Tech Start Date]]&lt;1/1/1990,"",IF(Main[[#This Row],[Class]]="C",WORKDAY(Main[[#This Row],[Tech Start Date]],19),IF(Main[[#This Row],[Class]]="B", WORKDAY(Main[[#This Row],[Tech Start Date]],12),IF(Main[[#This Row],[Class]]="A",WORKDAY(Main[[#This Row],[Tech Start Date]],4),""))))</f>
        <v/>
      </c>
      <c r="O263" s="169" t="str">
        <f>IF(Main[[#This Row],[Tech Start Date]]&lt;1/1/1990,"",IF(Main[[#This Row],[Class]]="C",WORKDAY(Main[[#This Row],[Tech Start Date]],23),IF(Main[[#This Row],[Class]]="B", WORKDAY(Main[[#This Row],[Tech Start Date]],15),IF(Main[[#This Row],[Class]]="A",WORKDAY(Main[[#This Row],[Tech Start Date]],5),""))))</f>
        <v/>
      </c>
      <c r="P263" s="169" t="str">
        <f>IF(Main[[#This Row],[Tech Start Date]]&lt;1/1/1990,"",IF(Main[[#This Row],[Class]]="C",WORKDAY(Main[[#This Row],[Tech Start Date]],28),IF(Main[[#This Row],[Class]]="B", WORKDAY(Main[[#This Row],[Tech Start Date]],19),IF(Main[[#This Row],[Class]]="A",WORKDAY(Main[[#This Row],[Tech Start Date]],9),""))))</f>
        <v/>
      </c>
      <c r="Q263" s="162">
        <v>40921</v>
      </c>
      <c r="R263" s="162"/>
      <c r="S263" s="159" t="s">
        <v>6</v>
      </c>
      <c r="T263" s="173" t="s">
        <v>4</v>
      </c>
      <c r="U263" s="159" t="s">
        <v>29</v>
      </c>
      <c r="V263" s="159" t="s">
        <v>1942</v>
      </c>
      <c r="W263" s="159" t="s">
        <v>1936</v>
      </c>
      <c r="X263" s="159" t="s">
        <v>2902</v>
      </c>
      <c r="Y263" s="159" t="s">
        <v>3016</v>
      </c>
      <c r="Z263" s="159" t="s">
        <v>30</v>
      </c>
      <c r="AA263" s="154" t="s">
        <v>2902</v>
      </c>
    </row>
    <row r="264" spans="1:27" ht="18.600000000000001" customHeight="1">
      <c r="A264" s="157" t="str">
        <f>IF(priority(Main[[#This Row],[Comments]])&lt;&gt;0, priority(Main[[#This Row],[Comments]]),"")</f>
        <v/>
      </c>
      <c r="B264" s="158" t="s">
        <v>1138</v>
      </c>
      <c r="C264" s="159" t="s">
        <v>4</v>
      </c>
      <c r="D264" s="160" t="s">
        <v>178</v>
      </c>
      <c r="E264" s="162">
        <v>40655.521435185183</v>
      </c>
      <c r="F264" s="162"/>
      <c r="G264" s="164" t="str">
        <f>IF(stdProdLT(Main[[#This Row],[Comments]])=0.1,"N/A",IF(stdProdLT(Main[[#This Row],[Comments]])=0,"",stdProdLT(Main[[#This Row],[Comments]])))</f>
        <v/>
      </c>
      <c r="H264" s="166" t="str">
        <f>IF(AND(Main[[#This Row],[In Stock Date]]&lt;&gt;"",Main[[#This Row],[Revised Due Date]]&lt;&gt;""),Main[[#This Row],[In Stock Date]]-Main[[#This Row],[Revised Due Date]],"")</f>
        <v/>
      </c>
      <c r="I264" s="159" t="s">
        <v>4</v>
      </c>
      <c r="J264" s="159" t="s">
        <v>4</v>
      </c>
      <c r="K264" s="159" t="s">
        <v>4</v>
      </c>
      <c r="L264" s="162"/>
      <c r="M264" s="169" t="str">
        <f>IF(Main[[#This Row],[Tech Start Date]]&lt;1/1/1990,"",IF(Main[[#This Row],[Class]]="C",WORKDAY(Main[[#This Row],[Tech Start Date]],9),IF(Main[[#This Row],[Class]]="B", WORKDAY(Main[[#This Row],[Tech Start Date]],6),IF(Main[[#This Row],[Class]]="A",WORKDAY(Main[[#This Row],[Tech Start Date]],2),""))))</f>
        <v/>
      </c>
      <c r="N264" s="169" t="str">
        <f>IF(Main[[#This Row],[Tech Start Date]]&lt;1/1/1990,"",IF(Main[[#This Row],[Class]]="C",WORKDAY(Main[[#This Row],[Tech Start Date]],19),IF(Main[[#This Row],[Class]]="B", WORKDAY(Main[[#This Row],[Tech Start Date]],12),IF(Main[[#This Row],[Class]]="A",WORKDAY(Main[[#This Row],[Tech Start Date]],4),""))))</f>
        <v/>
      </c>
      <c r="O264" s="169" t="str">
        <f>IF(Main[[#This Row],[Tech Start Date]]&lt;1/1/1990,"",IF(Main[[#This Row],[Class]]="C",WORKDAY(Main[[#This Row],[Tech Start Date]],23),IF(Main[[#This Row],[Class]]="B", WORKDAY(Main[[#This Row],[Tech Start Date]],15),IF(Main[[#This Row],[Class]]="A",WORKDAY(Main[[#This Row],[Tech Start Date]],5),""))))</f>
        <v/>
      </c>
      <c r="P264" s="169" t="str">
        <f>IF(Main[[#This Row],[Tech Start Date]]&lt;1/1/1990,"",IF(Main[[#This Row],[Class]]="C",WORKDAY(Main[[#This Row],[Tech Start Date]],28),IF(Main[[#This Row],[Class]]="B", WORKDAY(Main[[#This Row],[Tech Start Date]],19),IF(Main[[#This Row],[Class]]="A",WORKDAY(Main[[#This Row],[Tech Start Date]],9),""))))</f>
        <v/>
      </c>
      <c r="Q264" s="162">
        <v>40655</v>
      </c>
      <c r="R264" s="162"/>
      <c r="S264" s="159" t="s">
        <v>6</v>
      </c>
      <c r="T264" s="173" t="s">
        <v>4</v>
      </c>
      <c r="U264" s="159" t="s">
        <v>7</v>
      </c>
      <c r="V264" s="159" t="s">
        <v>1932</v>
      </c>
      <c r="W264" s="159" t="s">
        <v>1934</v>
      </c>
      <c r="X264" s="159" t="s">
        <v>126</v>
      </c>
      <c r="Y264" s="159" t="s">
        <v>3120</v>
      </c>
      <c r="Z264" s="159" t="s">
        <v>4</v>
      </c>
      <c r="AA264" s="154" t="s">
        <v>126</v>
      </c>
    </row>
    <row r="265" spans="1:27" ht="18.600000000000001" customHeight="1">
      <c r="A265" s="140" t="str">
        <f>IF(priority(Main[[#This Row],[Comments]])&lt;&gt;0, priority(Main[[#This Row],[Comments]]),"")</f>
        <v/>
      </c>
      <c r="B265" s="90" t="s">
        <v>1139</v>
      </c>
      <c r="C265" s="72" t="s">
        <v>4</v>
      </c>
      <c r="D265" s="73" t="s">
        <v>179</v>
      </c>
      <c r="E265" s="74"/>
      <c r="F265" s="74">
        <v>40598</v>
      </c>
      <c r="G265" s="75" t="str">
        <f>IF(stdProdLT(Main[[#This Row],[Comments]])=0.1,"N/A",IF(stdProdLT(Main[[#This Row],[Comments]])=0,"",stdProdLT(Main[[#This Row],[Comments]])))</f>
        <v/>
      </c>
      <c r="H265" s="76" t="str">
        <f>IF(AND(Main[[#This Row],[In Stock Date]]&lt;&gt;"",Main[[#This Row],[Revised Due Date]]&lt;&gt;""),Main[[#This Row],[In Stock Date]]-Main[[#This Row],[Revised Due Date]],"")</f>
        <v/>
      </c>
      <c r="I265" s="72" t="s">
        <v>4</v>
      </c>
      <c r="J265" s="72" t="s">
        <v>4</v>
      </c>
      <c r="K265" s="72" t="s">
        <v>4</v>
      </c>
      <c r="L265" s="74"/>
      <c r="M265" s="77" t="str">
        <f>IF(Main[[#This Row],[Tech Start Date]]&lt;1/1/1990,"",IF(Main[[#This Row],[Class]]="C",WORKDAY(Main[[#This Row],[Tech Start Date]],9),IF(Main[[#This Row],[Class]]="B", WORKDAY(Main[[#This Row],[Tech Start Date]],6),IF(Main[[#This Row],[Class]]="A",WORKDAY(Main[[#This Row],[Tech Start Date]],2),""))))</f>
        <v/>
      </c>
      <c r="N265" s="77" t="str">
        <f>IF(Main[[#This Row],[Tech Start Date]]&lt;1/1/1990,"",IF(Main[[#This Row],[Class]]="C",WORKDAY(Main[[#This Row],[Tech Start Date]],19),IF(Main[[#This Row],[Class]]="B", WORKDAY(Main[[#This Row],[Tech Start Date]],12),IF(Main[[#This Row],[Class]]="A",WORKDAY(Main[[#This Row],[Tech Start Date]],4),""))))</f>
        <v/>
      </c>
      <c r="O265" s="77" t="str">
        <f>IF(Main[[#This Row],[Tech Start Date]]&lt;1/1/1990,"",IF(Main[[#This Row],[Class]]="C",WORKDAY(Main[[#This Row],[Tech Start Date]],23),IF(Main[[#This Row],[Class]]="B", WORKDAY(Main[[#This Row],[Tech Start Date]],15),IF(Main[[#This Row],[Class]]="A",WORKDAY(Main[[#This Row],[Tech Start Date]],5),""))))</f>
        <v/>
      </c>
      <c r="P265" s="77" t="str">
        <f>IF(Main[[#This Row],[Tech Start Date]]&lt;1/1/1990,"",IF(Main[[#This Row],[Class]]="C",WORKDAY(Main[[#This Row],[Tech Start Date]],28),IF(Main[[#This Row],[Class]]="B", WORKDAY(Main[[#This Row],[Tech Start Date]],19),IF(Main[[#This Row],[Class]]="A",WORKDAY(Main[[#This Row],[Tech Start Date]],9),""))))</f>
        <v/>
      </c>
      <c r="Q265" s="74">
        <v>40598</v>
      </c>
      <c r="R265" s="74"/>
      <c r="S265" s="72" t="s">
        <v>11</v>
      </c>
      <c r="T265" s="80" t="s">
        <v>4</v>
      </c>
      <c r="U265" s="72" t="s">
        <v>14</v>
      </c>
      <c r="V265" s="72" t="s">
        <v>1942</v>
      </c>
      <c r="W265" s="72" t="s">
        <v>1938</v>
      </c>
      <c r="X265" s="72" t="s">
        <v>2932</v>
      </c>
      <c r="Y265" s="72" t="s">
        <v>3066</v>
      </c>
      <c r="Z265" s="72" t="s">
        <v>4</v>
      </c>
      <c r="AA265" s="147" t="s">
        <v>2932</v>
      </c>
    </row>
    <row r="266" spans="1:27" ht="18.600000000000001" customHeight="1">
      <c r="A266" s="140" t="str">
        <f>IF(priority(Main[[#This Row],[Comments]])&lt;&gt;0, priority(Main[[#This Row],[Comments]]),"")</f>
        <v/>
      </c>
      <c r="B266" s="90" t="s">
        <v>2757</v>
      </c>
      <c r="C266" s="72" t="s">
        <v>4</v>
      </c>
      <c r="D266" s="73" t="s">
        <v>2758</v>
      </c>
      <c r="E266" s="74">
        <v>40896.649571759262</v>
      </c>
      <c r="F266" s="74"/>
      <c r="G266" s="75" t="str">
        <f>IF(stdProdLT(Main[[#This Row],[Comments]])=0.1,"N/A",IF(stdProdLT(Main[[#This Row],[Comments]])=0,"",stdProdLT(Main[[#This Row],[Comments]])))</f>
        <v/>
      </c>
      <c r="H266" s="76" t="str">
        <f>IF(AND(Main[[#This Row],[In Stock Date]]&lt;&gt;"",Main[[#This Row],[Revised Due Date]]&lt;&gt;""),Main[[#This Row],[In Stock Date]]-Main[[#This Row],[Revised Due Date]],"")</f>
        <v/>
      </c>
      <c r="I266" s="72" t="s">
        <v>535</v>
      </c>
      <c r="J266" s="72" t="s">
        <v>28</v>
      </c>
      <c r="K266" s="72" t="s">
        <v>1941</v>
      </c>
      <c r="L266" s="74"/>
      <c r="M266" s="77" t="str">
        <f>IF(Main[[#This Row],[Tech Start Date]]&lt;1/1/1990,"",IF(Main[[#This Row],[Class]]="C",WORKDAY(Main[[#This Row],[Tech Start Date]],9),IF(Main[[#This Row],[Class]]="B", WORKDAY(Main[[#This Row],[Tech Start Date]],6),IF(Main[[#This Row],[Class]]="A",WORKDAY(Main[[#This Row],[Tech Start Date]],2),""))))</f>
        <v/>
      </c>
      <c r="N266" s="77" t="str">
        <f>IF(Main[[#This Row],[Tech Start Date]]&lt;1/1/1990,"",IF(Main[[#This Row],[Class]]="C",WORKDAY(Main[[#This Row],[Tech Start Date]],19),IF(Main[[#This Row],[Class]]="B", WORKDAY(Main[[#This Row],[Tech Start Date]],12),IF(Main[[#This Row],[Class]]="A",WORKDAY(Main[[#This Row],[Tech Start Date]],4),""))))</f>
        <v/>
      </c>
      <c r="O266" s="77" t="str">
        <f>IF(Main[[#This Row],[Tech Start Date]]&lt;1/1/1990,"",IF(Main[[#This Row],[Class]]="C",WORKDAY(Main[[#This Row],[Tech Start Date]],23),IF(Main[[#This Row],[Class]]="B", WORKDAY(Main[[#This Row],[Tech Start Date]],15),IF(Main[[#This Row],[Class]]="A",WORKDAY(Main[[#This Row],[Tech Start Date]],5),""))))</f>
        <v/>
      </c>
      <c r="P266" s="77" t="str">
        <f>IF(Main[[#This Row],[Tech Start Date]]&lt;1/1/1990,"",IF(Main[[#This Row],[Class]]="C",WORKDAY(Main[[#This Row],[Tech Start Date]],28),IF(Main[[#This Row],[Class]]="B", WORKDAY(Main[[#This Row],[Tech Start Date]],19),IF(Main[[#This Row],[Class]]="A",WORKDAY(Main[[#This Row],[Tech Start Date]],9),""))))</f>
        <v/>
      </c>
      <c r="Q266" s="74">
        <v>40939</v>
      </c>
      <c r="R266" s="74"/>
      <c r="S266" s="72" t="s">
        <v>6</v>
      </c>
      <c r="T266" s="80" t="s">
        <v>4</v>
      </c>
      <c r="U266" s="72" t="s">
        <v>29</v>
      </c>
      <c r="V266" s="72" t="s">
        <v>1935</v>
      </c>
      <c r="W266" s="72" t="s">
        <v>1940</v>
      </c>
      <c r="X266" s="72" t="s">
        <v>894</v>
      </c>
      <c r="Y266" s="72" t="s">
        <v>3050</v>
      </c>
      <c r="Z266" s="72" t="s">
        <v>30</v>
      </c>
      <c r="AA266" s="147" t="s">
        <v>894</v>
      </c>
    </row>
    <row r="267" spans="1:27" ht="18.600000000000001" customHeight="1">
      <c r="A267" s="140" t="str">
        <f>IF(priority(Main[[#This Row],[Comments]])&lt;&gt;0, priority(Main[[#This Row],[Comments]]),"")</f>
        <v/>
      </c>
      <c r="B267" s="90" t="s">
        <v>2376</v>
      </c>
      <c r="C267" s="72" t="s">
        <v>2377</v>
      </c>
      <c r="D267" s="73" t="s">
        <v>2378</v>
      </c>
      <c r="E267" s="74"/>
      <c r="F267" s="74"/>
      <c r="G267" s="75" t="str">
        <f>IF(stdProdLT(Main[[#This Row],[Comments]])=0.1,"N/A",IF(stdProdLT(Main[[#This Row],[Comments]])=0,"",stdProdLT(Main[[#This Row],[Comments]])))</f>
        <v/>
      </c>
      <c r="H267" s="76" t="str">
        <f>IF(AND(Main[[#This Row],[In Stock Date]]&lt;&gt;"",Main[[#This Row],[Revised Due Date]]&lt;&gt;""),Main[[#This Row],[In Stock Date]]-Main[[#This Row],[Revised Due Date]],"")</f>
        <v/>
      </c>
      <c r="I267" s="72" t="s">
        <v>4</v>
      </c>
      <c r="J267" s="72" t="s">
        <v>4</v>
      </c>
      <c r="K267" s="72" t="s">
        <v>4</v>
      </c>
      <c r="L267" s="74"/>
      <c r="M267" s="77" t="str">
        <f>IF(Main[[#This Row],[Tech Start Date]]&lt;1/1/1990,"",IF(Main[[#This Row],[Class]]="C",WORKDAY(Main[[#This Row],[Tech Start Date]],9),IF(Main[[#This Row],[Class]]="B", WORKDAY(Main[[#This Row],[Tech Start Date]],6),IF(Main[[#This Row],[Class]]="A",WORKDAY(Main[[#This Row],[Tech Start Date]],2),""))))</f>
        <v/>
      </c>
      <c r="N267" s="77" t="str">
        <f>IF(Main[[#This Row],[Tech Start Date]]&lt;1/1/1990,"",IF(Main[[#This Row],[Class]]="C",WORKDAY(Main[[#This Row],[Tech Start Date]],19),IF(Main[[#This Row],[Class]]="B", WORKDAY(Main[[#This Row],[Tech Start Date]],12),IF(Main[[#This Row],[Class]]="A",WORKDAY(Main[[#This Row],[Tech Start Date]],4),""))))</f>
        <v/>
      </c>
      <c r="O267" s="77" t="str">
        <f>IF(Main[[#This Row],[Tech Start Date]]&lt;1/1/1990,"",IF(Main[[#This Row],[Class]]="C",WORKDAY(Main[[#This Row],[Tech Start Date]],23),IF(Main[[#This Row],[Class]]="B", WORKDAY(Main[[#This Row],[Tech Start Date]],15),IF(Main[[#This Row],[Class]]="A",WORKDAY(Main[[#This Row],[Tech Start Date]],5),""))))</f>
        <v/>
      </c>
      <c r="P267" s="77" t="str">
        <f>IF(Main[[#This Row],[Tech Start Date]]&lt;1/1/1990,"",IF(Main[[#This Row],[Class]]="C",WORKDAY(Main[[#This Row],[Tech Start Date]],28),IF(Main[[#This Row],[Class]]="B", WORKDAY(Main[[#This Row],[Tech Start Date]],19),IF(Main[[#This Row],[Class]]="A",WORKDAY(Main[[#This Row],[Tech Start Date]],9),""))))</f>
        <v/>
      </c>
      <c r="Q267" s="74">
        <v>40840</v>
      </c>
      <c r="R267" s="74"/>
      <c r="S267" s="72" t="s">
        <v>11</v>
      </c>
      <c r="T267" s="80" t="s">
        <v>4</v>
      </c>
      <c r="U267" s="72" t="s">
        <v>12</v>
      </c>
      <c r="V267" s="72" t="s">
        <v>1932</v>
      </c>
      <c r="W267" s="72" t="s">
        <v>1934</v>
      </c>
      <c r="X267" s="72" t="s">
        <v>2939</v>
      </c>
      <c r="Y267" s="72" t="s">
        <v>4</v>
      </c>
      <c r="Z267" s="72" t="s">
        <v>4</v>
      </c>
      <c r="AA267" s="147" t="s">
        <v>2939</v>
      </c>
    </row>
    <row r="268" spans="1:27" ht="18.600000000000001" customHeight="1">
      <c r="A268" s="157" t="str">
        <f>IF(priority(Main[[#This Row],[Comments]])&lt;&gt;0, priority(Main[[#This Row],[Comments]]),"")</f>
        <v/>
      </c>
      <c r="B268" s="158" t="s">
        <v>1141</v>
      </c>
      <c r="C268" s="159" t="s">
        <v>4</v>
      </c>
      <c r="D268" s="160" t="s">
        <v>181</v>
      </c>
      <c r="E268" s="162">
        <v>40688.403611111113</v>
      </c>
      <c r="F268" s="162"/>
      <c r="G268" s="164" t="str">
        <f>IF(stdProdLT(Main[[#This Row],[Comments]])=0.1,"N/A",IF(stdProdLT(Main[[#This Row],[Comments]])=0,"",stdProdLT(Main[[#This Row],[Comments]])))</f>
        <v/>
      </c>
      <c r="H268" s="166" t="str">
        <f>IF(AND(Main[[#This Row],[In Stock Date]]&lt;&gt;"",Main[[#This Row],[Revised Due Date]]&lt;&gt;""),Main[[#This Row],[In Stock Date]]-Main[[#This Row],[Revised Due Date]],"")</f>
        <v/>
      </c>
      <c r="I268" s="159" t="s">
        <v>4</v>
      </c>
      <c r="J268" s="159" t="s">
        <v>4</v>
      </c>
      <c r="K268" s="159" t="s">
        <v>4</v>
      </c>
      <c r="L268" s="162"/>
      <c r="M268" s="169" t="str">
        <f>IF(Main[[#This Row],[Tech Start Date]]&lt;1/1/1990,"",IF(Main[[#This Row],[Class]]="C",WORKDAY(Main[[#This Row],[Tech Start Date]],9),IF(Main[[#This Row],[Class]]="B", WORKDAY(Main[[#This Row],[Tech Start Date]],6),IF(Main[[#This Row],[Class]]="A",WORKDAY(Main[[#This Row],[Tech Start Date]],2),""))))</f>
        <v/>
      </c>
      <c r="N268" s="169" t="str">
        <f>IF(Main[[#This Row],[Tech Start Date]]&lt;1/1/1990,"",IF(Main[[#This Row],[Class]]="C",WORKDAY(Main[[#This Row],[Tech Start Date]],19),IF(Main[[#This Row],[Class]]="B", WORKDAY(Main[[#This Row],[Tech Start Date]],12),IF(Main[[#This Row],[Class]]="A",WORKDAY(Main[[#This Row],[Tech Start Date]],4),""))))</f>
        <v/>
      </c>
      <c r="O268" s="169" t="str">
        <f>IF(Main[[#This Row],[Tech Start Date]]&lt;1/1/1990,"",IF(Main[[#This Row],[Class]]="C",WORKDAY(Main[[#This Row],[Tech Start Date]],23),IF(Main[[#This Row],[Class]]="B", WORKDAY(Main[[#This Row],[Tech Start Date]],15),IF(Main[[#This Row],[Class]]="A",WORKDAY(Main[[#This Row],[Tech Start Date]],5),""))))</f>
        <v/>
      </c>
      <c r="P268" s="169" t="str">
        <f>IF(Main[[#This Row],[Tech Start Date]]&lt;1/1/1990,"",IF(Main[[#This Row],[Class]]="C",WORKDAY(Main[[#This Row],[Tech Start Date]],28),IF(Main[[#This Row],[Class]]="B", WORKDAY(Main[[#This Row],[Tech Start Date]],19),IF(Main[[#This Row],[Class]]="A",WORKDAY(Main[[#This Row],[Tech Start Date]],9),""))))</f>
        <v/>
      </c>
      <c r="Q268" s="162">
        <v>40725</v>
      </c>
      <c r="R268" s="162"/>
      <c r="S268" s="159" t="s">
        <v>6</v>
      </c>
      <c r="T268" s="173" t="s">
        <v>4</v>
      </c>
      <c r="U268" s="159" t="s">
        <v>7</v>
      </c>
      <c r="V268" s="159" t="s">
        <v>1932</v>
      </c>
      <c r="W268" s="159" t="s">
        <v>4</v>
      </c>
      <c r="X268" s="159" t="s">
        <v>2902</v>
      </c>
      <c r="Y268" s="159" t="s">
        <v>3016</v>
      </c>
      <c r="Z268" s="159" t="s">
        <v>4</v>
      </c>
      <c r="AA268" s="154" t="s">
        <v>2902</v>
      </c>
    </row>
    <row r="269" spans="1:27" ht="18.600000000000001" customHeight="1">
      <c r="A269" s="140" t="str">
        <f>IF(priority(Main[[#This Row],[Comments]])&lt;&gt;0, priority(Main[[#This Row],[Comments]]),"")</f>
        <v/>
      </c>
      <c r="B269" s="90" t="s">
        <v>1142</v>
      </c>
      <c r="C269" s="72" t="s">
        <v>4</v>
      </c>
      <c r="D269" s="73" t="s">
        <v>182</v>
      </c>
      <c r="E269" s="74">
        <v>40644.277719907404</v>
      </c>
      <c r="F269" s="74"/>
      <c r="G269" s="75" t="str">
        <f>IF(stdProdLT(Main[[#This Row],[Comments]])=0.1,"N/A",IF(stdProdLT(Main[[#This Row],[Comments]])=0,"",stdProdLT(Main[[#This Row],[Comments]])))</f>
        <v/>
      </c>
      <c r="H269" s="76" t="str">
        <f>IF(AND(Main[[#This Row],[In Stock Date]]&lt;&gt;"",Main[[#This Row],[Revised Due Date]]&lt;&gt;""),Main[[#This Row],[In Stock Date]]-Main[[#This Row],[Revised Due Date]],"")</f>
        <v/>
      </c>
      <c r="I269" s="72" t="s">
        <v>4</v>
      </c>
      <c r="J269" s="72" t="s">
        <v>4</v>
      </c>
      <c r="K269" s="81" t="s">
        <v>4</v>
      </c>
      <c r="L269" s="74"/>
      <c r="M269" s="77" t="str">
        <f>IF(Main[[#This Row],[Tech Start Date]]&lt;1/1/1990,"",IF(Main[[#This Row],[Class]]="C",WORKDAY(Main[[#This Row],[Tech Start Date]],9),IF(Main[[#This Row],[Class]]="B", WORKDAY(Main[[#This Row],[Tech Start Date]],6),IF(Main[[#This Row],[Class]]="A",WORKDAY(Main[[#This Row],[Tech Start Date]],2),""))))</f>
        <v/>
      </c>
      <c r="N269" s="77" t="str">
        <f>IF(Main[[#This Row],[Tech Start Date]]&lt;1/1/1990,"",IF(Main[[#This Row],[Class]]="C",WORKDAY(Main[[#This Row],[Tech Start Date]],19),IF(Main[[#This Row],[Class]]="B", WORKDAY(Main[[#This Row],[Tech Start Date]],12),IF(Main[[#This Row],[Class]]="A",WORKDAY(Main[[#This Row],[Tech Start Date]],4),""))))</f>
        <v/>
      </c>
      <c r="O269" s="77" t="str">
        <f>IF(Main[[#This Row],[Tech Start Date]]&lt;1/1/1990,"",IF(Main[[#This Row],[Class]]="C",WORKDAY(Main[[#This Row],[Tech Start Date]],23),IF(Main[[#This Row],[Class]]="B", WORKDAY(Main[[#This Row],[Tech Start Date]],15),IF(Main[[#This Row],[Class]]="A",WORKDAY(Main[[#This Row],[Tech Start Date]],5),""))))</f>
        <v/>
      </c>
      <c r="P269" s="77" t="str">
        <f>IF(Main[[#This Row],[Tech Start Date]]&lt;1/1/1990,"",IF(Main[[#This Row],[Class]]="C",WORKDAY(Main[[#This Row],[Tech Start Date]],28),IF(Main[[#This Row],[Class]]="B", WORKDAY(Main[[#This Row],[Tech Start Date]],19),IF(Main[[#This Row],[Class]]="A",WORKDAY(Main[[#This Row],[Tech Start Date]],9),""))))</f>
        <v/>
      </c>
      <c r="Q269" s="74">
        <v>40673</v>
      </c>
      <c r="R269" s="74"/>
      <c r="S269" s="72" t="s">
        <v>6</v>
      </c>
      <c r="T269" s="80" t="s">
        <v>4</v>
      </c>
      <c r="U269" s="72" t="s">
        <v>7</v>
      </c>
      <c r="V269" s="72" t="s">
        <v>1932</v>
      </c>
      <c r="W269" s="72" t="s">
        <v>1940</v>
      </c>
      <c r="X269" s="72" t="s">
        <v>2905</v>
      </c>
      <c r="Y269" s="72" t="s">
        <v>3023</v>
      </c>
      <c r="Z269" s="72" t="s">
        <v>4</v>
      </c>
      <c r="AA269" s="147" t="s">
        <v>2905</v>
      </c>
    </row>
    <row r="270" spans="1:27" ht="18.600000000000001" customHeight="1">
      <c r="A270" s="157" t="str">
        <f>IF(priority(Main[[#This Row],[Comments]])&lt;&gt;0, priority(Main[[#This Row],[Comments]]),"")</f>
        <v/>
      </c>
      <c r="B270" s="158" t="s">
        <v>1144</v>
      </c>
      <c r="C270" s="159" t="s">
        <v>183</v>
      </c>
      <c r="D270" s="160" t="s">
        <v>184</v>
      </c>
      <c r="E270" s="162"/>
      <c r="F270" s="162">
        <v>40536</v>
      </c>
      <c r="G270" s="164" t="str">
        <f>IF(stdProdLT(Main[[#This Row],[Comments]])=0.1,"N/A",IF(stdProdLT(Main[[#This Row],[Comments]])=0,"",stdProdLT(Main[[#This Row],[Comments]])))</f>
        <v/>
      </c>
      <c r="H270" s="166" t="str">
        <f>IF(AND(Main[[#This Row],[In Stock Date]]&lt;&gt;"",Main[[#This Row],[Revised Due Date]]&lt;&gt;""),Main[[#This Row],[In Stock Date]]-Main[[#This Row],[Revised Due Date]],"")</f>
        <v/>
      </c>
      <c r="I270" s="159" t="s">
        <v>4</v>
      </c>
      <c r="J270" s="159" t="s">
        <v>28</v>
      </c>
      <c r="K270" s="159" t="s">
        <v>1941</v>
      </c>
      <c r="L270" s="162"/>
      <c r="M270" s="169" t="str">
        <f>IF(Main[[#This Row],[Tech Start Date]]&lt;1/1/1990,"",IF(Main[[#This Row],[Class]]="C",WORKDAY(Main[[#This Row],[Tech Start Date]],9),IF(Main[[#This Row],[Class]]="B", WORKDAY(Main[[#This Row],[Tech Start Date]],6),IF(Main[[#This Row],[Class]]="A",WORKDAY(Main[[#This Row],[Tech Start Date]],2),""))))</f>
        <v/>
      </c>
      <c r="N270" s="169" t="str">
        <f>IF(Main[[#This Row],[Tech Start Date]]&lt;1/1/1990,"",IF(Main[[#This Row],[Class]]="C",WORKDAY(Main[[#This Row],[Tech Start Date]],19),IF(Main[[#This Row],[Class]]="B", WORKDAY(Main[[#This Row],[Tech Start Date]],12),IF(Main[[#This Row],[Class]]="A",WORKDAY(Main[[#This Row],[Tech Start Date]],4),""))))</f>
        <v/>
      </c>
      <c r="O270" s="169" t="str">
        <f>IF(Main[[#This Row],[Tech Start Date]]&lt;1/1/1990,"",IF(Main[[#This Row],[Class]]="C",WORKDAY(Main[[#This Row],[Tech Start Date]],23),IF(Main[[#This Row],[Class]]="B", WORKDAY(Main[[#This Row],[Tech Start Date]],15),IF(Main[[#This Row],[Class]]="A",WORKDAY(Main[[#This Row],[Tech Start Date]],5),""))))</f>
        <v/>
      </c>
      <c r="P270" s="169" t="str">
        <f>IF(Main[[#This Row],[Tech Start Date]]&lt;1/1/1990,"",IF(Main[[#This Row],[Class]]="C",WORKDAY(Main[[#This Row],[Tech Start Date]],28),IF(Main[[#This Row],[Class]]="B", WORKDAY(Main[[#This Row],[Tech Start Date]],19),IF(Main[[#This Row],[Class]]="A",WORKDAY(Main[[#This Row],[Tech Start Date]],9),""))))</f>
        <v/>
      </c>
      <c r="Q270" s="162">
        <v>40466</v>
      </c>
      <c r="R270" s="162"/>
      <c r="S270" s="159" t="s">
        <v>11</v>
      </c>
      <c r="T270" s="173" t="s">
        <v>4</v>
      </c>
      <c r="U270" s="159" t="s">
        <v>14</v>
      </c>
      <c r="V270" s="159" t="s">
        <v>1935</v>
      </c>
      <c r="W270" s="159" t="s">
        <v>1938</v>
      </c>
      <c r="X270" s="159" t="s">
        <v>2908</v>
      </c>
      <c r="Y270" s="159" t="s">
        <v>3030</v>
      </c>
      <c r="Z270" s="159" t="s">
        <v>535</v>
      </c>
      <c r="AA270" s="154" t="s">
        <v>2908</v>
      </c>
    </row>
    <row r="271" spans="1:27" ht="18.600000000000001" customHeight="1">
      <c r="A271" s="157" t="str">
        <f>IF(priority(Main[[#This Row],[Comments]])&lt;&gt;0, priority(Main[[#This Row],[Comments]]),"")</f>
        <v/>
      </c>
      <c r="B271" s="158" t="s">
        <v>1145</v>
      </c>
      <c r="C271" s="159" t="s">
        <v>185</v>
      </c>
      <c r="D271" s="160" t="s">
        <v>186</v>
      </c>
      <c r="E271" s="162"/>
      <c r="F271" s="162">
        <v>40571</v>
      </c>
      <c r="G271" s="164" t="str">
        <f>IF(stdProdLT(Main[[#This Row],[Comments]])=0.1,"N/A",IF(stdProdLT(Main[[#This Row],[Comments]])=0,"",stdProdLT(Main[[#This Row],[Comments]])))</f>
        <v/>
      </c>
      <c r="H271" s="166" t="str">
        <f>IF(AND(Main[[#This Row],[In Stock Date]]&lt;&gt;"",Main[[#This Row],[Revised Due Date]]&lt;&gt;""),Main[[#This Row],[In Stock Date]]-Main[[#This Row],[Revised Due Date]],"")</f>
        <v/>
      </c>
      <c r="I271" s="159" t="s">
        <v>4</v>
      </c>
      <c r="J271" s="159" t="s">
        <v>28</v>
      </c>
      <c r="K271" s="159" t="s">
        <v>4</v>
      </c>
      <c r="L271" s="162"/>
      <c r="M271" s="169" t="str">
        <f>IF(Main[[#This Row],[Tech Start Date]]&lt;1/1/1990,"",IF(Main[[#This Row],[Class]]="C",WORKDAY(Main[[#This Row],[Tech Start Date]],9),IF(Main[[#This Row],[Class]]="B", WORKDAY(Main[[#This Row],[Tech Start Date]],6),IF(Main[[#This Row],[Class]]="A",WORKDAY(Main[[#This Row],[Tech Start Date]],2),""))))</f>
        <v/>
      </c>
      <c r="N271" s="169" t="str">
        <f>IF(Main[[#This Row],[Tech Start Date]]&lt;1/1/1990,"",IF(Main[[#This Row],[Class]]="C",WORKDAY(Main[[#This Row],[Tech Start Date]],19),IF(Main[[#This Row],[Class]]="B", WORKDAY(Main[[#This Row],[Tech Start Date]],12),IF(Main[[#This Row],[Class]]="A",WORKDAY(Main[[#This Row],[Tech Start Date]],4),""))))</f>
        <v/>
      </c>
      <c r="O271" s="169" t="str">
        <f>IF(Main[[#This Row],[Tech Start Date]]&lt;1/1/1990,"",IF(Main[[#This Row],[Class]]="C",WORKDAY(Main[[#This Row],[Tech Start Date]],23),IF(Main[[#This Row],[Class]]="B", WORKDAY(Main[[#This Row],[Tech Start Date]],15),IF(Main[[#This Row],[Class]]="A",WORKDAY(Main[[#This Row],[Tech Start Date]],5),""))))</f>
        <v/>
      </c>
      <c r="P271" s="169" t="str">
        <f>IF(Main[[#This Row],[Tech Start Date]]&lt;1/1/1990,"",IF(Main[[#This Row],[Class]]="C",WORKDAY(Main[[#This Row],[Tech Start Date]],28),IF(Main[[#This Row],[Class]]="B", WORKDAY(Main[[#This Row],[Tech Start Date]],19),IF(Main[[#This Row],[Class]]="A",WORKDAY(Main[[#This Row],[Tech Start Date]],9),""))))</f>
        <v/>
      </c>
      <c r="Q271" s="162"/>
      <c r="R271" s="162"/>
      <c r="S271" s="159" t="s">
        <v>11</v>
      </c>
      <c r="T271" s="173" t="s">
        <v>4</v>
      </c>
      <c r="U271" s="159" t="s">
        <v>14</v>
      </c>
      <c r="V271" s="159" t="s">
        <v>1932</v>
      </c>
      <c r="W271" s="159" t="s">
        <v>1938</v>
      </c>
      <c r="X271" s="159" t="s">
        <v>50</v>
      </c>
      <c r="Y271" s="159" t="s">
        <v>3086</v>
      </c>
      <c r="Z271" s="159" t="s">
        <v>129</v>
      </c>
      <c r="AA271" s="154" t="s">
        <v>3583</v>
      </c>
    </row>
    <row r="272" spans="1:27" ht="18.600000000000001" customHeight="1">
      <c r="A272" s="140" t="str">
        <f>IF(priority(Main[[#This Row],[Comments]])&lt;&gt;0, priority(Main[[#This Row],[Comments]]),"")</f>
        <v/>
      </c>
      <c r="B272" s="90" t="s">
        <v>1146</v>
      </c>
      <c r="C272" s="72" t="s">
        <v>187</v>
      </c>
      <c r="D272" s="73" t="s">
        <v>188</v>
      </c>
      <c r="E272" s="74"/>
      <c r="F272" s="74"/>
      <c r="G272" s="75" t="str">
        <f>IF(stdProdLT(Main[[#This Row],[Comments]])=0.1,"N/A",IF(stdProdLT(Main[[#This Row],[Comments]])=0,"",stdProdLT(Main[[#This Row],[Comments]])))</f>
        <v/>
      </c>
      <c r="H272" s="76" t="str">
        <f>IF(AND(Main[[#This Row],[In Stock Date]]&lt;&gt;"",Main[[#This Row],[Revised Due Date]]&lt;&gt;""),Main[[#This Row],[In Stock Date]]-Main[[#This Row],[Revised Due Date]],"")</f>
        <v/>
      </c>
      <c r="I272" s="72" t="s">
        <v>4</v>
      </c>
      <c r="J272" s="72" t="s">
        <v>4</v>
      </c>
      <c r="K272" s="72" t="s">
        <v>4</v>
      </c>
      <c r="L272" s="74"/>
      <c r="M272" s="77" t="str">
        <f>IF(Main[[#This Row],[Tech Start Date]]&lt;1/1/1990,"",IF(Main[[#This Row],[Class]]="C",WORKDAY(Main[[#This Row],[Tech Start Date]],9),IF(Main[[#This Row],[Class]]="B", WORKDAY(Main[[#This Row],[Tech Start Date]],6),IF(Main[[#This Row],[Class]]="A",WORKDAY(Main[[#This Row],[Tech Start Date]],2),""))))</f>
        <v/>
      </c>
      <c r="N272" s="77" t="str">
        <f>IF(Main[[#This Row],[Tech Start Date]]&lt;1/1/1990,"",IF(Main[[#This Row],[Class]]="C",WORKDAY(Main[[#This Row],[Tech Start Date]],19),IF(Main[[#This Row],[Class]]="B", WORKDAY(Main[[#This Row],[Tech Start Date]],12),IF(Main[[#This Row],[Class]]="A",WORKDAY(Main[[#This Row],[Tech Start Date]],4),""))))</f>
        <v/>
      </c>
      <c r="O272" s="77" t="str">
        <f>IF(Main[[#This Row],[Tech Start Date]]&lt;1/1/1990,"",IF(Main[[#This Row],[Class]]="C",WORKDAY(Main[[#This Row],[Tech Start Date]],23),IF(Main[[#This Row],[Class]]="B", WORKDAY(Main[[#This Row],[Tech Start Date]],15),IF(Main[[#This Row],[Class]]="A",WORKDAY(Main[[#This Row],[Tech Start Date]],5),""))))</f>
        <v/>
      </c>
      <c r="P272" s="77" t="str">
        <f>IF(Main[[#This Row],[Tech Start Date]]&lt;1/1/1990,"",IF(Main[[#This Row],[Class]]="C",WORKDAY(Main[[#This Row],[Tech Start Date]],28),IF(Main[[#This Row],[Class]]="B", WORKDAY(Main[[#This Row],[Tech Start Date]],19),IF(Main[[#This Row],[Class]]="A",WORKDAY(Main[[#This Row],[Tech Start Date]],9),""))))</f>
        <v/>
      </c>
      <c r="Q272" s="74">
        <v>40116</v>
      </c>
      <c r="R272" s="74"/>
      <c r="S272" s="72" t="s">
        <v>11</v>
      </c>
      <c r="T272" s="80" t="s">
        <v>4</v>
      </c>
      <c r="U272" s="72" t="s">
        <v>14</v>
      </c>
      <c r="V272" s="72" t="s">
        <v>1935</v>
      </c>
      <c r="W272" s="72" t="s">
        <v>1934</v>
      </c>
      <c r="X272" s="72" t="s">
        <v>2947</v>
      </c>
      <c r="Y272" s="72" t="s">
        <v>4</v>
      </c>
      <c r="Z272" s="72" t="s">
        <v>4</v>
      </c>
      <c r="AA272" s="147" t="s">
        <v>2947</v>
      </c>
    </row>
    <row r="273" spans="1:27" ht="18.600000000000001" customHeight="1">
      <c r="A273" s="140" t="str">
        <f>IF(priority(Main[[#This Row],[Comments]])&lt;&gt;0, priority(Main[[#This Row],[Comments]]),"")</f>
        <v/>
      </c>
      <c r="B273" s="90" t="s">
        <v>1148</v>
      </c>
      <c r="C273" s="72" t="s">
        <v>190</v>
      </c>
      <c r="D273" s="73" t="s">
        <v>191</v>
      </c>
      <c r="E273" s="74"/>
      <c r="F273" s="74">
        <v>40263</v>
      </c>
      <c r="G273" s="75" t="str">
        <f>IF(stdProdLT(Main[[#This Row],[Comments]])=0.1,"N/A",IF(stdProdLT(Main[[#This Row],[Comments]])=0,"",stdProdLT(Main[[#This Row],[Comments]])))</f>
        <v/>
      </c>
      <c r="H273" s="76" t="str">
        <f>IF(AND(Main[[#This Row],[In Stock Date]]&lt;&gt;"",Main[[#This Row],[Revised Due Date]]&lt;&gt;""),Main[[#This Row],[In Stock Date]]-Main[[#This Row],[Revised Due Date]],"")</f>
        <v/>
      </c>
      <c r="I273" s="72" t="s">
        <v>4</v>
      </c>
      <c r="J273" s="72" t="s">
        <v>4</v>
      </c>
      <c r="K273" s="72" t="s">
        <v>4</v>
      </c>
      <c r="L273" s="74"/>
      <c r="M273" s="77" t="str">
        <f>IF(Main[[#This Row],[Tech Start Date]]&lt;1/1/1990,"",IF(Main[[#This Row],[Class]]="C",WORKDAY(Main[[#This Row],[Tech Start Date]],9),IF(Main[[#This Row],[Class]]="B", WORKDAY(Main[[#This Row],[Tech Start Date]],6),IF(Main[[#This Row],[Class]]="A",WORKDAY(Main[[#This Row],[Tech Start Date]],2),""))))</f>
        <v/>
      </c>
      <c r="N273" s="77" t="str">
        <f>IF(Main[[#This Row],[Tech Start Date]]&lt;1/1/1990,"",IF(Main[[#This Row],[Class]]="C",WORKDAY(Main[[#This Row],[Tech Start Date]],19),IF(Main[[#This Row],[Class]]="B", WORKDAY(Main[[#This Row],[Tech Start Date]],12),IF(Main[[#This Row],[Class]]="A",WORKDAY(Main[[#This Row],[Tech Start Date]],4),""))))</f>
        <v/>
      </c>
      <c r="O273" s="77" t="str">
        <f>IF(Main[[#This Row],[Tech Start Date]]&lt;1/1/1990,"",IF(Main[[#This Row],[Class]]="C",WORKDAY(Main[[#This Row],[Tech Start Date]],23),IF(Main[[#This Row],[Class]]="B", WORKDAY(Main[[#This Row],[Tech Start Date]],15),IF(Main[[#This Row],[Class]]="A",WORKDAY(Main[[#This Row],[Tech Start Date]],5),""))))</f>
        <v/>
      </c>
      <c r="P273" s="77" t="str">
        <f>IF(Main[[#This Row],[Tech Start Date]]&lt;1/1/1990,"",IF(Main[[#This Row],[Class]]="C",WORKDAY(Main[[#This Row],[Tech Start Date]],28),IF(Main[[#This Row],[Class]]="B", WORKDAY(Main[[#This Row],[Tech Start Date]],19),IF(Main[[#This Row],[Class]]="A",WORKDAY(Main[[#This Row],[Tech Start Date]],9),""))))</f>
        <v/>
      </c>
      <c r="Q273" s="74">
        <v>40295</v>
      </c>
      <c r="R273" s="74"/>
      <c r="S273" s="72" t="s">
        <v>11</v>
      </c>
      <c r="T273" s="80" t="s">
        <v>4</v>
      </c>
      <c r="U273" s="72" t="s">
        <v>14</v>
      </c>
      <c r="V273" s="72" t="s">
        <v>1935</v>
      </c>
      <c r="W273" s="72" t="s">
        <v>1938</v>
      </c>
      <c r="X273" s="72" t="s">
        <v>310</v>
      </c>
      <c r="Y273" s="72" t="s">
        <v>4</v>
      </c>
      <c r="Z273" s="72" t="s">
        <v>4</v>
      </c>
      <c r="AA273" s="147" t="s">
        <v>310</v>
      </c>
    </row>
    <row r="274" spans="1:27" ht="18.600000000000001" customHeight="1">
      <c r="A274" s="140" t="str">
        <f>IF(priority(Main[[#This Row],[Comments]])&lt;&gt;0, priority(Main[[#This Row],[Comments]]),"")</f>
        <v/>
      </c>
      <c r="B274" s="90" t="s">
        <v>1149</v>
      </c>
      <c r="C274" s="72" t="s">
        <v>4</v>
      </c>
      <c r="D274" s="73" t="s">
        <v>192</v>
      </c>
      <c r="E274" s="74"/>
      <c r="F274" s="74"/>
      <c r="G274" s="75" t="str">
        <f>IF(stdProdLT(Main[[#This Row],[Comments]])=0.1,"N/A",IF(stdProdLT(Main[[#This Row],[Comments]])=0,"",stdProdLT(Main[[#This Row],[Comments]])))</f>
        <v/>
      </c>
      <c r="H274" s="76" t="str">
        <f>IF(AND(Main[[#This Row],[In Stock Date]]&lt;&gt;"",Main[[#This Row],[Revised Due Date]]&lt;&gt;""),Main[[#This Row],[In Stock Date]]-Main[[#This Row],[Revised Due Date]],"")</f>
        <v/>
      </c>
      <c r="I274" s="72" t="s">
        <v>4</v>
      </c>
      <c r="J274" s="72" t="s">
        <v>4</v>
      </c>
      <c r="K274" s="72" t="s">
        <v>4</v>
      </c>
      <c r="L274" s="74"/>
      <c r="M274" s="77" t="str">
        <f>IF(Main[[#This Row],[Tech Start Date]]&lt;1/1/1990,"",IF(Main[[#This Row],[Class]]="C",WORKDAY(Main[[#This Row],[Tech Start Date]],9),IF(Main[[#This Row],[Class]]="B", WORKDAY(Main[[#This Row],[Tech Start Date]],6),IF(Main[[#This Row],[Class]]="A",WORKDAY(Main[[#This Row],[Tech Start Date]],2),""))))</f>
        <v/>
      </c>
      <c r="N274" s="77" t="str">
        <f>IF(Main[[#This Row],[Tech Start Date]]&lt;1/1/1990,"",IF(Main[[#This Row],[Class]]="C",WORKDAY(Main[[#This Row],[Tech Start Date]],19),IF(Main[[#This Row],[Class]]="B", WORKDAY(Main[[#This Row],[Tech Start Date]],12),IF(Main[[#This Row],[Class]]="A",WORKDAY(Main[[#This Row],[Tech Start Date]],4),""))))</f>
        <v/>
      </c>
      <c r="O274" s="77" t="str">
        <f>IF(Main[[#This Row],[Tech Start Date]]&lt;1/1/1990,"",IF(Main[[#This Row],[Class]]="C",WORKDAY(Main[[#This Row],[Tech Start Date]],23),IF(Main[[#This Row],[Class]]="B", WORKDAY(Main[[#This Row],[Tech Start Date]],15),IF(Main[[#This Row],[Class]]="A",WORKDAY(Main[[#This Row],[Tech Start Date]],5),""))))</f>
        <v/>
      </c>
      <c r="P274" s="77" t="str">
        <f>IF(Main[[#This Row],[Tech Start Date]]&lt;1/1/1990,"",IF(Main[[#This Row],[Class]]="C",WORKDAY(Main[[#This Row],[Tech Start Date]],28),IF(Main[[#This Row],[Class]]="B", WORKDAY(Main[[#This Row],[Tech Start Date]],19),IF(Main[[#This Row],[Class]]="A",WORKDAY(Main[[#This Row],[Tech Start Date]],9),""))))</f>
        <v/>
      </c>
      <c r="Q274" s="74"/>
      <c r="R274" s="74"/>
      <c r="S274" s="72" t="s">
        <v>4</v>
      </c>
      <c r="T274" s="80" t="s">
        <v>4</v>
      </c>
      <c r="U274" s="72" t="s">
        <v>14</v>
      </c>
      <c r="V274" s="72" t="s">
        <v>1935</v>
      </c>
      <c r="W274" s="72" t="s">
        <v>4</v>
      </c>
      <c r="X274" s="72" t="s">
        <v>980</v>
      </c>
      <c r="Y274" s="72" t="s">
        <v>4</v>
      </c>
      <c r="Z274" s="72" t="s">
        <v>4</v>
      </c>
      <c r="AA274" s="147" t="s">
        <v>4</v>
      </c>
    </row>
    <row r="275" spans="1:27" ht="18.600000000000001" customHeight="1">
      <c r="A275" s="140" t="str">
        <f>IF(priority(Main[[#This Row],[Comments]])&lt;&gt;0, priority(Main[[#This Row],[Comments]]),"")</f>
        <v/>
      </c>
      <c r="B275" s="90" t="s">
        <v>1150</v>
      </c>
      <c r="C275" s="72" t="s">
        <v>93</v>
      </c>
      <c r="D275" s="73" t="s">
        <v>193</v>
      </c>
      <c r="E275" s="74"/>
      <c r="F275" s="74">
        <v>40132</v>
      </c>
      <c r="G275" s="75" t="str">
        <f>IF(stdProdLT(Main[[#This Row],[Comments]])=0.1,"N/A",IF(stdProdLT(Main[[#This Row],[Comments]])=0,"",stdProdLT(Main[[#This Row],[Comments]])))</f>
        <v/>
      </c>
      <c r="H275" s="76" t="str">
        <f>IF(AND(Main[[#This Row],[In Stock Date]]&lt;&gt;"",Main[[#This Row],[Revised Due Date]]&lt;&gt;""),Main[[#This Row],[In Stock Date]]-Main[[#This Row],[Revised Due Date]],"")</f>
        <v/>
      </c>
      <c r="I275" s="72" t="s">
        <v>4</v>
      </c>
      <c r="J275" s="72" t="s">
        <v>4</v>
      </c>
      <c r="K275" s="72" t="s">
        <v>4</v>
      </c>
      <c r="L275" s="74"/>
      <c r="M275" s="77" t="str">
        <f>IF(Main[[#This Row],[Tech Start Date]]&lt;1/1/1990,"",IF(Main[[#This Row],[Class]]="C",WORKDAY(Main[[#This Row],[Tech Start Date]],9),IF(Main[[#This Row],[Class]]="B", WORKDAY(Main[[#This Row],[Tech Start Date]],6),IF(Main[[#This Row],[Class]]="A",WORKDAY(Main[[#This Row],[Tech Start Date]],2),""))))</f>
        <v/>
      </c>
      <c r="N275" s="77" t="str">
        <f>IF(Main[[#This Row],[Tech Start Date]]&lt;1/1/1990,"",IF(Main[[#This Row],[Class]]="C",WORKDAY(Main[[#This Row],[Tech Start Date]],19),IF(Main[[#This Row],[Class]]="B", WORKDAY(Main[[#This Row],[Tech Start Date]],12),IF(Main[[#This Row],[Class]]="A",WORKDAY(Main[[#This Row],[Tech Start Date]],4),""))))</f>
        <v/>
      </c>
      <c r="O275" s="77" t="str">
        <f>IF(Main[[#This Row],[Tech Start Date]]&lt;1/1/1990,"",IF(Main[[#This Row],[Class]]="C",WORKDAY(Main[[#This Row],[Tech Start Date]],23),IF(Main[[#This Row],[Class]]="B", WORKDAY(Main[[#This Row],[Tech Start Date]],15),IF(Main[[#This Row],[Class]]="A",WORKDAY(Main[[#This Row],[Tech Start Date]],5),""))))</f>
        <v/>
      </c>
      <c r="P275" s="77" t="str">
        <f>IF(Main[[#This Row],[Tech Start Date]]&lt;1/1/1990,"",IF(Main[[#This Row],[Class]]="C",WORKDAY(Main[[#This Row],[Tech Start Date]],28),IF(Main[[#This Row],[Class]]="B", WORKDAY(Main[[#This Row],[Tech Start Date]],19),IF(Main[[#This Row],[Class]]="A",WORKDAY(Main[[#This Row],[Tech Start Date]],9),""))))</f>
        <v/>
      </c>
      <c r="Q275" s="74">
        <v>40132</v>
      </c>
      <c r="R275" s="74"/>
      <c r="S275" s="72" t="s">
        <v>11</v>
      </c>
      <c r="T275" s="80" t="s">
        <v>4</v>
      </c>
      <c r="U275" s="72" t="s">
        <v>14</v>
      </c>
      <c r="V275" s="72" t="s">
        <v>1935</v>
      </c>
      <c r="W275" s="72" t="s">
        <v>1943</v>
      </c>
      <c r="X275" s="72" t="s">
        <v>2940</v>
      </c>
      <c r="Y275" s="72" t="s">
        <v>4</v>
      </c>
      <c r="Z275" s="72" t="s">
        <v>4</v>
      </c>
      <c r="AA275" s="147" t="s">
        <v>2940</v>
      </c>
    </row>
    <row r="276" spans="1:27" ht="18.600000000000001" customHeight="1">
      <c r="A276" s="140" t="str">
        <f>IF(priority(Main[[#This Row],[Comments]])&lt;&gt;0, priority(Main[[#This Row],[Comments]]),"")</f>
        <v/>
      </c>
      <c r="B276" s="90" t="s">
        <v>1151</v>
      </c>
      <c r="C276" s="72" t="s">
        <v>93</v>
      </c>
      <c r="D276" s="73" t="s">
        <v>194</v>
      </c>
      <c r="E276" s="74"/>
      <c r="F276" s="74">
        <v>40132</v>
      </c>
      <c r="G276" s="75" t="str">
        <f>IF(stdProdLT(Main[[#This Row],[Comments]])=0.1,"N/A",IF(stdProdLT(Main[[#This Row],[Comments]])=0,"",stdProdLT(Main[[#This Row],[Comments]])))</f>
        <v/>
      </c>
      <c r="H276" s="76" t="str">
        <f>IF(AND(Main[[#This Row],[In Stock Date]]&lt;&gt;"",Main[[#This Row],[Revised Due Date]]&lt;&gt;""),Main[[#This Row],[In Stock Date]]-Main[[#This Row],[Revised Due Date]],"")</f>
        <v/>
      </c>
      <c r="I276" s="72" t="s">
        <v>4</v>
      </c>
      <c r="J276" s="72" t="s">
        <v>4</v>
      </c>
      <c r="K276" s="72" t="s">
        <v>4</v>
      </c>
      <c r="L276" s="74"/>
      <c r="M276" s="77" t="str">
        <f>IF(Main[[#This Row],[Tech Start Date]]&lt;1/1/1990,"",IF(Main[[#This Row],[Class]]="C",WORKDAY(Main[[#This Row],[Tech Start Date]],9),IF(Main[[#This Row],[Class]]="B", WORKDAY(Main[[#This Row],[Tech Start Date]],6),IF(Main[[#This Row],[Class]]="A",WORKDAY(Main[[#This Row],[Tech Start Date]],2),""))))</f>
        <v/>
      </c>
      <c r="N276" s="77" t="str">
        <f>IF(Main[[#This Row],[Tech Start Date]]&lt;1/1/1990,"",IF(Main[[#This Row],[Class]]="C",WORKDAY(Main[[#This Row],[Tech Start Date]],19),IF(Main[[#This Row],[Class]]="B", WORKDAY(Main[[#This Row],[Tech Start Date]],12),IF(Main[[#This Row],[Class]]="A",WORKDAY(Main[[#This Row],[Tech Start Date]],4),""))))</f>
        <v/>
      </c>
      <c r="O276" s="77" t="str">
        <f>IF(Main[[#This Row],[Tech Start Date]]&lt;1/1/1990,"",IF(Main[[#This Row],[Class]]="C",WORKDAY(Main[[#This Row],[Tech Start Date]],23),IF(Main[[#This Row],[Class]]="B", WORKDAY(Main[[#This Row],[Tech Start Date]],15),IF(Main[[#This Row],[Class]]="A",WORKDAY(Main[[#This Row],[Tech Start Date]],5),""))))</f>
        <v/>
      </c>
      <c r="P276" s="77" t="str">
        <f>IF(Main[[#This Row],[Tech Start Date]]&lt;1/1/1990,"",IF(Main[[#This Row],[Class]]="C",WORKDAY(Main[[#This Row],[Tech Start Date]],28),IF(Main[[#This Row],[Class]]="B", WORKDAY(Main[[#This Row],[Tech Start Date]],19),IF(Main[[#This Row],[Class]]="A",WORKDAY(Main[[#This Row],[Tech Start Date]],9),""))))</f>
        <v/>
      </c>
      <c r="Q276" s="74">
        <v>40132</v>
      </c>
      <c r="R276" s="74"/>
      <c r="S276" s="72" t="s">
        <v>11</v>
      </c>
      <c r="T276" s="80" t="s">
        <v>4</v>
      </c>
      <c r="U276" s="72" t="s">
        <v>14</v>
      </c>
      <c r="V276" s="72" t="s">
        <v>1935</v>
      </c>
      <c r="W276" s="72" t="s">
        <v>1943</v>
      </c>
      <c r="X276" s="72" t="s">
        <v>2940</v>
      </c>
      <c r="Y276" s="72" t="s">
        <v>4</v>
      </c>
      <c r="Z276" s="72" t="s">
        <v>4</v>
      </c>
      <c r="AA276" s="147" t="s">
        <v>2940</v>
      </c>
    </row>
    <row r="277" spans="1:27" ht="18.600000000000001" customHeight="1">
      <c r="A277" s="157" t="str">
        <f>IF(priority(Main[[#This Row],[Comments]])&lt;&gt;0, priority(Main[[#This Row],[Comments]]),"")</f>
        <v/>
      </c>
      <c r="B277" s="158" t="s">
        <v>1152</v>
      </c>
      <c r="C277" s="159" t="s">
        <v>4</v>
      </c>
      <c r="D277" s="160" t="s">
        <v>195</v>
      </c>
      <c r="E277" s="162">
        <v>40371.395115740743</v>
      </c>
      <c r="F277" s="162"/>
      <c r="G277" s="164" t="str">
        <f>IF(stdProdLT(Main[[#This Row],[Comments]])=0.1,"N/A",IF(stdProdLT(Main[[#This Row],[Comments]])=0,"",stdProdLT(Main[[#This Row],[Comments]])))</f>
        <v/>
      </c>
      <c r="H277" s="166" t="str">
        <f>IF(AND(Main[[#This Row],[In Stock Date]]&lt;&gt;"",Main[[#This Row],[Revised Due Date]]&lt;&gt;""),Main[[#This Row],[In Stock Date]]-Main[[#This Row],[Revised Due Date]],"")</f>
        <v/>
      </c>
      <c r="I277" s="159" t="s">
        <v>4</v>
      </c>
      <c r="J277" s="159" t="s">
        <v>4</v>
      </c>
      <c r="K277" s="159" t="s">
        <v>4</v>
      </c>
      <c r="L277" s="162"/>
      <c r="M277" s="169" t="str">
        <f>IF(Main[[#This Row],[Tech Start Date]]&lt;1/1/1990,"",IF(Main[[#This Row],[Class]]="C",WORKDAY(Main[[#This Row],[Tech Start Date]],9),IF(Main[[#This Row],[Class]]="B", WORKDAY(Main[[#This Row],[Tech Start Date]],6),IF(Main[[#This Row],[Class]]="A",WORKDAY(Main[[#This Row],[Tech Start Date]],2),""))))</f>
        <v/>
      </c>
      <c r="N277" s="169" t="str">
        <f>IF(Main[[#This Row],[Tech Start Date]]&lt;1/1/1990,"",IF(Main[[#This Row],[Class]]="C",WORKDAY(Main[[#This Row],[Tech Start Date]],19),IF(Main[[#This Row],[Class]]="B", WORKDAY(Main[[#This Row],[Tech Start Date]],12),IF(Main[[#This Row],[Class]]="A",WORKDAY(Main[[#This Row],[Tech Start Date]],4),""))))</f>
        <v/>
      </c>
      <c r="O277" s="169" t="str">
        <f>IF(Main[[#This Row],[Tech Start Date]]&lt;1/1/1990,"",IF(Main[[#This Row],[Class]]="C",WORKDAY(Main[[#This Row],[Tech Start Date]],23),IF(Main[[#This Row],[Class]]="B", WORKDAY(Main[[#This Row],[Tech Start Date]],15),IF(Main[[#This Row],[Class]]="A",WORKDAY(Main[[#This Row],[Tech Start Date]],5),""))))</f>
        <v/>
      </c>
      <c r="P277" s="169" t="str">
        <f>IF(Main[[#This Row],[Tech Start Date]]&lt;1/1/1990,"",IF(Main[[#This Row],[Class]]="C",WORKDAY(Main[[#This Row],[Tech Start Date]],28),IF(Main[[#This Row],[Class]]="B", WORKDAY(Main[[#This Row],[Tech Start Date]],19),IF(Main[[#This Row],[Class]]="A",WORKDAY(Main[[#This Row],[Tech Start Date]],9),""))))</f>
        <v/>
      </c>
      <c r="Q277" s="162">
        <v>40385</v>
      </c>
      <c r="R277" s="162"/>
      <c r="S277" s="159" t="s">
        <v>6</v>
      </c>
      <c r="T277" s="173" t="s">
        <v>4</v>
      </c>
      <c r="U277" s="159" t="s">
        <v>7</v>
      </c>
      <c r="V277" s="159" t="s">
        <v>1932</v>
      </c>
      <c r="W277" s="159" t="s">
        <v>1934</v>
      </c>
      <c r="X277" s="159" t="s">
        <v>102</v>
      </c>
      <c r="Y277" s="159" t="s">
        <v>3088</v>
      </c>
      <c r="Z277" s="159" t="s">
        <v>4</v>
      </c>
      <c r="AA277" s="154" t="s">
        <v>3584</v>
      </c>
    </row>
    <row r="278" spans="1:27" ht="18.600000000000001" customHeight="1">
      <c r="A278" s="140" t="str">
        <f>IF(priority(Main[[#This Row],[Comments]])&lt;&gt;0, priority(Main[[#This Row],[Comments]]),"")</f>
        <v/>
      </c>
      <c r="B278" s="90" t="s">
        <v>1153</v>
      </c>
      <c r="C278" s="72" t="s">
        <v>53</v>
      </c>
      <c r="D278" s="73" t="s">
        <v>196</v>
      </c>
      <c r="E278" s="74"/>
      <c r="F278" s="74"/>
      <c r="G278" s="75" t="str">
        <f>IF(stdProdLT(Main[[#This Row],[Comments]])=0.1,"N/A",IF(stdProdLT(Main[[#This Row],[Comments]])=0,"",stdProdLT(Main[[#This Row],[Comments]])))</f>
        <v/>
      </c>
      <c r="H278" s="76" t="str">
        <f>IF(AND(Main[[#This Row],[In Stock Date]]&lt;&gt;"",Main[[#This Row],[Revised Due Date]]&lt;&gt;""),Main[[#This Row],[In Stock Date]]-Main[[#This Row],[Revised Due Date]],"")</f>
        <v/>
      </c>
      <c r="I278" s="72" t="s">
        <v>4</v>
      </c>
      <c r="J278" s="72" t="s">
        <v>28</v>
      </c>
      <c r="K278" s="72" t="s">
        <v>1939</v>
      </c>
      <c r="L278" s="74"/>
      <c r="M278" s="77" t="str">
        <f>IF(Main[[#This Row],[Tech Start Date]]&lt;1/1/1990,"",IF(Main[[#This Row],[Class]]="C",WORKDAY(Main[[#This Row],[Tech Start Date]],9),IF(Main[[#This Row],[Class]]="B", WORKDAY(Main[[#This Row],[Tech Start Date]],6),IF(Main[[#This Row],[Class]]="A",WORKDAY(Main[[#This Row],[Tech Start Date]],2),""))))</f>
        <v/>
      </c>
      <c r="N278" s="77" t="str">
        <f>IF(Main[[#This Row],[Tech Start Date]]&lt;1/1/1990,"",IF(Main[[#This Row],[Class]]="C",WORKDAY(Main[[#This Row],[Tech Start Date]],19),IF(Main[[#This Row],[Class]]="B", WORKDAY(Main[[#This Row],[Tech Start Date]],12),IF(Main[[#This Row],[Class]]="A",WORKDAY(Main[[#This Row],[Tech Start Date]],4),""))))</f>
        <v/>
      </c>
      <c r="O278" s="77" t="str">
        <f>IF(Main[[#This Row],[Tech Start Date]]&lt;1/1/1990,"",IF(Main[[#This Row],[Class]]="C",WORKDAY(Main[[#This Row],[Tech Start Date]],23),IF(Main[[#This Row],[Class]]="B", WORKDAY(Main[[#This Row],[Tech Start Date]],15),IF(Main[[#This Row],[Class]]="A",WORKDAY(Main[[#This Row],[Tech Start Date]],5),""))))</f>
        <v/>
      </c>
      <c r="P278" s="77" t="str">
        <f>IF(Main[[#This Row],[Tech Start Date]]&lt;1/1/1990,"",IF(Main[[#This Row],[Class]]="C",WORKDAY(Main[[#This Row],[Tech Start Date]],28),IF(Main[[#This Row],[Class]]="B", WORKDAY(Main[[#This Row],[Tech Start Date]],19),IF(Main[[#This Row],[Class]]="A",WORKDAY(Main[[#This Row],[Tech Start Date]],9),""))))</f>
        <v/>
      </c>
      <c r="Q278" s="74">
        <v>40581</v>
      </c>
      <c r="R278" s="74"/>
      <c r="S278" s="72" t="s">
        <v>11</v>
      </c>
      <c r="T278" s="80" t="s">
        <v>4</v>
      </c>
      <c r="U278" s="72" t="s">
        <v>14</v>
      </c>
      <c r="V278" s="72" t="s">
        <v>1933</v>
      </c>
      <c r="W278" s="72" t="s">
        <v>1934</v>
      </c>
      <c r="X278" s="72" t="s">
        <v>2899</v>
      </c>
      <c r="Y278" s="72" t="s">
        <v>3014</v>
      </c>
      <c r="Z278" s="72" t="s">
        <v>3249</v>
      </c>
      <c r="AA278" s="147" t="s">
        <v>2899</v>
      </c>
    </row>
    <row r="279" spans="1:27" ht="18.600000000000001" customHeight="1">
      <c r="A279" s="157" t="str">
        <f>IF(priority(Main[[#This Row],[Comments]])&lt;&gt;0, priority(Main[[#This Row],[Comments]]),"")</f>
        <v/>
      </c>
      <c r="B279" s="158" t="s">
        <v>1860</v>
      </c>
      <c r="C279" s="159" t="s">
        <v>4</v>
      </c>
      <c r="D279" s="160" t="s">
        <v>910</v>
      </c>
      <c r="E279" s="162"/>
      <c r="F279" s="162"/>
      <c r="G279" s="164" t="str">
        <f>IF(stdProdLT(Main[[#This Row],[Comments]])=0.1,"N/A",IF(stdProdLT(Main[[#This Row],[Comments]])=0,"",stdProdLT(Main[[#This Row],[Comments]])))</f>
        <v/>
      </c>
      <c r="H279" s="166" t="str">
        <f>IF(AND(Main[[#This Row],[In Stock Date]]&lt;&gt;"",Main[[#This Row],[Revised Due Date]]&lt;&gt;""),Main[[#This Row],[In Stock Date]]-Main[[#This Row],[Revised Due Date]],"")</f>
        <v/>
      </c>
      <c r="I279" s="159" t="s">
        <v>102</v>
      </c>
      <c r="J279" s="159" t="s">
        <v>52</v>
      </c>
      <c r="K279" s="159" t="s">
        <v>1941</v>
      </c>
      <c r="L279" s="162"/>
      <c r="M279" s="169" t="str">
        <f>IF(Main[[#This Row],[Tech Start Date]]&lt;1/1/1990,"",IF(Main[[#This Row],[Class]]="C",WORKDAY(Main[[#This Row],[Tech Start Date]],9),IF(Main[[#This Row],[Class]]="B", WORKDAY(Main[[#This Row],[Tech Start Date]],6),IF(Main[[#This Row],[Class]]="A",WORKDAY(Main[[#This Row],[Tech Start Date]],2),""))))</f>
        <v/>
      </c>
      <c r="N279" s="169" t="str">
        <f>IF(Main[[#This Row],[Tech Start Date]]&lt;1/1/1990,"",IF(Main[[#This Row],[Class]]="C",WORKDAY(Main[[#This Row],[Tech Start Date]],19),IF(Main[[#This Row],[Class]]="B", WORKDAY(Main[[#This Row],[Tech Start Date]],12),IF(Main[[#This Row],[Class]]="A",WORKDAY(Main[[#This Row],[Tech Start Date]],4),""))))</f>
        <v/>
      </c>
      <c r="O279" s="169" t="str">
        <f>IF(Main[[#This Row],[Tech Start Date]]&lt;1/1/1990,"",IF(Main[[#This Row],[Class]]="C",WORKDAY(Main[[#This Row],[Tech Start Date]],23),IF(Main[[#This Row],[Class]]="B", WORKDAY(Main[[#This Row],[Tech Start Date]],15),IF(Main[[#This Row],[Class]]="A",WORKDAY(Main[[#This Row],[Tech Start Date]],5),""))))</f>
        <v/>
      </c>
      <c r="P279" s="169" t="str">
        <f>IF(Main[[#This Row],[Tech Start Date]]&lt;1/1/1990,"",IF(Main[[#This Row],[Class]]="C",WORKDAY(Main[[#This Row],[Tech Start Date]],28),IF(Main[[#This Row],[Class]]="B", WORKDAY(Main[[#This Row],[Tech Start Date]],19),IF(Main[[#This Row],[Class]]="A",WORKDAY(Main[[#This Row],[Tech Start Date]],9),""))))</f>
        <v/>
      </c>
      <c r="Q279" s="162"/>
      <c r="R279" s="162">
        <v>40494</v>
      </c>
      <c r="S279" s="159" t="s">
        <v>6</v>
      </c>
      <c r="T279" s="173" t="s">
        <v>4</v>
      </c>
      <c r="U279" s="159" t="s">
        <v>14</v>
      </c>
      <c r="V279" s="159" t="s">
        <v>1932</v>
      </c>
      <c r="W279" s="159" t="s">
        <v>1946</v>
      </c>
      <c r="X279" s="159" t="s">
        <v>2074</v>
      </c>
      <c r="Y279" s="159" t="s">
        <v>3089</v>
      </c>
      <c r="Z279" s="159" t="s">
        <v>3250</v>
      </c>
      <c r="AA279" s="154" t="s">
        <v>2074</v>
      </c>
    </row>
    <row r="280" spans="1:27" ht="18.600000000000001" customHeight="1">
      <c r="A280" s="140" t="str">
        <f>IF(priority(Main[[#This Row],[Comments]])&lt;&gt;0, priority(Main[[#This Row],[Comments]]),"")</f>
        <v/>
      </c>
      <c r="B280" s="90" t="s">
        <v>1172</v>
      </c>
      <c r="C280" s="72" t="s">
        <v>4</v>
      </c>
      <c r="D280" s="73" t="s">
        <v>2379</v>
      </c>
      <c r="E280" s="74">
        <v>40436.507916666669</v>
      </c>
      <c r="F280" s="74"/>
      <c r="G280" s="75" t="str">
        <f>IF(stdProdLT(Main[[#This Row],[Comments]])=0.1,"N/A",IF(stdProdLT(Main[[#This Row],[Comments]])=0,"",stdProdLT(Main[[#This Row],[Comments]])))</f>
        <v/>
      </c>
      <c r="H280" s="76" t="str">
        <f>IF(AND(Main[[#This Row],[In Stock Date]]&lt;&gt;"",Main[[#This Row],[Revised Due Date]]&lt;&gt;""),Main[[#This Row],[In Stock Date]]-Main[[#This Row],[Revised Due Date]],"")</f>
        <v/>
      </c>
      <c r="I280" s="72" t="s">
        <v>923</v>
      </c>
      <c r="J280" s="72" t="s">
        <v>52</v>
      </c>
      <c r="K280" s="72" t="s">
        <v>4</v>
      </c>
      <c r="L280" s="74"/>
      <c r="M280" s="77" t="str">
        <f>IF(Main[[#This Row],[Tech Start Date]]&lt;1/1/1990,"",IF(Main[[#This Row],[Class]]="C",WORKDAY(Main[[#This Row],[Tech Start Date]],9),IF(Main[[#This Row],[Class]]="B", WORKDAY(Main[[#This Row],[Tech Start Date]],6),IF(Main[[#This Row],[Class]]="A",WORKDAY(Main[[#This Row],[Tech Start Date]],2),""))))</f>
        <v/>
      </c>
      <c r="N280" s="77" t="str">
        <f>IF(Main[[#This Row],[Tech Start Date]]&lt;1/1/1990,"",IF(Main[[#This Row],[Class]]="C",WORKDAY(Main[[#This Row],[Tech Start Date]],19),IF(Main[[#This Row],[Class]]="B", WORKDAY(Main[[#This Row],[Tech Start Date]],12),IF(Main[[#This Row],[Class]]="A",WORKDAY(Main[[#This Row],[Tech Start Date]],4),""))))</f>
        <v/>
      </c>
      <c r="O280" s="77" t="str">
        <f>IF(Main[[#This Row],[Tech Start Date]]&lt;1/1/1990,"",IF(Main[[#This Row],[Class]]="C",WORKDAY(Main[[#This Row],[Tech Start Date]],23),IF(Main[[#This Row],[Class]]="B", WORKDAY(Main[[#This Row],[Tech Start Date]],15),IF(Main[[#This Row],[Class]]="A",WORKDAY(Main[[#This Row],[Tech Start Date]],5),""))))</f>
        <v/>
      </c>
      <c r="P280" s="77" t="str">
        <f>IF(Main[[#This Row],[Tech Start Date]]&lt;1/1/1990,"",IF(Main[[#This Row],[Class]]="C",WORKDAY(Main[[#This Row],[Tech Start Date]],28),IF(Main[[#This Row],[Class]]="B", WORKDAY(Main[[#This Row],[Tech Start Date]],19),IF(Main[[#This Row],[Class]]="A",WORKDAY(Main[[#This Row],[Tech Start Date]],9),""))))</f>
        <v/>
      </c>
      <c r="Q280" s="74">
        <v>40451</v>
      </c>
      <c r="R280" s="74"/>
      <c r="S280" s="72" t="s">
        <v>6</v>
      </c>
      <c r="T280" s="80" t="s">
        <v>4</v>
      </c>
      <c r="U280" s="72" t="s">
        <v>29</v>
      </c>
      <c r="V280" s="72" t="s">
        <v>1932</v>
      </c>
      <c r="W280" s="72" t="s">
        <v>1934</v>
      </c>
      <c r="X280" s="72" t="s">
        <v>2951</v>
      </c>
      <c r="Y280" s="72" t="s">
        <v>3090</v>
      </c>
      <c r="Z280" s="72" t="s">
        <v>535</v>
      </c>
      <c r="AA280" s="147" t="s">
        <v>2951</v>
      </c>
    </row>
    <row r="281" spans="1:27" ht="18.600000000000001" customHeight="1">
      <c r="A281" s="140" t="str">
        <f>IF(priority(Main[[#This Row],[Comments]])&lt;&gt;0, priority(Main[[#This Row],[Comments]]),"")</f>
        <v/>
      </c>
      <c r="B281" s="90" t="s">
        <v>1319</v>
      </c>
      <c r="C281" s="72" t="s">
        <v>47</v>
      </c>
      <c r="D281" s="73" t="s">
        <v>2033</v>
      </c>
      <c r="E281" s="74">
        <v>39952.315729166665</v>
      </c>
      <c r="F281" s="74"/>
      <c r="G281" s="75" t="str">
        <f>IF(stdProdLT(Main[[#This Row],[Comments]])=0.1,"N/A",IF(stdProdLT(Main[[#This Row],[Comments]])=0,"",stdProdLT(Main[[#This Row],[Comments]])))</f>
        <v/>
      </c>
      <c r="H281" s="76" t="str">
        <f>IF(AND(Main[[#This Row],[In Stock Date]]&lt;&gt;"",Main[[#This Row],[Revised Due Date]]&lt;&gt;""),Main[[#This Row],[In Stock Date]]-Main[[#This Row],[Revised Due Date]],"")</f>
        <v/>
      </c>
      <c r="I281" s="72" t="s">
        <v>2034</v>
      </c>
      <c r="J281" s="72" t="s">
        <v>28</v>
      </c>
      <c r="K281" s="72" t="s">
        <v>4</v>
      </c>
      <c r="L281" s="74"/>
      <c r="M281" s="77" t="str">
        <f>IF(Main[[#This Row],[Tech Start Date]]&lt;1/1/1990,"",IF(Main[[#This Row],[Class]]="C",WORKDAY(Main[[#This Row],[Tech Start Date]],9),IF(Main[[#This Row],[Class]]="B", WORKDAY(Main[[#This Row],[Tech Start Date]],6),IF(Main[[#This Row],[Class]]="A",WORKDAY(Main[[#This Row],[Tech Start Date]],2),""))))</f>
        <v/>
      </c>
      <c r="N281" s="77" t="str">
        <f>IF(Main[[#This Row],[Tech Start Date]]&lt;1/1/1990,"",IF(Main[[#This Row],[Class]]="C",WORKDAY(Main[[#This Row],[Tech Start Date]],19),IF(Main[[#This Row],[Class]]="B", WORKDAY(Main[[#This Row],[Tech Start Date]],12),IF(Main[[#This Row],[Class]]="A",WORKDAY(Main[[#This Row],[Tech Start Date]],4),""))))</f>
        <v/>
      </c>
      <c r="O281" s="77" t="str">
        <f>IF(Main[[#This Row],[Tech Start Date]]&lt;1/1/1990,"",IF(Main[[#This Row],[Class]]="C",WORKDAY(Main[[#This Row],[Tech Start Date]],23),IF(Main[[#This Row],[Class]]="B", WORKDAY(Main[[#This Row],[Tech Start Date]],15),IF(Main[[#This Row],[Class]]="A",WORKDAY(Main[[#This Row],[Tech Start Date]],5),""))))</f>
        <v/>
      </c>
      <c r="P281" s="77" t="str">
        <f>IF(Main[[#This Row],[Tech Start Date]]&lt;1/1/1990,"",IF(Main[[#This Row],[Class]]="C",WORKDAY(Main[[#This Row],[Tech Start Date]],28),IF(Main[[#This Row],[Class]]="B", WORKDAY(Main[[#This Row],[Tech Start Date]],19),IF(Main[[#This Row],[Class]]="A",WORKDAY(Main[[#This Row],[Tech Start Date]],9),""))))</f>
        <v/>
      </c>
      <c r="Q281" s="74"/>
      <c r="R281" s="74"/>
      <c r="S281" s="72" t="s">
        <v>17</v>
      </c>
      <c r="T281" s="80" t="s">
        <v>4</v>
      </c>
      <c r="U281" s="72" t="s">
        <v>7</v>
      </c>
      <c r="V281" s="72" t="s">
        <v>1947</v>
      </c>
      <c r="W281" s="72" t="s">
        <v>1937</v>
      </c>
      <c r="X281" s="72" t="s">
        <v>2943</v>
      </c>
      <c r="Y281" s="72" t="s">
        <v>3035</v>
      </c>
      <c r="Z281" s="72" t="s">
        <v>2237</v>
      </c>
      <c r="AA281" s="147" t="s">
        <v>2943</v>
      </c>
    </row>
    <row r="282" spans="1:27" ht="18.600000000000001" customHeight="1">
      <c r="A282" s="140" t="str">
        <f>IF(priority(Main[[#This Row],[Comments]])&lt;&gt;0, priority(Main[[#This Row],[Comments]]),"")</f>
        <v/>
      </c>
      <c r="B282" s="90" t="s">
        <v>1167</v>
      </c>
      <c r="C282" s="72" t="s">
        <v>4</v>
      </c>
      <c r="D282" s="73" t="s">
        <v>212</v>
      </c>
      <c r="E282" s="74"/>
      <c r="F282" s="74"/>
      <c r="G282" s="75" t="str">
        <f>IF(stdProdLT(Main[[#This Row],[Comments]])=0.1,"N/A",IF(stdProdLT(Main[[#This Row],[Comments]])=0,"",stdProdLT(Main[[#This Row],[Comments]])))</f>
        <v/>
      </c>
      <c r="H282" s="76" t="str">
        <f>IF(AND(Main[[#This Row],[In Stock Date]]&lt;&gt;"",Main[[#This Row],[Revised Due Date]]&lt;&gt;""),Main[[#This Row],[In Stock Date]]-Main[[#This Row],[Revised Due Date]],"")</f>
        <v/>
      </c>
      <c r="I282" s="72" t="s">
        <v>4</v>
      </c>
      <c r="J282" s="72" t="s">
        <v>4</v>
      </c>
      <c r="K282" s="72" t="s">
        <v>4</v>
      </c>
      <c r="L282" s="74"/>
      <c r="M282" s="77" t="str">
        <f>IF(Main[[#This Row],[Tech Start Date]]&lt;1/1/1990,"",IF(Main[[#This Row],[Class]]="C",WORKDAY(Main[[#This Row],[Tech Start Date]],9),IF(Main[[#This Row],[Class]]="B", WORKDAY(Main[[#This Row],[Tech Start Date]],6),IF(Main[[#This Row],[Class]]="A",WORKDAY(Main[[#This Row],[Tech Start Date]],2),""))))</f>
        <v/>
      </c>
      <c r="N282" s="77" t="str">
        <f>IF(Main[[#This Row],[Tech Start Date]]&lt;1/1/1990,"",IF(Main[[#This Row],[Class]]="C",WORKDAY(Main[[#This Row],[Tech Start Date]],19),IF(Main[[#This Row],[Class]]="B", WORKDAY(Main[[#This Row],[Tech Start Date]],12),IF(Main[[#This Row],[Class]]="A",WORKDAY(Main[[#This Row],[Tech Start Date]],4),""))))</f>
        <v/>
      </c>
      <c r="O282" s="77" t="str">
        <f>IF(Main[[#This Row],[Tech Start Date]]&lt;1/1/1990,"",IF(Main[[#This Row],[Class]]="C",WORKDAY(Main[[#This Row],[Tech Start Date]],23),IF(Main[[#This Row],[Class]]="B", WORKDAY(Main[[#This Row],[Tech Start Date]],15),IF(Main[[#This Row],[Class]]="A",WORKDAY(Main[[#This Row],[Tech Start Date]],5),""))))</f>
        <v/>
      </c>
      <c r="P282" s="77" t="str">
        <f>IF(Main[[#This Row],[Tech Start Date]]&lt;1/1/1990,"",IF(Main[[#This Row],[Class]]="C",WORKDAY(Main[[#This Row],[Tech Start Date]],28),IF(Main[[#This Row],[Class]]="B", WORKDAY(Main[[#This Row],[Tech Start Date]],19),IF(Main[[#This Row],[Class]]="A",WORKDAY(Main[[#This Row],[Tech Start Date]],9),""))))</f>
        <v/>
      </c>
      <c r="Q282" s="74"/>
      <c r="R282" s="74"/>
      <c r="S282" s="72" t="s">
        <v>23</v>
      </c>
      <c r="T282" s="80" t="s">
        <v>4</v>
      </c>
      <c r="U282" s="72" t="s">
        <v>14</v>
      </c>
      <c r="V282" s="72" t="s">
        <v>1935</v>
      </c>
      <c r="W282" s="72" t="s">
        <v>1936</v>
      </c>
      <c r="X282" s="72" t="s">
        <v>310</v>
      </c>
      <c r="Y282" s="72" t="s">
        <v>4</v>
      </c>
      <c r="Z282" s="72" t="s">
        <v>4</v>
      </c>
      <c r="AA282" s="147" t="s">
        <v>3571</v>
      </c>
    </row>
    <row r="283" spans="1:27" ht="18.600000000000001" customHeight="1">
      <c r="A283" s="140" t="str">
        <f>IF(priority(Main[[#This Row],[Comments]])&lt;&gt;0, priority(Main[[#This Row],[Comments]]),"")</f>
        <v/>
      </c>
      <c r="B283" s="90" t="s">
        <v>1168</v>
      </c>
      <c r="C283" s="72" t="s">
        <v>4</v>
      </c>
      <c r="D283" s="73" t="s">
        <v>213</v>
      </c>
      <c r="E283" s="74"/>
      <c r="F283" s="74"/>
      <c r="G283" s="75" t="str">
        <f>IF(stdProdLT(Main[[#This Row],[Comments]])=0.1,"N/A",IF(stdProdLT(Main[[#This Row],[Comments]])=0,"",stdProdLT(Main[[#This Row],[Comments]])))</f>
        <v/>
      </c>
      <c r="H283" s="76" t="str">
        <f>IF(AND(Main[[#This Row],[In Stock Date]]&lt;&gt;"",Main[[#This Row],[Revised Due Date]]&lt;&gt;""),Main[[#This Row],[In Stock Date]]-Main[[#This Row],[Revised Due Date]],"")</f>
        <v/>
      </c>
      <c r="I283" s="72" t="s">
        <v>4</v>
      </c>
      <c r="J283" s="72" t="s">
        <v>4</v>
      </c>
      <c r="K283" s="72" t="s">
        <v>4</v>
      </c>
      <c r="L283" s="74"/>
      <c r="M283" s="77" t="str">
        <f>IF(Main[[#This Row],[Tech Start Date]]&lt;1/1/1990,"",IF(Main[[#This Row],[Class]]="C",WORKDAY(Main[[#This Row],[Tech Start Date]],9),IF(Main[[#This Row],[Class]]="B", WORKDAY(Main[[#This Row],[Tech Start Date]],6),IF(Main[[#This Row],[Class]]="A",WORKDAY(Main[[#This Row],[Tech Start Date]],2),""))))</f>
        <v/>
      </c>
      <c r="N283" s="77" t="str">
        <f>IF(Main[[#This Row],[Tech Start Date]]&lt;1/1/1990,"",IF(Main[[#This Row],[Class]]="C",WORKDAY(Main[[#This Row],[Tech Start Date]],19),IF(Main[[#This Row],[Class]]="B", WORKDAY(Main[[#This Row],[Tech Start Date]],12),IF(Main[[#This Row],[Class]]="A",WORKDAY(Main[[#This Row],[Tech Start Date]],4),""))))</f>
        <v/>
      </c>
      <c r="O283" s="77" t="str">
        <f>IF(Main[[#This Row],[Tech Start Date]]&lt;1/1/1990,"",IF(Main[[#This Row],[Class]]="C",WORKDAY(Main[[#This Row],[Tech Start Date]],23),IF(Main[[#This Row],[Class]]="B", WORKDAY(Main[[#This Row],[Tech Start Date]],15),IF(Main[[#This Row],[Class]]="A",WORKDAY(Main[[#This Row],[Tech Start Date]],5),""))))</f>
        <v/>
      </c>
      <c r="P283" s="77" t="str">
        <f>IF(Main[[#This Row],[Tech Start Date]]&lt;1/1/1990,"",IF(Main[[#This Row],[Class]]="C",WORKDAY(Main[[#This Row],[Tech Start Date]],28),IF(Main[[#This Row],[Class]]="B", WORKDAY(Main[[#This Row],[Tech Start Date]],19),IF(Main[[#This Row],[Class]]="A",WORKDAY(Main[[#This Row],[Tech Start Date]],9),""))))</f>
        <v/>
      </c>
      <c r="Q283" s="74"/>
      <c r="R283" s="74"/>
      <c r="S283" s="72" t="s">
        <v>23</v>
      </c>
      <c r="T283" s="80" t="s">
        <v>4</v>
      </c>
      <c r="U283" s="72" t="s">
        <v>14</v>
      </c>
      <c r="V283" s="72" t="s">
        <v>1935</v>
      </c>
      <c r="W283" s="72" t="s">
        <v>1936</v>
      </c>
      <c r="X283" s="72" t="s">
        <v>403</v>
      </c>
      <c r="Y283" s="72" t="s">
        <v>4</v>
      </c>
      <c r="Z283" s="72" t="s">
        <v>4</v>
      </c>
      <c r="AA283" s="147" t="s">
        <v>3585</v>
      </c>
    </row>
    <row r="284" spans="1:27" ht="18.600000000000001" customHeight="1">
      <c r="A284" s="157" t="str">
        <f>IF(priority(Main[[#This Row],[Comments]])&lt;&gt;0, priority(Main[[#This Row],[Comments]]),"")</f>
        <v/>
      </c>
      <c r="B284" s="158" t="s">
        <v>3687</v>
      </c>
      <c r="C284" s="159" t="s">
        <v>3685</v>
      </c>
      <c r="D284" s="160" t="s">
        <v>3731</v>
      </c>
      <c r="E284" s="162">
        <v>40941.593877314815</v>
      </c>
      <c r="F284" s="162"/>
      <c r="G284" s="164" t="str">
        <f>IF(stdProdLT(Main[[#This Row],[Comments]])=0.1,"N/A",IF(stdProdLT(Main[[#This Row],[Comments]])=0,"",stdProdLT(Main[[#This Row],[Comments]])))</f>
        <v/>
      </c>
      <c r="H284" s="166" t="str">
        <f>IF(AND(Main[[#This Row],[In Stock Date]]&lt;&gt;"",Main[[#This Row],[Revised Due Date]]&lt;&gt;""),Main[[#This Row],[In Stock Date]]-Main[[#This Row],[Revised Due Date]],"")</f>
        <v/>
      </c>
      <c r="I284" s="159" t="s">
        <v>2234</v>
      </c>
      <c r="J284" s="159" t="s">
        <v>75</v>
      </c>
      <c r="K284" s="159" t="s">
        <v>1939</v>
      </c>
      <c r="L284" s="162"/>
      <c r="M284" s="169" t="str">
        <f>IF(Main[[#This Row],[Tech Start Date]]&lt;1/1/1990,"",IF(Main[[#This Row],[Class]]="C",WORKDAY(Main[[#This Row],[Tech Start Date]],9),IF(Main[[#This Row],[Class]]="B", WORKDAY(Main[[#This Row],[Tech Start Date]],6),IF(Main[[#This Row],[Class]]="A",WORKDAY(Main[[#This Row],[Tech Start Date]],2),""))))</f>
        <v/>
      </c>
      <c r="N284" s="169" t="str">
        <f>IF(Main[[#This Row],[Tech Start Date]]&lt;1/1/1990,"",IF(Main[[#This Row],[Class]]="C",WORKDAY(Main[[#This Row],[Tech Start Date]],19),IF(Main[[#This Row],[Class]]="B", WORKDAY(Main[[#This Row],[Tech Start Date]],12),IF(Main[[#This Row],[Class]]="A",WORKDAY(Main[[#This Row],[Tech Start Date]],4),""))))</f>
        <v/>
      </c>
      <c r="O284" s="169" t="str">
        <f>IF(Main[[#This Row],[Tech Start Date]]&lt;1/1/1990,"",IF(Main[[#This Row],[Class]]="C",WORKDAY(Main[[#This Row],[Tech Start Date]],23),IF(Main[[#This Row],[Class]]="B", WORKDAY(Main[[#This Row],[Tech Start Date]],15),IF(Main[[#This Row],[Class]]="A",WORKDAY(Main[[#This Row],[Tech Start Date]],5),""))))</f>
        <v/>
      </c>
      <c r="P284" s="169" t="str">
        <f>IF(Main[[#This Row],[Tech Start Date]]&lt;1/1/1990,"",IF(Main[[#This Row],[Class]]="C",WORKDAY(Main[[#This Row],[Tech Start Date]],28),IF(Main[[#This Row],[Class]]="B", WORKDAY(Main[[#This Row],[Tech Start Date]],19),IF(Main[[#This Row],[Class]]="A",WORKDAY(Main[[#This Row],[Tech Start Date]],9),""))))</f>
        <v/>
      </c>
      <c r="Q284" s="162"/>
      <c r="R284" s="162"/>
      <c r="S284" s="159" t="s">
        <v>11</v>
      </c>
      <c r="T284" s="173" t="s">
        <v>4</v>
      </c>
      <c r="U284" s="159" t="s">
        <v>29</v>
      </c>
      <c r="V284" s="159" t="s">
        <v>1932</v>
      </c>
      <c r="W284" s="159" t="s">
        <v>1938</v>
      </c>
      <c r="X284" s="159" t="s">
        <v>3660</v>
      </c>
      <c r="Y284" s="159" t="s">
        <v>3686</v>
      </c>
      <c r="Z284" s="159" t="s">
        <v>310</v>
      </c>
      <c r="AA284" s="154" t="s">
        <v>3660</v>
      </c>
    </row>
    <row r="285" spans="1:27" ht="18.600000000000001" customHeight="1">
      <c r="A285" s="140" t="str">
        <f>IF(priority(Main[[#This Row],[Comments]])&lt;&gt;0, priority(Main[[#This Row],[Comments]]),"")</f>
        <v/>
      </c>
      <c r="B285" s="90" t="s">
        <v>1232</v>
      </c>
      <c r="C285" s="72" t="s">
        <v>281</v>
      </c>
      <c r="D285" s="73" t="s">
        <v>282</v>
      </c>
      <c r="E285" s="74"/>
      <c r="F285" s="74">
        <v>40680</v>
      </c>
      <c r="G285" s="75" t="str">
        <f>IF(stdProdLT(Main[[#This Row],[Comments]])=0.1,"N/A",IF(stdProdLT(Main[[#This Row],[Comments]])=0,"",stdProdLT(Main[[#This Row],[Comments]])))</f>
        <v/>
      </c>
      <c r="H285" s="76" t="str">
        <f>IF(AND(Main[[#This Row],[In Stock Date]]&lt;&gt;"",Main[[#This Row],[Revised Due Date]]&lt;&gt;""),Main[[#This Row],[In Stock Date]]-Main[[#This Row],[Revised Due Date]],"")</f>
        <v/>
      </c>
      <c r="I285" s="72" t="s">
        <v>4</v>
      </c>
      <c r="J285" s="72" t="s">
        <v>28</v>
      </c>
      <c r="K285" s="81" t="s">
        <v>4</v>
      </c>
      <c r="L285" s="74"/>
      <c r="M285" s="77" t="str">
        <f>IF(Main[[#This Row],[Tech Start Date]]&lt;1/1/1990,"",IF(Main[[#This Row],[Class]]="C",WORKDAY(Main[[#This Row],[Tech Start Date]],9),IF(Main[[#This Row],[Class]]="B", WORKDAY(Main[[#This Row],[Tech Start Date]],6),IF(Main[[#This Row],[Class]]="A",WORKDAY(Main[[#This Row],[Tech Start Date]],2),""))))</f>
        <v/>
      </c>
      <c r="N285" s="77" t="str">
        <f>IF(Main[[#This Row],[Tech Start Date]]&lt;1/1/1990,"",IF(Main[[#This Row],[Class]]="C",WORKDAY(Main[[#This Row],[Tech Start Date]],19),IF(Main[[#This Row],[Class]]="B", WORKDAY(Main[[#This Row],[Tech Start Date]],12),IF(Main[[#This Row],[Class]]="A",WORKDAY(Main[[#This Row],[Tech Start Date]],4),""))))</f>
        <v/>
      </c>
      <c r="O285" s="77" t="str">
        <f>IF(Main[[#This Row],[Tech Start Date]]&lt;1/1/1990,"",IF(Main[[#This Row],[Class]]="C",WORKDAY(Main[[#This Row],[Tech Start Date]],23),IF(Main[[#This Row],[Class]]="B", WORKDAY(Main[[#This Row],[Tech Start Date]],15),IF(Main[[#This Row],[Class]]="A",WORKDAY(Main[[#This Row],[Tech Start Date]],5),""))))</f>
        <v/>
      </c>
      <c r="P285" s="77" t="str">
        <f>IF(Main[[#This Row],[Tech Start Date]]&lt;1/1/1990,"",IF(Main[[#This Row],[Class]]="C",WORKDAY(Main[[#This Row],[Tech Start Date]],28),IF(Main[[#This Row],[Class]]="B", WORKDAY(Main[[#This Row],[Tech Start Date]],19),IF(Main[[#This Row],[Class]]="A",WORKDAY(Main[[#This Row],[Tech Start Date]],9),""))))</f>
        <v/>
      </c>
      <c r="Q285" s="74">
        <v>40540</v>
      </c>
      <c r="R285" s="74"/>
      <c r="S285" s="72" t="s">
        <v>11</v>
      </c>
      <c r="T285" s="80" t="s">
        <v>4</v>
      </c>
      <c r="U285" s="72" t="s">
        <v>14</v>
      </c>
      <c r="V285" s="72" t="s">
        <v>1933</v>
      </c>
      <c r="W285" s="72" t="s">
        <v>1937</v>
      </c>
      <c r="X285" s="72" t="s">
        <v>2944</v>
      </c>
      <c r="Y285" s="72" t="s">
        <v>3091</v>
      </c>
      <c r="Z285" s="72" t="s">
        <v>4</v>
      </c>
      <c r="AA285" s="147" t="s">
        <v>2944</v>
      </c>
    </row>
    <row r="286" spans="1:27" ht="18.600000000000001" customHeight="1">
      <c r="A286" s="140" t="str">
        <f>IF(priority(Main[[#This Row],[Comments]])&lt;&gt;0, priority(Main[[#This Row],[Comments]]),"")</f>
        <v/>
      </c>
      <c r="B286" s="90" t="s">
        <v>2206</v>
      </c>
      <c r="C286" s="72" t="s">
        <v>4</v>
      </c>
      <c r="D286" s="73" t="s">
        <v>2207</v>
      </c>
      <c r="E286" s="74"/>
      <c r="F286" s="74"/>
      <c r="G286" s="75" t="str">
        <f>IF(stdProdLT(Main[[#This Row],[Comments]])=0.1,"N/A",IF(stdProdLT(Main[[#This Row],[Comments]])=0,"",stdProdLT(Main[[#This Row],[Comments]])))</f>
        <v/>
      </c>
      <c r="H286" s="76" t="str">
        <f>IF(AND(Main[[#This Row],[In Stock Date]]&lt;&gt;"",Main[[#This Row],[Revised Due Date]]&lt;&gt;""),Main[[#This Row],[In Stock Date]]-Main[[#This Row],[Revised Due Date]],"")</f>
        <v/>
      </c>
      <c r="I286" s="72" t="s">
        <v>4</v>
      </c>
      <c r="J286" s="72" t="s">
        <v>4</v>
      </c>
      <c r="K286" s="72" t="s">
        <v>4</v>
      </c>
      <c r="L286" s="74"/>
      <c r="M286" s="77" t="str">
        <f>IF(Main[[#This Row],[Tech Start Date]]&lt;1/1/1990,"",IF(Main[[#This Row],[Class]]="C",WORKDAY(Main[[#This Row],[Tech Start Date]],9),IF(Main[[#This Row],[Class]]="B", WORKDAY(Main[[#This Row],[Tech Start Date]],6),IF(Main[[#This Row],[Class]]="A",WORKDAY(Main[[#This Row],[Tech Start Date]],2),""))))</f>
        <v/>
      </c>
      <c r="N286" s="77" t="str">
        <f>IF(Main[[#This Row],[Tech Start Date]]&lt;1/1/1990,"",IF(Main[[#This Row],[Class]]="C",WORKDAY(Main[[#This Row],[Tech Start Date]],19),IF(Main[[#This Row],[Class]]="B", WORKDAY(Main[[#This Row],[Tech Start Date]],12),IF(Main[[#This Row],[Class]]="A",WORKDAY(Main[[#This Row],[Tech Start Date]],4),""))))</f>
        <v/>
      </c>
      <c r="O286" s="77" t="str">
        <f>IF(Main[[#This Row],[Tech Start Date]]&lt;1/1/1990,"",IF(Main[[#This Row],[Class]]="C",WORKDAY(Main[[#This Row],[Tech Start Date]],23),IF(Main[[#This Row],[Class]]="B", WORKDAY(Main[[#This Row],[Tech Start Date]],15),IF(Main[[#This Row],[Class]]="A",WORKDAY(Main[[#This Row],[Tech Start Date]],5),""))))</f>
        <v/>
      </c>
      <c r="P286" s="77" t="str">
        <f>IF(Main[[#This Row],[Tech Start Date]]&lt;1/1/1990,"",IF(Main[[#This Row],[Class]]="C",WORKDAY(Main[[#This Row],[Tech Start Date]],28),IF(Main[[#This Row],[Class]]="B", WORKDAY(Main[[#This Row],[Tech Start Date]],19),IF(Main[[#This Row],[Class]]="A",WORKDAY(Main[[#This Row],[Tech Start Date]],9),""))))</f>
        <v/>
      </c>
      <c r="Q286" s="74"/>
      <c r="R286" s="74"/>
      <c r="S286" s="72" t="s">
        <v>6</v>
      </c>
      <c r="T286" s="80" t="s">
        <v>4</v>
      </c>
      <c r="U286" s="72" t="s">
        <v>14</v>
      </c>
      <c r="V286" s="72" t="s">
        <v>1932</v>
      </c>
      <c r="W286" s="72" t="s">
        <v>1934</v>
      </c>
      <c r="X286" s="72" t="s">
        <v>310</v>
      </c>
      <c r="Y286" s="72" t="s">
        <v>4</v>
      </c>
      <c r="Z286" s="72" t="s">
        <v>4</v>
      </c>
      <c r="AA286" s="147" t="s">
        <v>4</v>
      </c>
    </row>
    <row r="287" spans="1:27" ht="18.600000000000001" customHeight="1">
      <c r="A287" s="140" t="str">
        <f>IF(priority(Main[[#This Row],[Comments]])&lt;&gt;0, priority(Main[[#This Row],[Comments]]),"")</f>
        <v/>
      </c>
      <c r="B287" s="90" t="s">
        <v>1154</v>
      </c>
      <c r="C287" s="72" t="s">
        <v>93</v>
      </c>
      <c r="D287" s="73" t="s">
        <v>197</v>
      </c>
      <c r="E287" s="74"/>
      <c r="F287" s="74">
        <v>40203</v>
      </c>
      <c r="G287" s="75" t="str">
        <f>IF(stdProdLT(Main[[#This Row],[Comments]])=0.1,"N/A",IF(stdProdLT(Main[[#This Row],[Comments]])=0,"",stdProdLT(Main[[#This Row],[Comments]])))</f>
        <v/>
      </c>
      <c r="H287" s="76" t="str">
        <f>IF(AND(Main[[#This Row],[In Stock Date]]&lt;&gt;"",Main[[#This Row],[Revised Due Date]]&lt;&gt;""),Main[[#This Row],[In Stock Date]]-Main[[#This Row],[Revised Due Date]],"")</f>
        <v/>
      </c>
      <c r="I287" s="72" t="s">
        <v>4</v>
      </c>
      <c r="J287" s="72" t="s">
        <v>4</v>
      </c>
      <c r="K287" s="72" t="s">
        <v>4</v>
      </c>
      <c r="L287" s="74"/>
      <c r="M287" s="77" t="str">
        <f>IF(Main[[#This Row],[Tech Start Date]]&lt;1/1/1990,"",IF(Main[[#This Row],[Class]]="C",WORKDAY(Main[[#This Row],[Tech Start Date]],9),IF(Main[[#This Row],[Class]]="B", WORKDAY(Main[[#This Row],[Tech Start Date]],6),IF(Main[[#This Row],[Class]]="A",WORKDAY(Main[[#This Row],[Tech Start Date]],2),""))))</f>
        <v/>
      </c>
      <c r="N287" s="77" t="str">
        <f>IF(Main[[#This Row],[Tech Start Date]]&lt;1/1/1990,"",IF(Main[[#This Row],[Class]]="C",WORKDAY(Main[[#This Row],[Tech Start Date]],19),IF(Main[[#This Row],[Class]]="B", WORKDAY(Main[[#This Row],[Tech Start Date]],12),IF(Main[[#This Row],[Class]]="A",WORKDAY(Main[[#This Row],[Tech Start Date]],4),""))))</f>
        <v/>
      </c>
      <c r="O287" s="77" t="str">
        <f>IF(Main[[#This Row],[Tech Start Date]]&lt;1/1/1990,"",IF(Main[[#This Row],[Class]]="C",WORKDAY(Main[[#This Row],[Tech Start Date]],23),IF(Main[[#This Row],[Class]]="B", WORKDAY(Main[[#This Row],[Tech Start Date]],15),IF(Main[[#This Row],[Class]]="A",WORKDAY(Main[[#This Row],[Tech Start Date]],5),""))))</f>
        <v/>
      </c>
      <c r="P287" s="77" t="str">
        <f>IF(Main[[#This Row],[Tech Start Date]]&lt;1/1/1990,"",IF(Main[[#This Row],[Class]]="C",WORKDAY(Main[[#This Row],[Tech Start Date]],28),IF(Main[[#This Row],[Class]]="B", WORKDAY(Main[[#This Row],[Tech Start Date]],19),IF(Main[[#This Row],[Class]]="A",WORKDAY(Main[[#This Row],[Tech Start Date]],9),""))))</f>
        <v/>
      </c>
      <c r="Q287" s="74">
        <v>40046</v>
      </c>
      <c r="R287" s="74"/>
      <c r="S287" s="72" t="s">
        <v>11</v>
      </c>
      <c r="T287" s="80" t="s">
        <v>4</v>
      </c>
      <c r="U287" s="72" t="s">
        <v>14</v>
      </c>
      <c r="V287" s="72" t="s">
        <v>1932</v>
      </c>
      <c r="W287" s="72" t="s">
        <v>1938</v>
      </c>
      <c r="X287" s="72" t="s">
        <v>2937</v>
      </c>
      <c r="Y287" s="72" t="s">
        <v>3078</v>
      </c>
      <c r="Z287" s="72" t="s">
        <v>4</v>
      </c>
      <c r="AA287" s="147" t="s">
        <v>2937</v>
      </c>
    </row>
    <row r="288" spans="1:27" ht="18.600000000000001" customHeight="1">
      <c r="A288" s="140" t="str">
        <f>IF(priority(Main[[#This Row],[Comments]])&lt;&gt;0, priority(Main[[#This Row],[Comments]]),"")</f>
        <v/>
      </c>
      <c r="B288" s="90" t="s">
        <v>1155</v>
      </c>
      <c r="C288" s="72" t="s">
        <v>4</v>
      </c>
      <c r="D288" s="73" t="s">
        <v>198</v>
      </c>
      <c r="E288" s="74"/>
      <c r="F288" s="74"/>
      <c r="G288" s="75" t="str">
        <f>IF(stdProdLT(Main[[#This Row],[Comments]])=0.1,"N/A",IF(stdProdLT(Main[[#This Row],[Comments]])=0,"",stdProdLT(Main[[#This Row],[Comments]])))</f>
        <v/>
      </c>
      <c r="H288" s="76" t="str">
        <f>IF(AND(Main[[#This Row],[In Stock Date]]&lt;&gt;"",Main[[#This Row],[Revised Due Date]]&lt;&gt;""),Main[[#This Row],[In Stock Date]]-Main[[#This Row],[Revised Due Date]],"")</f>
        <v/>
      </c>
      <c r="I288" s="72" t="s">
        <v>4</v>
      </c>
      <c r="J288" s="72" t="s">
        <v>4</v>
      </c>
      <c r="K288" s="72" t="s">
        <v>4</v>
      </c>
      <c r="L288" s="74"/>
      <c r="M288" s="77" t="str">
        <f>IF(Main[[#This Row],[Tech Start Date]]&lt;1/1/1990,"",IF(Main[[#This Row],[Class]]="C",WORKDAY(Main[[#This Row],[Tech Start Date]],9),IF(Main[[#This Row],[Class]]="B", WORKDAY(Main[[#This Row],[Tech Start Date]],6),IF(Main[[#This Row],[Class]]="A",WORKDAY(Main[[#This Row],[Tech Start Date]],2),""))))</f>
        <v/>
      </c>
      <c r="N288" s="77" t="str">
        <f>IF(Main[[#This Row],[Tech Start Date]]&lt;1/1/1990,"",IF(Main[[#This Row],[Class]]="C",WORKDAY(Main[[#This Row],[Tech Start Date]],19),IF(Main[[#This Row],[Class]]="B", WORKDAY(Main[[#This Row],[Tech Start Date]],12),IF(Main[[#This Row],[Class]]="A",WORKDAY(Main[[#This Row],[Tech Start Date]],4),""))))</f>
        <v/>
      </c>
      <c r="O288" s="77" t="str">
        <f>IF(Main[[#This Row],[Tech Start Date]]&lt;1/1/1990,"",IF(Main[[#This Row],[Class]]="C",WORKDAY(Main[[#This Row],[Tech Start Date]],23),IF(Main[[#This Row],[Class]]="B", WORKDAY(Main[[#This Row],[Tech Start Date]],15),IF(Main[[#This Row],[Class]]="A",WORKDAY(Main[[#This Row],[Tech Start Date]],5),""))))</f>
        <v/>
      </c>
      <c r="P288" s="77" t="str">
        <f>IF(Main[[#This Row],[Tech Start Date]]&lt;1/1/1990,"",IF(Main[[#This Row],[Class]]="C",WORKDAY(Main[[#This Row],[Tech Start Date]],28),IF(Main[[#This Row],[Class]]="B", WORKDAY(Main[[#This Row],[Tech Start Date]],19),IF(Main[[#This Row],[Class]]="A",WORKDAY(Main[[#This Row],[Tech Start Date]],9),""))))</f>
        <v/>
      </c>
      <c r="Q288" s="74">
        <v>40543</v>
      </c>
      <c r="R288" s="74"/>
      <c r="S288" s="72" t="s">
        <v>11</v>
      </c>
      <c r="T288" s="80" t="s">
        <v>4</v>
      </c>
      <c r="U288" s="72" t="s">
        <v>14</v>
      </c>
      <c r="V288" s="72" t="s">
        <v>1932</v>
      </c>
      <c r="W288" s="72" t="s">
        <v>1943</v>
      </c>
      <c r="X288" s="72" t="s">
        <v>2945</v>
      </c>
      <c r="Y288" s="72" t="s">
        <v>3092</v>
      </c>
      <c r="Z288" s="72" t="s">
        <v>4</v>
      </c>
      <c r="AA288" s="147" t="s">
        <v>2945</v>
      </c>
    </row>
    <row r="289" spans="1:27" ht="18.600000000000001" customHeight="1">
      <c r="A289" s="157" t="str">
        <f>IF(priority(Main[[#This Row],[Comments]])&lt;&gt;0, priority(Main[[#This Row],[Comments]]),"")</f>
        <v/>
      </c>
      <c r="B289" s="158" t="s">
        <v>2610</v>
      </c>
      <c r="C289" s="159" t="s">
        <v>4</v>
      </c>
      <c r="D289" s="160" t="s">
        <v>2611</v>
      </c>
      <c r="E289" s="162">
        <v>40876.146770833337</v>
      </c>
      <c r="F289" s="162"/>
      <c r="G289" s="164" t="str">
        <f>IF(stdProdLT(Main[[#This Row],[Comments]])=0.1,"N/A",IF(stdProdLT(Main[[#This Row],[Comments]])=0,"",stdProdLT(Main[[#This Row],[Comments]])))</f>
        <v/>
      </c>
      <c r="H289" s="166" t="str">
        <f>IF(AND(Main[[#This Row],[In Stock Date]]&lt;&gt;"",Main[[#This Row],[Revised Due Date]]&lt;&gt;""),Main[[#This Row],[In Stock Date]]-Main[[#This Row],[Revised Due Date]],"")</f>
        <v/>
      </c>
      <c r="I289" s="159" t="s">
        <v>4</v>
      </c>
      <c r="J289" s="159" t="s">
        <v>4</v>
      </c>
      <c r="K289" s="159" t="s">
        <v>4</v>
      </c>
      <c r="L289" s="162"/>
      <c r="M289" s="169" t="str">
        <f>IF(Main[[#This Row],[Tech Start Date]]&lt;1/1/1990,"",IF(Main[[#This Row],[Class]]="C",WORKDAY(Main[[#This Row],[Tech Start Date]],9),IF(Main[[#This Row],[Class]]="B", WORKDAY(Main[[#This Row],[Tech Start Date]],6),IF(Main[[#This Row],[Class]]="A",WORKDAY(Main[[#This Row],[Tech Start Date]],2),""))))</f>
        <v/>
      </c>
      <c r="N289" s="169" t="str">
        <f>IF(Main[[#This Row],[Tech Start Date]]&lt;1/1/1990,"",IF(Main[[#This Row],[Class]]="C",WORKDAY(Main[[#This Row],[Tech Start Date]],19),IF(Main[[#This Row],[Class]]="B", WORKDAY(Main[[#This Row],[Tech Start Date]],12),IF(Main[[#This Row],[Class]]="A",WORKDAY(Main[[#This Row],[Tech Start Date]],4),""))))</f>
        <v/>
      </c>
      <c r="O289" s="169" t="str">
        <f>IF(Main[[#This Row],[Tech Start Date]]&lt;1/1/1990,"",IF(Main[[#This Row],[Class]]="C",WORKDAY(Main[[#This Row],[Tech Start Date]],23),IF(Main[[#This Row],[Class]]="B", WORKDAY(Main[[#This Row],[Tech Start Date]],15),IF(Main[[#This Row],[Class]]="A",WORKDAY(Main[[#This Row],[Tech Start Date]],5),""))))</f>
        <v/>
      </c>
      <c r="P289" s="169" t="str">
        <f>IF(Main[[#This Row],[Tech Start Date]]&lt;1/1/1990,"",IF(Main[[#This Row],[Class]]="C",WORKDAY(Main[[#This Row],[Tech Start Date]],28),IF(Main[[#This Row],[Class]]="B", WORKDAY(Main[[#This Row],[Tech Start Date]],19),IF(Main[[#This Row],[Class]]="A",WORKDAY(Main[[#This Row],[Tech Start Date]],9),""))))</f>
        <v/>
      </c>
      <c r="Q289" s="162">
        <v>40882</v>
      </c>
      <c r="R289" s="162"/>
      <c r="S289" s="159" t="s">
        <v>6</v>
      </c>
      <c r="T289" s="173" t="s">
        <v>4</v>
      </c>
      <c r="U289" s="159" t="s">
        <v>7</v>
      </c>
      <c r="V289" s="159" t="s">
        <v>1932</v>
      </c>
      <c r="W289" s="159" t="s">
        <v>4</v>
      </c>
      <c r="X289" s="159" t="s">
        <v>2906</v>
      </c>
      <c r="Y289" s="159" t="s">
        <v>3025</v>
      </c>
      <c r="Z289" s="159" t="s">
        <v>4</v>
      </c>
      <c r="AA289" s="154" t="s">
        <v>2906</v>
      </c>
    </row>
    <row r="290" spans="1:27" ht="18.600000000000001" customHeight="1">
      <c r="A290" s="140" t="str">
        <f>IF(priority(Main[[#This Row],[Comments]])&lt;&gt;0, priority(Main[[#This Row],[Comments]]),"")</f>
        <v/>
      </c>
      <c r="B290" s="90" t="s">
        <v>1156</v>
      </c>
      <c r="C290" s="72" t="s">
        <v>4</v>
      </c>
      <c r="D290" s="73" t="s">
        <v>199</v>
      </c>
      <c r="E290" s="74"/>
      <c r="F290" s="74"/>
      <c r="G290" s="75" t="str">
        <f>IF(stdProdLT(Main[[#This Row],[Comments]])=0.1,"N/A",IF(stdProdLT(Main[[#This Row],[Comments]])=0,"",stdProdLT(Main[[#This Row],[Comments]])))</f>
        <v/>
      </c>
      <c r="H290" s="76" t="str">
        <f>IF(AND(Main[[#This Row],[In Stock Date]]&lt;&gt;"",Main[[#This Row],[Revised Due Date]]&lt;&gt;""),Main[[#This Row],[In Stock Date]]-Main[[#This Row],[Revised Due Date]],"")</f>
        <v/>
      </c>
      <c r="I290" s="72" t="s">
        <v>4</v>
      </c>
      <c r="J290" s="72" t="s">
        <v>4</v>
      </c>
      <c r="K290" s="72" t="s">
        <v>4</v>
      </c>
      <c r="L290" s="74"/>
      <c r="M290" s="77" t="str">
        <f>IF(Main[[#This Row],[Tech Start Date]]&lt;1/1/1990,"",IF(Main[[#This Row],[Class]]="C",WORKDAY(Main[[#This Row],[Tech Start Date]],9),IF(Main[[#This Row],[Class]]="B", WORKDAY(Main[[#This Row],[Tech Start Date]],6),IF(Main[[#This Row],[Class]]="A",WORKDAY(Main[[#This Row],[Tech Start Date]],2),""))))</f>
        <v/>
      </c>
      <c r="N290" s="77" t="str">
        <f>IF(Main[[#This Row],[Tech Start Date]]&lt;1/1/1990,"",IF(Main[[#This Row],[Class]]="C",WORKDAY(Main[[#This Row],[Tech Start Date]],19),IF(Main[[#This Row],[Class]]="B", WORKDAY(Main[[#This Row],[Tech Start Date]],12),IF(Main[[#This Row],[Class]]="A",WORKDAY(Main[[#This Row],[Tech Start Date]],4),""))))</f>
        <v/>
      </c>
      <c r="O290" s="77" t="str">
        <f>IF(Main[[#This Row],[Tech Start Date]]&lt;1/1/1990,"",IF(Main[[#This Row],[Class]]="C",WORKDAY(Main[[#This Row],[Tech Start Date]],23),IF(Main[[#This Row],[Class]]="B", WORKDAY(Main[[#This Row],[Tech Start Date]],15),IF(Main[[#This Row],[Class]]="A",WORKDAY(Main[[#This Row],[Tech Start Date]],5),""))))</f>
        <v/>
      </c>
      <c r="P290" s="77" t="str">
        <f>IF(Main[[#This Row],[Tech Start Date]]&lt;1/1/1990,"",IF(Main[[#This Row],[Class]]="C",WORKDAY(Main[[#This Row],[Tech Start Date]],28),IF(Main[[#This Row],[Class]]="B", WORKDAY(Main[[#This Row],[Tech Start Date]],19),IF(Main[[#This Row],[Class]]="A",WORKDAY(Main[[#This Row],[Tech Start Date]],9),""))))</f>
        <v/>
      </c>
      <c r="Q290" s="74"/>
      <c r="R290" s="74"/>
      <c r="S290" s="72" t="s">
        <v>17</v>
      </c>
      <c r="T290" s="80" t="s">
        <v>4</v>
      </c>
      <c r="U290" s="72" t="s">
        <v>14</v>
      </c>
      <c r="V290" s="72" t="s">
        <v>1935</v>
      </c>
      <c r="W290" s="72" t="s">
        <v>1937</v>
      </c>
      <c r="X290" s="72" t="s">
        <v>559</v>
      </c>
      <c r="Y290" s="72" t="s">
        <v>3039</v>
      </c>
      <c r="Z290" s="72" t="s">
        <v>4</v>
      </c>
      <c r="AA290" s="147" t="s">
        <v>559</v>
      </c>
    </row>
    <row r="291" spans="1:27" ht="18.600000000000001" customHeight="1">
      <c r="A291" s="140" t="str">
        <f>IF(priority(Main[[#This Row],[Comments]])&lt;&gt;0, priority(Main[[#This Row],[Comments]]),"")</f>
        <v/>
      </c>
      <c r="B291" s="90" t="s">
        <v>1157</v>
      </c>
      <c r="C291" s="72" t="s">
        <v>200</v>
      </c>
      <c r="D291" s="73" t="s">
        <v>201</v>
      </c>
      <c r="E291" s="74"/>
      <c r="F291" s="74"/>
      <c r="G291" s="75" t="str">
        <f>IF(stdProdLT(Main[[#This Row],[Comments]])=0.1,"N/A",IF(stdProdLT(Main[[#This Row],[Comments]])=0,"",stdProdLT(Main[[#This Row],[Comments]])))</f>
        <v/>
      </c>
      <c r="H291" s="76" t="str">
        <f>IF(AND(Main[[#This Row],[In Stock Date]]&lt;&gt;"",Main[[#This Row],[Revised Due Date]]&lt;&gt;""),Main[[#This Row],[In Stock Date]]-Main[[#This Row],[Revised Due Date]],"")</f>
        <v/>
      </c>
      <c r="I291" s="72" t="s">
        <v>4</v>
      </c>
      <c r="J291" s="72" t="s">
        <v>4</v>
      </c>
      <c r="K291" s="72" t="s">
        <v>4</v>
      </c>
      <c r="L291" s="74"/>
      <c r="M291" s="77" t="str">
        <f>IF(Main[[#This Row],[Tech Start Date]]&lt;1/1/1990,"",IF(Main[[#This Row],[Class]]="C",WORKDAY(Main[[#This Row],[Tech Start Date]],9),IF(Main[[#This Row],[Class]]="B", WORKDAY(Main[[#This Row],[Tech Start Date]],6),IF(Main[[#This Row],[Class]]="A",WORKDAY(Main[[#This Row],[Tech Start Date]],2),""))))</f>
        <v/>
      </c>
      <c r="N291" s="77" t="str">
        <f>IF(Main[[#This Row],[Tech Start Date]]&lt;1/1/1990,"",IF(Main[[#This Row],[Class]]="C",WORKDAY(Main[[#This Row],[Tech Start Date]],19),IF(Main[[#This Row],[Class]]="B", WORKDAY(Main[[#This Row],[Tech Start Date]],12),IF(Main[[#This Row],[Class]]="A",WORKDAY(Main[[#This Row],[Tech Start Date]],4),""))))</f>
        <v/>
      </c>
      <c r="O291" s="77" t="str">
        <f>IF(Main[[#This Row],[Tech Start Date]]&lt;1/1/1990,"",IF(Main[[#This Row],[Class]]="C",WORKDAY(Main[[#This Row],[Tech Start Date]],23),IF(Main[[#This Row],[Class]]="B", WORKDAY(Main[[#This Row],[Tech Start Date]],15),IF(Main[[#This Row],[Class]]="A",WORKDAY(Main[[#This Row],[Tech Start Date]],5),""))))</f>
        <v/>
      </c>
      <c r="P291" s="77" t="str">
        <f>IF(Main[[#This Row],[Tech Start Date]]&lt;1/1/1990,"",IF(Main[[#This Row],[Class]]="C",WORKDAY(Main[[#This Row],[Tech Start Date]],28),IF(Main[[#This Row],[Class]]="B", WORKDAY(Main[[#This Row],[Tech Start Date]],19),IF(Main[[#This Row],[Class]]="A",WORKDAY(Main[[#This Row],[Tech Start Date]],9),""))))</f>
        <v/>
      </c>
      <c r="Q291" s="74">
        <v>40165</v>
      </c>
      <c r="R291" s="74"/>
      <c r="S291" s="72" t="s">
        <v>11</v>
      </c>
      <c r="T291" s="80" t="s">
        <v>4</v>
      </c>
      <c r="U291" s="72" t="s">
        <v>14</v>
      </c>
      <c r="V291" s="72" t="s">
        <v>1942</v>
      </c>
      <c r="W291" s="72" t="s">
        <v>1938</v>
      </c>
      <c r="X291" s="72" t="s">
        <v>894</v>
      </c>
      <c r="Y291" s="72" t="s">
        <v>3050</v>
      </c>
      <c r="Z291" s="72" t="s">
        <v>4</v>
      </c>
      <c r="AA291" s="147" t="s">
        <v>894</v>
      </c>
    </row>
    <row r="292" spans="1:27" ht="18.600000000000001" customHeight="1">
      <c r="A292" s="157" t="str">
        <f>IF(priority(Main[[#This Row],[Comments]])&lt;&gt;0, priority(Main[[#This Row],[Comments]]),"")</f>
        <v/>
      </c>
      <c r="B292" s="158" t="s">
        <v>1735</v>
      </c>
      <c r="C292" s="159" t="s">
        <v>4</v>
      </c>
      <c r="D292" s="160" t="s">
        <v>782</v>
      </c>
      <c r="E292" s="162"/>
      <c r="F292" s="162"/>
      <c r="G292" s="164" t="str">
        <f>IF(stdProdLT(Main[[#This Row],[Comments]])=0.1,"N/A",IF(stdProdLT(Main[[#This Row],[Comments]])=0,"",stdProdLT(Main[[#This Row],[Comments]])))</f>
        <v/>
      </c>
      <c r="H292" s="166" t="str">
        <f>IF(AND(Main[[#This Row],[In Stock Date]]&lt;&gt;"",Main[[#This Row],[Revised Due Date]]&lt;&gt;""),Main[[#This Row],[In Stock Date]]-Main[[#This Row],[Revised Due Date]],"")</f>
        <v/>
      </c>
      <c r="I292" s="159" t="s">
        <v>4</v>
      </c>
      <c r="J292" s="159" t="s">
        <v>28</v>
      </c>
      <c r="K292" s="159" t="s">
        <v>1944</v>
      </c>
      <c r="L292" s="162"/>
      <c r="M292" s="169" t="str">
        <f>IF(Main[[#This Row],[Tech Start Date]]&lt;1/1/1990,"",IF(Main[[#This Row],[Class]]="C",WORKDAY(Main[[#This Row],[Tech Start Date]],9),IF(Main[[#This Row],[Class]]="B", WORKDAY(Main[[#This Row],[Tech Start Date]],6),IF(Main[[#This Row],[Class]]="A",WORKDAY(Main[[#This Row],[Tech Start Date]],2),""))))</f>
        <v/>
      </c>
      <c r="N292" s="169" t="str">
        <f>IF(Main[[#This Row],[Tech Start Date]]&lt;1/1/1990,"",IF(Main[[#This Row],[Class]]="C",WORKDAY(Main[[#This Row],[Tech Start Date]],19),IF(Main[[#This Row],[Class]]="B", WORKDAY(Main[[#This Row],[Tech Start Date]],12),IF(Main[[#This Row],[Class]]="A",WORKDAY(Main[[#This Row],[Tech Start Date]],4),""))))</f>
        <v/>
      </c>
      <c r="O292" s="169" t="str">
        <f>IF(Main[[#This Row],[Tech Start Date]]&lt;1/1/1990,"",IF(Main[[#This Row],[Class]]="C",WORKDAY(Main[[#This Row],[Tech Start Date]],23),IF(Main[[#This Row],[Class]]="B", WORKDAY(Main[[#This Row],[Tech Start Date]],15),IF(Main[[#This Row],[Class]]="A",WORKDAY(Main[[#This Row],[Tech Start Date]],5),""))))</f>
        <v/>
      </c>
      <c r="P292" s="169" t="str">
        <f>IF(Main[[#This Row],[Tech Start Date]]&lt;1/1/1990,"",IF(Main[[#This Row],[Class]]="C",WORKDAY(Main[[#This Row],[Tech Start Date]],28),IF(Main[[#This Row],[Class]]="B", WORKDAY(Main[[#This Row],[Tech Start Date]],19),IF(Main[[#This Row],[Class]]="A",WORKDAY(Main[[#This Row],[Tech Start Date]],9),""))))</f>
        <v/>
      </c>
      <c r="Q292" s="162">
        <v>40633</v>
      </c>
      <c r="R292" s="162"/>
      <c r="S292" s="159" t="s">
        <v>17</v>
      </c>
      <c r="T292" s="173" t="s">
        <v>4</v>
      </c>
      <c r="U292" s="159" t="s">
        <v>14</v>
      </c>
      <c r="V292" s="159" t="s">
        <v>1932</v>
      </c>
      <c r="W292" s="159" t="s">
        <v>1937</v>
      </c>
      <c r="X292" s="159" t="s">
        <v>129</v>
      </c>
      <c r="Y292" s="159" t="s">
        <v>3020</v>
      </c>
      <c r="Z292" s="159" t="s">
        <v>129</v>
      </c>
      <c r="AA292" s="154" t="s">
        <v>129</v>
      </c>
    </row>
    <row r="293" spans="1:27" ht="18.600000000000001" customHeight="1">
      <c r="A293" s="140" t="str">
        <f>IF(priority(Main[[#This Row],[Comments]])&lt;&gt;0, priority(Main[[#This Row],[Comments]]),"")</f>
        <v/>
      </c>
      <c r="B293" s="90" t="s">
        <v>1159</v>
      </c>
      <c r="C293" s="72" t="s">
        <v>93</v>
      </c>
      <c r="D293" s="73" t="s">
        <v>203</v>
      </c>
      <c r="E293" s="74"/>
      <c r="F293" s="74"/>
      <c r="G293" s="75" t="str">
        <f>IF(stdProdLT(Main[[#This Row],[Comments]])=0.1,"N/A",IF(stdProdLT(Main[[#This Row],[Comments]])=0,"",stdProdLT(Main[[#This Row],[Comments]])))</f>
        <v/>
      </c>
      <c r="H293" s="76" t="str">
        <f>IF(AND(Main[[#This Row],[In Stock Date]]&lt;&gt;"",Main[[#This Row],[Revised Due Date]]&lt;&gt;""),Main[[#This Row],[In Stock Date]]-Main[[#This Row],[Revised Due Date]],"")</f>
        <v/>
      </c>
      <c r="I293" s="72" t="s">
        <v>4</v>
      </c>
      <c r="J293" s="72" t="s">
        <v>4</v>
      </c>
      <c r="K293" s="72" t="s">
        <v>4</v>
      </c>
      <c r="L293" s="74"/>
      <c r="M293" s="77" t="str">
        <f>IF(Main[[#This Row],[Tech Start Date]]&lt;1/1/1990,"",IF(Main[[#This Row],[Class]]="C",WORKDAY(Main[[#This Row],[Tech Start Date]],9),IF(Main[[#This Row],[Class]]="B", WORKDAY(Main[[#This Row],[Tech Start Date]],6),IF(Main[[#This Row],[Class]]="A",WORKDAY(Main[[#This Row],[Tech Start Date]],2),""))))</f>
        <v/>
      </c>
      <c r="N293" s="77" t="str">
        <f>IF(Main[[#This Row],[Tech Start Date]]&lt;1/1/1990,"",IF(Main[[#This Row],[Class]]="C",WORKDAY(Main[[#This Row],[Tech Start Date]],19),IF(Main[[#This Row],[Class]]="B", WORKDAY(Main[[#This Row],[Tech Start Date]],12),IF(Main[[#This Row],[Class]]="A",WORKDAY(Main[[#This Row],[Tech Start Date]],4),""))))</f>
        <v/>
      </c>
      <c r="O293" s="77" t="str">
        <f>IF(Main[[#This Row],[Tech Start Date]]&lt;1/1/1990,"",IF(Main[[#This Row],[Class]]="C",WORKDAY(Main[[#This Row],[Tech Start Date]],23),IF(Main[[#This Row],[Class]]="B", WORKDAY(Main[[#This Row],[Tech Start Date]],15),IF(Main[[#This Row],[Class]]="A",WORKDAY(Main[[#This Row],[Tech Start Date]],5),""))))</f>
        <v/>
      </c>
      <c r="P293" s="77" t="str">
        <f>IF(Main[[#This Row],[Tech Start Date]]&lt;1/1/1990,"",IF(Main[[#This Row],[Class]]="C",WORKDAY(Main[[#This Row],[Tech Start Date]],28),IF(Main[[#This Row],[Class]]="B", WORKDAY(Main[[#This Row],[Tech Start Date]],19),IF(Main[[#This Row],[Class]]="A",WORKDAY(Main[[#This Row],[Tech Start Date]],9),""))))</f>
        <v/>
      </c>
      <c r="Q293" s="74"/>
      <c r="R293" s="74"/>
      <c r="S293" s="72" t="s">
        <v>11</v>
      </c>
      <c r="T293" s="80" t="s">
        <v>4</v>
      </c>
      <c r="U293" s="72" t="s">
        <v>14</v>
      </c>
      <c r="V293" s="72" t="s">
        <v>1942</v>
      </c>
      <c r="W293" s="72" t="s">
        <v>1938</v>
      </c>
      <c r="X293" s="72" t="s">
        <v>310</v>
      </c>
      <c r="Y293" s="72" t="s">
        <v>3028</v>
      </c>
      <c r="Z293" s="72" t="s">
        <v>4</v>
      </c>
      <c r="AA293" s="147" t="s">
        <v>3564</v>
      </c>
    </row>
    <row r="294" spans="1:27" ht="18.600000000000001" customHeight="1">
      <c r="A294" s="157" t="str">
        <f>IF(priority(Main[[#This Row],[Comments]])&lt;&gt;0, priority(Main[[#This Row],[Comments]]),"")</f>
        <v/>
      </c>
      <c r="B294" s="158" t="s">
        <v>1160</v>
      </c>
      <c r="C294" s="159" t="s">
        <v>42</v>
      </c>
      <c r="D294" s="160" t="s">
        <v>204</v>
      </c>
      <c r="E294" s="162">
        <v>39952.329340277778</v>
      </c>
      <c r="F294" s="162"/>
      <c r="G294" s="164" t="str">
        <f>IF(stdProdLT(Main[[#This Row],[Comments]])=0.1,"N/A",IF(stdProdLT(Main[[#This Row],[Comments]])=0,"",stdProdLT(Main[[#This Row],[Comments]])))</f>
        <v/>
      </c>
      <c r="H294" s="166" t="str">
        <f>IF(AND(Main[[#This Row],[In Stock Date]]&lt;&gt;"",Main[[#This Row],[Revised Due Date]]&lt;&gt;""),Main[[#This Row],[In Stock Date]]-Main[[#This Row],[Revised Due Date]],"")</f>
        <v/>
      </c>
      <c r="I294" s="159" t="s">
        <v>4</v>
      </c>
      <c r="J294" s="159" t="s">
        <v>4</v>
      </c>
      <c r="K294" s="159" t="s">
        <v>4</v>
      </c>
      <c r="L294" s="162"/>
      <c r="M294" s="169" t="str">
        <f>IF(Main[[#This Row],[Tech Start Date]]&lt;1/1/1990,"",IF(Main[[#This Row],[Class]]="C",WORKDAY(Main[[#This Row],[Tech Start Date]],9),IF(Main[[#This Row],[Class]]="B", WORKDAY(Main[[#This Row],[Tech Start Date]],6),IF(Main[[#This Row],[Class]]="A",WORKDAY(Main[[#This Row],[Tech Start Date]],2),""))))</f>
        <v/>
      </c>
      <c r="N294" s="169" t="str">
        <f>IF(Main[[#This Row],[Tech Start Date]]&lt;1/1/1990,"",IF(Main[[#This Row],[Class]]="C",WORKDAY(Main[[#This Row],[Tech Start Date]],19),IF(Main[[#This Row],[Class]]="B", WORKDAY(Main[[#This Row],[Tech Start Date]],12),IF(Main[[#This Row],[Class]]="A",WORKDAY(Main[[#This Row],[Tech Start Date]],4),""))))</f>
        <v/>
      </c>
      <c r="O294" s="169" t="str">
        <f>IF(Main[[#This Row],[Tech Start Date]]&lt;1/1/1990,"",IF(Main[[#This Row],[Class]]="C",WORKDAY(Main[[#This Row],[Tech Start Date]],23),IF(Main[[#This Row],[Class]]="B", WORKDAY(Main[[#This Row],[Tech Start Date]],15),IF(Main[[#This Row],[Class]]="A",WORKDAY(Main[[#This Row],[Tech Start Date]],5),""))))</f>
        <v/>
      </c>
      <c r="P294" s="169" t="str">
        <f>IF(Main[[#This Row],[Tech Start Date]]&lt;1/1/1990,"",IF(Main[[#This Row],[Class]]="C",WORKDAY(Main[[#This Row],[Tech Start Date]],28),IF(Main[[#This Row],[Class]]="B", WORKDAY(Main[[#This Row],[Tech Start Date]],19),IF(Main[[#This Row],[Class]]="A",WORKDAY(Main[[#This Row],[Tech Start Date]],9),""))))</f>
        <v/>
      </c>
      <c r="Q294" s="162"/>
      <c r="R294" s="162"/>
      <c r="S294" s="159" t="s">
        <v>17</v>
      </c>
      <c r="T294" s="173" t="s">
        <v>4</v>
      </c>
      <c r="U294" s="159" t="s">
        <v>7</v>
      </c>
      <c r="V294" s="159" t="s">
        <v>1935</v>
      </c>
      <c r="W294" s="159" t="s">
        <v>4</v>
      </c>
      <c r="X294" s="159" t="s">
        <v>403</v>
      </c>
      <c r="Y294" s="159" t="s">
        <v>4</v>
      </c>
      <c r="Z294" s="159" t="s">
        <v>4</v>
      </c>
      <c r="AA294" s="154" t="s">
        <v>3586</v>
      </c>
    </row>
    <row r="295" spans="1:27" ht="18.600000000000001" customHeight="1">
      <c r="A295" s="140" t="str">
        <f>IF(priority(Main[[#This Row],[Comments]])&lt;&gt;0, priority(Main[[#This Row],[Comments]]),"")</f>
        <v/>
      </c>
      <c r="B295" s="90" t="s">
        <v>1161</v>
      </c>
      <c r="C295" s="72" t="s">
        <v>58</v>
      </c>
      <c r="D295" s="73" t="s">
        <v>205</v>
      </c>
      <c r="E295" s="74"/>
      <c r="F295" s="74">
        <v>40697</v>
      </c>
      <c r="G295" s="75" t="str">
        <f>IF(stdProdLT(Main[[#This Row],[Comments]])=0.1,"N/A",IF(stdProdLT(Main[[#This Row],[Comments]])=0,"",stdProdLT(Main[[#This Row],[Comments]])))</f>
        <v/>
      </c>
      <c r="H295" s="76" t="str">
        <f>IF(AND(Main[[#This Row],[In Stock Date]]&lt;&gt;"",Main[[#This Row],[Revised Due Date]]&lt;&gt;""),Main[[#This Row],[In Stock Date]]-Main[[#This Row],[Revised Due Date]],"")</f>
        <v/>
      </c>
      <c r="I295" s="72" t="s">
        <v>4</v>
      </c>
      <c r="J295" s="72" t="s">
        <v>4</v>
      </c>
      <c r="K295" s="72" t="s">
        <v>4</v>
      </c>
      <c r="L295" s="74"/>
      <c r="M295" s="77" t="str">
        <f>IF(Main[[#This Row],[Tech Start Date]]&lt;1/1/1990,"",IF(Main[[#This Row],[Class]]="C",WORKDAY(Main[[#This Row],[Tech Start Date]],9),IF(Main[[#This Row],[Class]]="B", WORKDAY(Main[[#This Row],[Tech Start Date]],6),IF(Main[[#This Row],[Class]]="A",WORKDAY(Main[[#This Row],[Tech Start Date]],2),""))))</f>
        <v/>
      </c>
      <c r="N295" s="77" t="str">
        <f>IF(Main[[#This Row],[Tech Start Date]]&lt;1/1/1990,"",IF(Main[[#This Row],[Class]]="C",WORKDAY(Main[[#This Row],[Tech Start Date]],19),IF(Main[[#This Row],[Class]]="B", WORKDAY(Main[[#This Row],[Tech Start Date]],12),IF(Main[[#This Row],[Class]]="A",WORKDAY(Main[[#This Row],[Tech Start Date]],4),""))))</f>
        <v/>
      </c>
      <c r="O295" s="77" t="str">
        <f>IF(Main[[#This Row],[Tech Start Date]]&lt;1/1/1990,"",IF(Main[[#This Row],[Class]]="C",WORKDAY(Main[[#This Row],[Tech Start Date]],23),IF(Main[[#This Row],[Class]]="B", WORKDAY(Main[[#This Row],[Tech Start Date]],15),IF(Main[[#This Row],[Class]]="A",WORKDAY(Main[[#This Row],[Tech Start Date]],5),""))))</f>
        <v/>
      </c>
      <c r="P295" s="77" t="str">
        <f>IF(Main[[#This Row],[Tech Start Date]]&lt;1/1/1990,"",IF(Main[[#This Row],[Class]]="C",WORKDAY(Main[[#This Row],[Tech Start Date]],28),IF(Main[[#This Row],[Class]]="B", WORKDAY(Main[[#This Row],[Tech Start Date]],19),IF(Main[[#This Row],[Class]]="A",WORKDAY(Main[[#This Row],[Tech Start Date]],9),""))))</f>
        <v/>
      </c>
      <c r="Q295" s="74">
        <v>40539</v>
      </c>
      <c r="R295" s="74"/>
      <c r="S295" s="72" t="s">
        <v>11</v>
      </c>
      <c r="T295" s="80" t="s">
        <v>4</v>
      </c>
      <c r="U295" s="72" t="s">
        <v>14</v>
      </c>
      <c r="V295" s="72" t="s">
        <v>1932</v>
      </c>
      <c r="W295" s="72" t="s">
        <v>1938</v>
      </c>
      <c r="X295" s="72" t="s">
        <v>2913</v>
      </c>
      <c r="Y295" s="72" t="s">
        <v>3038</v>
      </c>
      <c r="Z295" s="72" t="s">
        <v>4</v>
      </c>
      <c r="AA295" s="147" t="s">
        <v>2913</v>
      </c>
    </row>
    <row r="296" spans="1:27" ht="18.600000000000001" customHeight="1">
      <c r="A296" s="140" t="str">
        <f>IF(priority(Main[[#This Row],[Comments]])&lt;&gt;0, priority(Main[[#This Row],[Comments]]),"")</f>
        <v/>
      </c>
      <c r="B296" s="90" t="s">
        <v>1162</v>
      </c>
      <c r="C296" s="72" t="s">
        <v>206</v>
      </c>
      <c r="D296" s="73" t="s">
        <v>207</v>
      </c>
      <c r="E296" s="74"/>
      <c r="F296" s="74"/>
      <c r="G296" s="75" t="str">
        <f>IF(stdProdLT(Main[[#This Row],[Comments]])=0.1,"N/A",IF(stdProdLT(Main[[#This Row],[Comments]])=0,"",stdProdLT(Main[[#This Row],[Comments]])))</f>
        <v/>
      </c>
      <c r="H296" s="76" t="str">
        <f>IF(AND(Main[[#This Row],[In Stock Date]]&lt;&gt;"",Main[[#This Row],[Revised Due Date]]&lt;&gt;""),Main[[#This Row],[In Stock Date]]-Main[[#This Row],[Revised Due Date]],"")</f>
        <v/>
      </c>
      <c r="I296" s="72" t="s">
        <v>4</v>
      </c>
      <c r="J296" s="72" t="s">
        <v>4</v>
      </c>
      <c r="K296" s="72" t="s">
        <v>4</v>
      </c>
      <c r="L296" s="74"/>
      <c r="M296" s="77" t="str">
        <f>IF(Main[[#This Row],[Tech Start Date]]&lt;1/1/1990,"",IF(Main[[#This Row],[Class]]="C",WORKDAY(Main[[#This Row],[Tech Start Date]],9),IF(Main[[#This Row],[Class]]="B", WORKDAY(Main[[#This Row],[Tech Start Date]],6),IF(Main[[#This Row],[Class]]="A",WORKDAY(Main[[#This Row],[Tech Start Date]],2),""))))</f>
        <v/>
      </c>
      <c r="N296" s="77" t="str">
        <f>IF(Main[[#This Row],[Tech Start Date]]&lt;1/1/1990,"",IF(Main[[#This Row],[Class]]="C",WORKDAY(Main[[#This Row],[Tech Start Date]],19),IF(Main[[#This Row],[Class]]="B", WORKDAY(Main[[#This Row],[Tech Start Date]],12),IF(Main[[#This Row],[Class]]="A",WORKDAY(Main[[#This Row],[Tech Start Date]],4),""))))</f>
        <v/>
      </c>
      <c r="O296" s="77" t="str">
        <f>IF(Main[[#This Row],[Tech Start Date]]&lt;1/1/1990,"",IF(Main[[#This Row],[Class]]="C",WORKDAY(Main[[#This Row],[Tech Start Date]],23),IF(Main[[#This Row],[Class]]="B", WORKDAY(Main[[#This Row],[Tech Start Date]],15),IF(Main[[#This Row],[Class]]="A",WORKDAY(Main[[#This Row],[Tech Start Date]],5),""))))</f>
        <v/>
      </c>
      <c r="P296" s="77" t="str">
        <f>IF(Main[[#This Row],[Tech Start Date]]&lt;1/1/1990,"",IF(Main[[#This Row],[Class]]="C",WORKDAY(Main[[#This Row],[Tech Start Date]],28),IF(Main[[#This Row],[Class]]="B", WORKDAY(Main[[#This Row],[Tech Start Date]],19),IF(Main[[#This Row],[Class]]="A",WORKDAY(Main[[#This Row],[Tech Start Date]],9),""))))</f>
        <v/>
      </c>
      <c r="Q296" s="74">
        <v>40302</v>
      </c>
      <c r="R296" s="74"/>
      <c r="S296" s="72" t="s">
        <v>11</v>
      </c>
      <c r="T296" s="80" t="s">
        <v>4</v>
      </c>
      <c r="U296" s="72" t="s">
        <v>14</v>
      </c>
      <c r="V296" s="72" t="s">
        <v>1932</v>
      </c>
      <c r="W296" s="72" t="s">
        <v>1934</v>
      </c>
      <c r="X296" s="72" t="s">
        <v>2938</v>
      </c>
      <c r="Y296" s="72" t="s">
        <v>4</v>
      </c>
      <c r="Z296" s="72" t="s">
        <v>4</v>
      </c>
      <c r="AA296" s="147" t="s">
        <v>2938</v>
      </c>
    </row>
    <row r="297" spans="1:27" ht="18.600000000000001" customHeight="1">
      <c r="A297" s="140" t="str">
        <f>IF(priority(Main[[#This Row],[Comments]])&lt;&gt;0, priority(Main[[#This Row],[Comments]]),"")</f>
        <v/>
      </c>
      <c r="B297" s="90" t="s">
        <v>2456</v>
      </c>
      <c r="C297" s="72" t="s">
        <v>4</v>
      </c>
      <c r="D297" s="73" t="s">
        <v>2706</v>
      </c>
      <c r="E297" s="74">
        <v>40842.390289351853</v>
      </c>
      <c r="F297" s="74"/>
      <c r="G297" s="75" t="str">
        <f>IF(stdProdLT(Main[[#This Row],[Comments]])=0.1,"N/A",IF(stdProdLT(Main[[#This Row],[Comments]])=0,"",stdProdLT(Main[[#This Row],[Comments]])))</f>
        <v/>
      </c>
      <c r="H297" s="76" t="str">
        <f>IF(AND(Main[[#This Row],[In Stock Date]]&lt;&gt;"",Main[[#This Row],[Revised Due Date]]&lt;&gt;""),Main[[#This Row],[In Stock Date]]-Main[[#This Row],[Revised Due Date]],"")</f>
        <v/>
      </c>
      <c r="I297" s="72" t="s">
        <v>4</v>
      </c>
      <c r="J297" s="72" t="s">
        <v>4</v>
      </c>
      <c r="K297" s="72" t="s">
        <v>4</v>
      </c>
      <c r="L297" s="74"/>
      <c r="M297" s="77" t="str">
        <f>IF(Main[[#This Row],[Tech Start Date]]&lt;1/1/1990,"",IF(Main[[#This Row],[Class]]="C",WORKDAY(Main[[#This Row],[Tech Start Date]],9),IF(Main[[#This Row],[Class]]="B", WORKDAY(Main[[#This Row],[Tech Start Date]],6),IF(Main[[#This Row],[Class]]="A",WORKDAY(Main[[#This Row],[Tech Start Date]],2),""))))</f>
        <v/>
      </c>
      <c r="N297" s="77" t="str">
        <f>IF(Main[[#This Row],[Tech Start Date]]&lt;1/1/1990,"",IF(Main[[#This Row],[Class]]="C",WORKDAY(Main[[#This Row],[Tech Start Date]],19),IF(Main[[#This Row],[Class]]="B", WORKDAY(Main[[#This Row],[Tech Start Date]],12),IF(Main[[#This Row],[Class]]="A",WORKDAY(Main[[#This Row],[Tech Start Date]],4),""))))</f>
        <v/>
      </c>
      <c r="O297" s="77" t="str">
        <f>IF(Main[[#This Row],[Tech Start Date]]&lt;1/1/1990,"",IF(Main[[#This Row],[Class]]="C",WORKDAY(Main[[#This Row],[Tech Start Date]],23),IF(Main[[#This Row],[Class]]="B", WORKDAY(Main[[#This Row],[Tech Start Date]],15),IF(Main[[#This Row],[Class]]="A",WORKDAY(Main[[#This Row],[Tech Start Date]],5),""))))</f>
        <v/>
      </c>
      <c r="P297" s="77" t="str">
        <f>IF(Main[[#This Row],[Tech Start Date]]&lt;1/1/1990,"",IF(Main[[#This Row],[Class]]="C",WORKDAY(Main[[#This Row],[Tech Start Date]],28),IF(Main[[#This Row],[Class]]="B", WORKDAY(Main[[#This Row],[Tech Start Date]],19),IF(Main[[#This Row],[Class]]="A",WORKDAY(Main[[#This Row],[Tech Start Date]],9),""))))</f>
        <v/>
      </c>
      <c r="Q297" s="74"/>
      <c r="R297" s="74"/>
      <c r="S297" s="72" t="s">
        <v>17</v>
      </c>
      <c r="T297" s="80" t="s">
        <v>4</v>
      </c>
      <c r="U297" s="72" t="s">
        <v>29</v>
      </c>
      <c r="V297" s="72" t="s">
        <v>1933</v>
      </c>
      <c r="W297" s="72" t="s">
        <v>1940</v>
      </c>
      <c r="X297" s="72" t="s">
        <v>2946</v>
      </c>
      <c r="Y297" s="72" t="s">
        <v>3093</v>
      </c>
      <c r="Z297" s="72" t="s">
        <v>4</v>
      </c>
      <c r="AA297" s="147" t="s">
        <v>2946</v>
      </c>
    </row>
    <row r="298" spans="1:27" ht="18.600000000000001" customHeight="1">
      <c r="A298" s="140" t="str">
        <f>IF(priority(Main[[#This Row],[Comments]])&lt;&gt;0, priority(Main[[#This Row],[Comments]]),"")</f>
        <v/>
      </c>
      <c r="B298" s="90" t="s">
        <v>1163</v>
      </c>
      <c r="C298" s="72" t="s">
        <v>208</v>
      </c>
      <c r="D298" s="73" t="s">
        <v>209</v>
      </c>
      <c r="E298" s="74"/>
      <c r="F298" s="74"/>
      <c r="G298" s="75" t="str">
        <f>IF(stdProdLT(Main[[#This Row],[Comments]])=0.1,"N/A",IF(stdProdLT(Main[[#This Row],[Comments]])=0,"",stdProdLT(Main[[#This Row],[Comments]])))</f>
        <v/>
      </c>
      <c r="H298" s="76" t="str">
        <f>IF(AND(Main[[#This Row],[In Stock Date]]&lt;&gt;"",Main[[#This Row],[Revised Due Date]]&lt;&gt;""),Main[[#This Row],[In Stock Date]]-Main[[#This Row],[Revised Due Date]],"")</f>
        <v/>
      </c>
      <c r="I298" s="72" t="s">
        <v>4</v>
      </c>
      <c r="J298" s="72" t="s">
        <v>4</v>
      </c>
      <c r="K298" s="72" t="s">
        <v>4</v>
      </c>
      <c r="L298" s="74"/>
      <c r="M298" s="77" t="str">
        <f>IF(Main[[#This Row],[Tech Start Date]]&lt;1/1/1990,"",IF(Main[[#This Row],[Class]]="C",WORKDAY(Main[[#This Row],[Tech Start Date]],9),IF(Main[[#This Row],[Class]]="B", WORKDAY(Main[[#This Row],[Tech Start Date]],6),IF(Main[[#This Row],[Class]]="A",WORKDAY(Main[[#This Row],[Tech Start Date]],2),""))))</f>
        <v/>
      </c>
      <c r="N298" s="77" t="str">
        <f>IF(Main[[#This Row],[Tech Start Date]]&lt;1/1/1990,"",IF(Main[[#This Row],[Class]]="C",WORKDAY(Main[[#This Row],[Tech Start Date]],19),IF(Main[[#This Row],[Class]]="B", WORKDAY(Main[[#This Row],[Tech Start Date]],12),IF(Main[[#This Row],[Class]]="A",WORKDAY(Main[[#This Row],[Tech Start Date]],4),""))))</f>
        <v/>
      </c>
      <c r="O298" s="77" t="str">
        <f>IF(Main[[#This Row],[Tech Start Date]]&lt;1/1/1990,"",IF(Main[[#This Row],[Class]]="C",WORKDAY(Main[[#This Row],[Tech Start Date]],23),IF(Main[[#This Row],[Class]]="B", WORKDAY(Main[[#This Row],[Tech Start Date]],15),IF(Main[[#This Row],[Class]]="A",WORKDAY(Main[[#This Row],[Tech Start Date]],5),""))))</f>
        <v/>
      </c>
      <c r="P298" s="77" t="str">
        <f>IF(Main[[#This Row],[Tech Start Date]]&lt;1/1/1990,"",IF(Main[[#This Row],[Class]]="C",WORKDAY(Main[[#This Row],[Tech Start Date]],28),IF(Main[[#This Row],[Class]]="B", WORKDAY(Main[[#This Row],[Tech Start Date]],19),IF(Main[[#This Row],[Class]]="A",WORKDAY(Main[[#This Row],[Tech Start Date]],9),""))))</f>
        <v/>
      </c>
      <c r="Q298" s="74">
        <v>40116</v>
      </c>
      <c r="R298" s="74"/>
      <c r="S298" s="72" t="s">
        <v>11</v>
      </c>
      <c r="T298" s="80" t="s">
        <v>4</v>
      </c>
      <c r="U298" s="72" t="s">
        <v>14</v>
      </c>
      <c r="V298" s="72" t="s">
        <v>1935</v>
      </c>
      <c r="W298" s="72" t="s">
        <v>1934</v>
      </c>
      <c r="X298" s="72" t="s">
        <v>2947</v>
      </c>
      <c r="Y298" s="72" t="s">
        <v>4</v>
      </c>
      <c r="Z298" s="72" t="s">
        <v>4</v>
      </c>
      <c r="AA298" s="147" t="s">
        <v>2947</v>
      </c>
    </row>
    <row r="299" spans="1:27" ht="18.600000000000001" customHeight="1">
      <c r="A299" s="140" t="str">
        <f>IF(priority(Main[[#This Row],[Comments]])&lt;&gt;0, priority(Main[[#This Row],[Comments]]),"")</f>
        <v/>
      </c>
      <c r="B299" s="90" t="s">
        <v>1164</v>
      </c>
      <c r="C299" s="72" t="s">
        <v>208</v>
      </c>
      <c r="D299" s="73" t="s">
        <v>210</v>
      </c>
      <c r="E299" s="74"/>
      <c r="F299" s="74"/>
      <c r="G299" s="75" t="str">
        <f>IF(stdProdLT(Main[[#This Row],[Comments]])=0.1,"N/A",IF(stdProdLT(Main[[#This Row],[Comments]])=0,"",stdProdLT(Main[[#This Row],[Comments]])))</f>
        <v/>
      </c>
      <c r="H299" s="76" t="str">
        <f>IF(AND(Main[[#This Row],[In Stock Date]]&lt;&gt;"",Main[[#This Row],[Revised Due Date]]&lt;&gt;""),Main[[#This Row],[In Stock Date]]-Main[[#This Row],[Revised Due Date]],"")</f>
        <v/>
      </c>
      <c r="I299" s="72" t="s">
        <v>4</v>
      </c>
      <c r="J299" s="72" t="s">
        <v>4</v>
      </c>
      <c r="K299" s="72" t="s">
        <v>4</v>
      </c>
      <c r="L299" s="74"/>
      <c r="M299" s="77" t="str">
        <f>IF(Main[[#This Row],[Tech Start Date]]&lt;1/1/1990,"",IF(Main[[#This Row],[Class]]="C",WORKDAY(Main[[#This Row],[Tech Start Date]],9),IF(Main[[#This Row],[Class]]="B", WORKDAY(Main[[#This Row],[Tech Start Date]],6),IF(Main[[#This Row],[Class]]="A",WORKDAY(Main[[#This Row],[Tech Start Date]],2),""))))</f>
        <v/>
      </c>
      <c r="N299" s="77" t="str">
        <f>IF(Main[[#This Row],[Tech Start Date]]&lt;1/1/1990,"",IF(Main[[#This Row],[Class]]="C",WORKDAY(Main[[#This Row],[Tech Start Date]],19),IF(Main[[#This Row],[Class]]="B", WORKDAY(Main[[#This Row],[Tech Start Date]],12),IF(Main[[#This Row],[Class]]="A",WORKDAY(Main[[#This Row],[Tech Start Date]],4),""))))</f>
        <v/>
      </c>
      <c r="O299" s="77" t="str">
        <f>IF(Main[[#This Row],[Tech Start Date]]&lt;1/1/1990,"",IF(Main[[#This Row],[Class]]="C",WORKDAY(Main[[#This Row],[Tech Start Date]],23),IF(Main[[#This Row],[Class]]="B", WORKDAY(Main[[#This Row],[Tech Start Date]],15),IF(Main[[#This Row],[Class]]="A",WORKDAY(Main[[#This Row],[Tech Start Date]],5),""))))</f>
        <v/>
      </c>
      <c r="P299" s="77" t="str">
        <f>IF(Main[[#This Row],[Tech Start Date]]&lt;1/1/1990,"",IF(Main[[#This Row],[Class]]="C",WORKDAY(Main[[#This Row],[Tech Start Date]],28),IF(Main[[#This Row],[Class]]="B", WORKDAY(Main[[#This Row],[Tech Start Date]],19),IF(Main[[#This Row],[Class]]="A",WORKDAY(Main[[#This Row],[Tech Start Date]],9),""))))</f>
        <v/>
      </c>
      <c r="Q299" s="74">
        <v>40116</v>
      </c>
      <c r="R299" s="74"/>
      <c r="S299" s="72" t="s">
        <v>11</v>
      </c>
      <c r="T299" s="80" t="s">
        <v>4</v>
      </c>
      <c r="U299" s="72" t="s">
        <v>14</v>
      </c>
      <c r="V299" s="72" t="s">
        <v>1935</v>
      </c>
      <c r="W299" s="72" t="s">
        <v>1934</v>
      </c>
      <c r="X299" s="72" t="s">
        <v>2947</v>
      </c>
      <c r="Y299" s="72" t="s">
        <v>4</v>
      </c>
      <c r="Z299" s="72" t="s">
        <v>4</v>
      </c>
      <c r="AA299" s="147" t="s">
        <v>2947</v>
      </c>
    </row>
    <row r="300" spans="1:27" ht="18.600000000000001" customHeight="1">
      <c r="A300" s="140" t="str">
        <f>IF(priority(Main[[#This Row],[Comments]])&lt;&gt;0, priority(Main[[#This Row],[Comments]]),"")</f>
        <v/>
      </c>
      <c r="B300" s="90" t="s">
        <v>1877</v>
      </c>
      <c r="C300" s="72" t="s">
        <v>31</v>
      </c>
      <c r="D300" s="73" t="s">
        <v>927</v>
      </c>
      <c r="E300" s="74"/>
      <c r="F300" s="74">
        <v>40664</v>
      </c>
      <c r="G300" s="75" t="str">
        <f>IF(stdProdLT(Main[[#This Row],[Comments]])=0.1,"N/A",IF(stdProdLT(Main[[#This Row],[Comments]])=0,"",stdProdLT(Main[[#This Row],[Comments]])))</f>
        <v/>
      </c>
      <c r="H300" s="76">
        <f>IF(AND(Main[[#This Row],[In Stock Date]]&lt;&gt;"",Main[[#This Row],[Revised Due Date]]&lt;&gt;""),Main[[#This Row],[In Stock Date]]-Main[[#This Row],[Revised Due Date]],"")</f>
        <v>87</v>
      </c>
      <c r="I300" s="72" t="s">
        <v>422</v>
      </c>
      <c r="J300" s="72" t="s">
        <v>75</v>
      </c>
      <c r="K300" s="81" t="s">
        <v>1941</v>
      </c>
      <c r="L300" s="74"/>
      <c r="M300" s="77" t="str">
        <f>IF(Main[[#This Row],[Tech Start Date]]&lt;1/1/1990,"",IF(Main[[#This Row],[Class]]="C",WORKDAY(Main[[#This Row],[Tech Start Date]],9),IF(Main[[#This Row],[Class]]="B", WORKDAY(Main[[#This Row],[Tech Start Date]],6),IF(Main[[#This Row],[Class]]="A",WORKDAY(Main[[#This Row],[Tech Start Date]],2),""))))</f>
        <v/>
      </c>
      <c r="N300" s="77" t="str">
        <f>IF(Main[[#This Row],[Tech Start Date]]&lt;1/1/1990,"",IF(Main[[#This Row],[Class]]="C",WORKDAY(Main[[#This Row],[Tech Start Date]],19),IF(Main[[#This Row],[Class]]="B", WORKDAY(Main[[#This Row],[Tech Start Date]],12),IF(Main[[#This Row],[Class]]="A",WORKDAY(Main[[#This Row],[Tech Start Date]],4),""))))</f>
        <v/>
      </c>
      <c r="O300" s="77" t="str">
        <f>IF(Main[[#This Row],[Tech Start Date]]&lt;1/1/1990,"",IF(Main[[#This Row],[Class]]="C",WORKDAY(Main[[#This Row],[Tech Start Date]],23),IF(Main[[#This Row],[Class]]="B", WORKDAY(Main[[#This Row],[Tech Start Date]],15),IF(Main[[#This Row],[Class]]="A",WORKDAY(Main[[#This Row],[Tech Start Date]],5),""))))</f>
        <v/>
      </c>
      <c r="P300" s="77" t="str">
        <f>IF(Main[[#This Row],[Tech Start Date]]&lt;1/1/1990,"",IF(Main[[#This Row],[Class]]="C",WORKDAY(Main[[#This Row],[Tech Start Date]],28),IF(Main[[#This Row],[Class]]="B", WORKDAY(Main[[#This Row],[Tech Start Date]],19),IF(Main[[#This Row],[Class]]="A",WORKDAY(Main[[#This Row],[Tech Start Date]],9),""))))</f>
        <v/>
      </c>
      <c r="Q300" s="74">
        <v>40589</v>
      </c>
      <c r="R300" s="74">
        <v>40577</v>
      </c>
      <c r="S300" s="72" t="s">
        <v>11</v>
      </c>
      <c r="T300" s="80" t="s">
        <v>4</v>
      </c>
      <c r="U300" s="72" t="s">
        <v>14</v>
      </c>
      <c r="V300" s="72" t="s">
        <v>1935</v>
      </c>
      <c r="W300" s="72" t="s">
        <v>1938</v>
      </c>
      <c r="X300" s="72" t="s">
        <v>2909</v>
      </c>
      <c r="Y300" s="72" t="s">
        <v>3054</v>
      </c>
      <c r="Z300" s="72" t="s">
        <v>535</v>
      </c>
      <c r="AA300" s="147" t="s">
        <v>2909</v>
      </c>
    </row>
    <row r="301" spans="1:27" ht="18.600000000000001" customHeight="1">
      <c r="A301" s="140" t="str">
        <f>IF(priority(Main[[#This Row],[Comments]])&lt;&gt;0, priority(Main[[#This Row],[Comments]]),"")</f>
        <v/>
      </c>
      <c r="B301" s="90" t="s">
        <v>1171</v>
      </c>
      <c r="C301" s="72" t="s">
        <v>214</v>
      </c>
      <c r="D301" s="73" t="s">
        <v>215</v>
      </c>
      <c r="E301" s="74"/>
      <c r="F301" s="74">
        <v>40391</v>
      </c>
      <c r="G301" s="75" t="str">
        <f>IF(stdProdLT(Main[[#This Row],[Comments]])=0.1,"N/A",IF(stdProdLT(Main[[#This Row],[Comments]])=0,"",stdProdLT(Main[[#This Row],[Comments]])))</f>
        <v/>
      </c>
      <c r="H301" s="76" t="str">
        <f>IF(AND(Main[[#This Row],[In Stock Date]]&lt;&gt;"",Main[[#This Row],[Revised Due Date]]&lt;&gt;""),Main[[#This Row],[In Stock Date]]-Main[[#This Row],[Revised Due Date]],"")</f>
        <v/>
      </c>
      <c r="I301" s="72" t="s">
        <v>4</v>
      </c>
      <c r="J301" s="72" t="s">
        <v>4</v>
      </c>
      <c r="K301" s="72" t="s">
        <v>4</v>
      </c>
      <c r="L301" s="74"/>
      <c r="M301" s="77" t="str">
        <f>IF(Main[[#This Row],[Tech Start Date]]&lt;1/1/1990,"",IF(Main[[#This Row],[Class]]="C",WORKDAY(Main[[#This Row],[Tech Start Date]],9),IF(Main[[#This Row],[Class]]="B", WORKDAY(Main[[#This Row],[Tech Start Date]],6),IF(Main[[#This Row],[Class]]="A",WORKDAY(Main[[#This Row],[Tech Start Date]],2),""))))</f>
        <v/>
      </c>
      <c r="N301" s="77" t="str">
        <f>IF(Main[[#This Row],[Tech Start Date]]&lt;1/1/1990,"",IF(Main[[#This Row],[Class]]="C",WORKDAY(Main[[#This Row],[Tech Start Date]],19),IF(Main[[#This Row],[Class]]="B", WORKDAY(Main[[#This Row],[Tech Start Date]],12),IF(Main[[#This Row],[Class]]="A",WORKDAY(Main[[#This Row],[Tech Start Date]],4),""))))</f>
        <v/>
      </c>
      <c r="O301" s="77" t="str">
        <f>IF(Main[[#This Row],[Tech Start Date]]&lt;1/1/1990,"",IF(Main[[#This Row],[Class]]="C",WORKDAY(Main[[#This Row],[Tech Start Date]],23),IF(Main[[#This Row],[Class]]="B", WORKDAY(Main[[#This Row],[Tech Start Date]],15),IF(Main[[#This Row],[Class]]="A",WORKDAY(Main[[#This Row],[Tech Start Date]],5),""))))</f>
        <v/>
      </c>
      <c r="P301" s="77" t="str">
        <f>IF(Main[[#This Row],[Tech Start Date]]&lt;1/1/1990,"",IF(Main[[#This Row],[Class]]="C",WORKDAY(Main[[#This Row],[Tech Start Date]],28),IF(Main[[#This Row],[Class]]="B", WORKDAY(Main[[#This Row],[Tech Start Date]],19),IF(Main[[#This Row],[Class]]="A",WORKDAY(Main[[#This Row],[Tech Start Date]],9),""))))</f>
        <v/>
      </c>
      <c r="Q301" s="74">
        <v>40296</v>
      </c>
      <c r="R301" s="74"/>
      <c r="S301" s="72" t="s">
        <v>11</v>
      </c>
      <c r="T301" s="80" t="s">
        <v>4</v>
      </c>
      <c r="U301" s="72" t="s">
        <v>12</v>
      </c>
      <c r="V301" s="72" t="s">
        <v>1932</v>
      </c>
      <c r="W301" s="72" t="s">
        <v>1940</v>
      </c>
      <c r="X301" s="72" t="s">
        <v>2917</v>
      </c>
      <c r="Y301" s="72" t="s">
        <v>4</v>
      </c>
      <c r="Z301" s="72" t="s">
        <v>4</v>
      </c>
      <c r="AA301" s="147" t="s">
        <v>2917</v>
      </c>
    </row>
    <row r="302" spans="1:27" ht="18.600000000000001" customHeight="1">
      <c r="A302" s="140" t="str">
        <f>IF(priority(Main[[#This Row],[Comments]])&lt;&gt;0, priority(Main[[#This Row],[Comments]]),"")</f>
        <v/>
      </c>
      <c r="B302" s="124" t="s">
        <v>1173</v>
      </c>
      <c r="C302" s="117" t="s">
        <v>216</v>
      </c>
      <c r="D302" s="118" t="s">
        <v>217</v>
      </c>
      <c r="E302" s="119">
        <v>40395.391388888886</v>
      </c>
      <c r="F302" s="119">
        <v>40574</v>
      </c>
      <c r="G302" s="120" t="str">
        <f>IF(stdProdLT(Main[[#This Row],[Comments]])=0.1,"N/A",IF(stdProdLT(Main[[#This Row],[Comments]])=0,"",stdProdLT(Main[[#This Row],[Comments]])))</f>
        <v/>
      </c>
      <c r="H302" s="121" t="str">
        <f>IF(AND(Main[[#This Row],[In Stock Date]]&lt;&gt;"",Main[[#This Row],[Revised Due Date]]&lt;&gt;""),Main[[#This Row],[In Stock Date]]-Main[[#This Row],[Revised Due Date]],"")</f>
        <v/>
      </c>
      <c r="I302" s="117" t="s">
        <v>4</v>
      </c>
      <c r="J302" s="117" t="s">
        <v>28</v>
      </c>
      <c r="K302" s="117" t="s">
        <v>4</v>
      </c>
      <c r="L302" s="119"/>
      <c r="M302" s="122" t="str">
        <f>IF(Main[[#This Row],[Tech Start Date]]&lt;1/1/1990,"",IF(Main[[#This Row],[Class]]="C",WORKDAY(Main[[#This Row],[Tech Start Date]],9),IF(Main[[#This Row],[Class]]="B", WORKDAY(Main[[#This Row],[Tech Start Date]],6),IF(Main[[#This Row],[Class]]="A",WORKDAY(Main[[#This Row],[Tech Start Date]],2),""))))</f>
        <v/>
      </c>
      <c r="N302" s="122" t="str">
        <f>IF(Main[[#This Row],[Tech Start Date]]&lt;1/1/1990,"",IF(Main[[#This Row],[Class]]="C",WORKDAY(Main[[#This Row],[Tech Start Date]],19),IF(Main[[#This Row],[Class]]="B", WORKDAY(Main[[#This Row],[Tech Start Date]],12),IF(Main[[#This Row],[Class]]="A",WORKDAY(Main[[#This Row],[Tech Start Date]],4),""))))</f>
        <v/>
      </c>
      <c r="O302" s="122" t="str">
        <f>IF(Main[[#This Row],[Tech Start Date]]&lt;1/1/1990,"",IF(Main[[#This Row],[Class]]="C",WORKDAY(Main[[#This Row],[Tech Start Date]],23),IF(Main[[#This Row],[Class]]="B", WORKDAY(Main[[#This Row],[Tech Start Date]],15),IF(Main[[#This Row],[Class]]="A",WORKDAY(Main[[#This Row],[Tech Start Date]],5),""))))</f>
        <v/>
      </c>
      <c r="P302" s="122" t="str">
        <f>IF(Main[[#This Row],[Tech Start Date]]&lt;1/1/1990,"",IF(Main[[#This Row],[Class]]="C",WORKDAY(Main[[#This Row],[Tech Start Date]],28),IF(Main[[#This Row],[Class]]="B", WORKDAY(Main[[#This Row],[Tech Start Date]],19),IF(Main[[#This Row],[Class]]="A",WORKDAY(Main[[#This Row],[Tech Start Date]],9),""))))</f>
        <v/>
      </c>
      <c r="Q302" s="119"/>
      <c r="R302" s="119"/>
      <c r="S302" s="117" t="s">
        <v>17</v>
      </c>
      <c r="T302" s="123" t="s">
        <v>4</v>
      </c>
      <c r="U302" s="117" t="s">
        <v>7</v>
      </c>
      <c r="V302" s="117" t="s">
        <v>1932</v>
      </c>
      <c r="W302" s="117" t="s">
        <v>1937</v>
      </c>
      <c r="X302" s="117" t="s">
        <v>50</v>
      </c>
      <c r="Y302" s="117" t="s">
        <v>3094</v>
      </c>
      <c r="Z302" s="117" t="s">
        <v>129</v>
      </c>
      <c r="AA302" s="147" t="s">
        <v>65</v>
      </c>
    </row>
    <row r="303" spans="1:27" ht="18.600000000000001" customHeight="1">
      <c r="A303" s="140" t="str">
        <f>IF(priority(Main[[#This Row],[Comments]])&lt;&gt;0, priority(Main[[#This Row],[Comments]]),"")</f>
        <v/>
      </c>
      <c r="B303" s="90" t="s">
        <v>1174</v>
      </c>
      <c r="C303" s="72" t="s">
        <v>171</v>
      </c>
      <c r="D303" s="73" t="s">
        <v>218</v>
      </c>
      <c r="E303" s="74"/>
      <c r="F303" s="74">
        <v>40237</v>
      </c>
      <c r="G303" s="75" t="str">
        <f>IF(stdProdLT(Main[[#This Row],[Comments]])=0.1,"N/A",IF(stdProdLT(Main[[#This Row],[Comments]])=0,"",stdProdLT(Main[[#This Row],[Comments]])))</f>
        <v/>
      </c>
      <c r="H303" s="76" t="str">
        <f>IF(AND(Main[[#This Row],[In Stock Date]]&lt;&gt;"",Main[[#This Row],[Revised Due Date]]&lt;&gt;""),Main[[#This Row],[In Stock Date]]-Main[[#This Row],[Revised Due Date]],"")</f>
        <v/>
      </c>
      <c r="I303" s="72" t="s">
        <v>4</v>
      </c>
      <c r="J303" s="72" t="s">
        <v>4</v>
      </c>
      <c r="K303" s="72" t="s">
        <v>4</v>
      </c>
      <c r="L303" s="74"/>
      <c r="M303" s="77" t="str">
        <f>IF(Main[[#This Row],[Tech Start Date]]&lt;1/1/1990,"",IF(Main[[#This Row],[Class]]="C",WORKDAY(Main[[#This Row],[Tech Start Date]],9),IF(Main[[#This Row],[Class]]="B", WORKDAY(Main[[#This Row],[Tech Start Date]],6),IF(Main[[#This Row],[Class]]="A",WORKDAY(Main[[#This Row],[Tech Start Date]],2),""))))</f>
        <v/>
      </c>
      <c r="N303" s="77" t="str">
        <f>IF(Main[[#This Row],[Tech Start Date]]&lt;1/1/1990,"",IF(Main[[#This Row],[Class]]="C",WORKDAY(Main[[#This Row],[Tech Start Date]],19),IF(Main[[#This Row],[Class]]="B", WORKDAY(Main[[#This Row],[Tech Start Date]],12),IF(Main[[#This Row],[Class]]="A",WORKDAY(Main[[#This Row],[Tech Start Date]],4),""))))</f>
        <v/>
      </c>
      <c r="O303" s="77" t="str">
        <f>IF(Main[[#This Row],[Tech Start Date]]&lt;1/1/1990,"",IF(Main[[#This Row],[Class]]="C",WORKDAY(Main[[#This Row],[Tech Start Date]],23),IF(Main[[#This Row],[Class]]="B", WORKDAY(Main[[#This Row],[Tech Start Date]],15),IF(Main[[#This Row],[Class]]="A",WORKDAY(Main[[#This Row],[Tech Start Date]],5),""))))</f>
        <v/>
      </c>
      <c r="P303" s="77" t="str">
        <f>IF(Main[[#This Row],[Tech Start Date]]&lt;1/1/1990,"",IF(Main[[#This Row],[Class]]="C",WORKDAY(Main[[#This Row],[Tech Start Date]],28),IF(Main[[#This Row],[Class]]="B", WORKDAY(Main[[#This Row],[Tech Start Date]],19),IF(Main[[#This Row],[Class]]="A",WORKDAY(Main[[#This Row],[Tech Start Date]],9),""))))</f>
        <v/>
      </c>
      <c r="Q303" s="74">
        <v>40132</v>
      </c>
      <c r="R303" s="74"/>
      <c r="S303" s="72" t="s">
        <v>11</v>
      </c>
      <c r="T303" s="80" t="s">
        <v>4</v>
      </c>
      <c r="U303" s="72" t="s">
        <v>14</v>
      </c>
      <c r="V303" s="72" t="s">
        <v>1932</v>
      </c>
      <c r="W303" s="72" t="s">
        <v>1937</v>
      </c>
      <c r="X303" s="72" t="s">
        <v>2942</v>
      </c>
      <c r="Y303" s="72" t="s">
        <v>4</v>
      </c>
      <c r="Z303" s="72" t="s">
        <v>4</v>
      </c>
      <c r="AA303" s="147" t="s">
        <v>2942</v>
      </c>
    </row>
    <row r="304" spans="1:27" ht="18.600000000000001" customHeight="1">
      <c r="A304" s="140" t="str">
        <f>IF(priority(Main[[#This Row],[Comments]])&lt;&gt;0, priority(Main[[#This Row],[Comments]]),"")</f>
        <v/>
      </c>
      <c r="B304" s="90" t="s">
        <v>1175</v>
      </c>
      <c r="C304" s="72" t="s">
        <v>4</v>
      </c>
      <c r="D304" s="73" t="s">
        <v>219</v>
      </c>
      <c r="E304" s="74"/>
      <c r="F304" s="74"/>
      <c r="G304" s="75" t="str">
        <f>IF(stdProdLT(Main[[#This Row],[Comments]])=0.1,"N/A",IF(stdProdLT(Main[[#This Row],[Comments]])=0,"",stdProdLT(Main[[#This Row],[Comments]])))</f>
        <v/>
      </c>
      <c r="H304" s="76" t="str">
        <f>IF(AND(Main[[#This Row],[In Stock Date]]&lt;&gt;"",Main[[#This Row],[Revised Due Date]]&lt;&gt;""),Main[[#This Row],[In Stock Date]]-Main[[#This Row],[Revised Due Date]],"")</f>
        <v/>
      </c>
      <c r="I304" s="72" t="s">
        <v>4</v>
      </c>
      <c r="J304" s="72" t="s">
        <v>4</v>
      </c>
      <c r="K304" s="72" t="s">
        <v>4</v>
      </c>
      <c r="L304" s="74"/>
      <c r="M304" s="77" t="str">
        <f>IF(Main[[#This Row],[Tech Start Date]]&lt;1/1/1990,"",IF(Main[[#This Row],[Class]]="C",WORKDAY(Main[[#This Row],[Tech Start Date]],9),IF(Main[[#This Row],[Class]]="B", WORKDAY(Main[[#This Row],[Tech Start Date]],6),IF(Main[[#This Row],[Class]]="A",WORKDAY(Main[[#This Row],[Tech Start Date]],2),""))))</f>
        <v/>
      </c>
      <c r="N304" s="77" t="str">
        <f>IF(Main[[#This Row],[Tech Start Date]]&lt;1/1/1990,"",IF(Main[[#This Row],[Class]]="C",WORKDAY(Main[[#This Row],[Tech Start Date]],19),IF(Main[[#This Row],[Class]]="B", WORKDAY(Main[[#This Row],[Tech Start Date]],12),IF(Main[[#This Row],[Class]]="A",WORKDAY(Main[[#This Row],[Tech Start Date]],4),""))))</f>
        <v/>
      </c>
      <c r="O304" s="77" t="str">
        <f>IF(Main[[#This Row],[Tech Start Date]]&lt;1/1/1990,"",IF(Main[[#This Row],[Class]]="C",WORKDAY(Main[[#This Row],[Tech Start Date]],23),IF(Main[[#This Row],[Class]]="B", WORKDAY(Main[[#This Row],[Tech Start Date]],15),IF(Main[[#This Row],[Class]]="A",WORKDAY(Main[[#This Row],[Tech Start Date]],5),""))))</f>
        <v/>
      </c>
      <c r="P304" s="77" t="str">
        <f>IF(Main[[#This Row],[Tech Start Date]]&lt;1/1/1990,"",IF(Main[[#This Row],[Class]]="C",WORKDAY(Main[[#This Row],[Tech Start Date]],28),IF(Main[[#This Row],[Class]]="B", WORKDAY(Main[[#This Row],[Tech Start Date]],19),IF(Main[[#This Row],[Class]]="A",WORKDAY(Main[[#This Row],[Tech Start Date]],9),""))))</f>
        <v/>
      </c>
      <c r="Q304" s="74"/>
      <c r="R304" s="74"/>
      <c r="S304" s="72" t="s">
        <v>17</v>
      </c>
      <c r="T304" s="80" t="s">
        <v>4</v>
      </c>
      <c r="U304" s="72" t="s">
        <v>12</v>
      </c>
      <c r="V304" s="72" t="s">
        <v>1932</v>
      </c>
      <c r="W304" s="72" t="s">
        <v>1936</v>
      </c>
      <c r="X304" s="72" t="s">
        <v>888</v>
      </c>
      <c r="Y304" s="72" t="s">
        <v>4</v>
      </c>
      <c r="Z304" s="72" t="s">
        <v>4</v>
      </c>
      <c r="AA304" s="147" t="s">
        <v>4</v>
      </c>
    </row>
    <row r="305" spans="1:27" ht="18.600000000000001" customHeight="1">
      <c r="A305" s="140" t="str">
        <f>IF(priority(Main[[#This Row],[Comments]])&lt;&gt;0, priority(Main[[#This Row],[Comments]]),"")</f>
        <v/>
      </c>
      <c r="B305" s="90" t="s">
        <v>1177</v>
      </c>
      <c r="C305" s="72" t="s">
        <v>93</v>
      </c>
      <c r="D305" s="73" t="s">
        <v>221</v>
      </c>
      <c r="E305" s="74"/>
      <c r="F305" s="74">
        <v>40299</v>
      </c>
      <c r="G305" s="75" t="str">
        <f>IF(stdProdLT(Main[[#This Row],[Comments]])=0.1,"N/A",IF(stdProdLT(Main[[#This Row],[Comments]])=0,"",stdProdLT(Main[[#This Row],[Comments]])))</f>
        <v/>
      </c>
      <c r="H305" s="76" t="str">
        <f>IF(AND(Main[[#This Row],[In Stock Date]]&lt;&gt;"",Main[[#This Row],[Revised Due Date]]&lt;&gt;""),Main[[#This Row],[In Stock Date]]-Main[[#This Row],[Revised Due Date]],"")</f>
        <v/>
      </c>
      <c r="I305" s="72" t="s">
        <v>4</v>
      </c>
      <c r="J305" s="72" t="s">
        <v>4</v>
      </c>
      <c r="K305" s="72" t="s">
        <v>4</v>
      </c>
      <c r="L305" s="74"/>
      <c r="M305" s="77" t="str">
        <f>IF(Main[[#This Row],[Tech Start Date]]&lt;1/1/1990,"",IF(Main[[#This Row],[Class]]="C",WORKDAY(Main[[#This Row],[Tech Start Date]],9),IF(Main[[#This Row],[Class]]="B", WORKDAY(Main[[#This Row],[Tech Start Date]],6),IF(Main[[#This Row],[Class]]="A",WORKDAY(Main[[#This Row],[Tech Start Date]],2),""))))</f>
        <v/>
      </c>
      <c r="N305" s="77" t="str">
        <f>IF(Main[[#This Row],[Tech Start Date]]&lt;1/1/1990,"",IF(Main[[#This Row],[Class]]="C",WORKDAY(Main[[#This Row],[Tech Start Date]],19),IF(Main[[#This Row],[Class]]="B", WORKDAY(Main[[#This Row],[Tech Start Date]],12),IF(Main[[#This Row],[Class]]="A",WORKDAY(Main[[#This Row],[Tech Start Date]],4),""))))</f>
        <v/>
      </c>
      <c r="O305" s="77" t="str">
        <f>IF(Main[[#This Row],[Tech Start Date]]&lt;1/1/1990,"",IF(Main[[#This Row],[Class]]="C",WORKDAY(Main[[#This Row],[Tech Start Date]],23),IF(Main[[#This Row],[Class]]="B", WORKDAY(Main[[#This Row],[Tech Start Date]],15),IF(Main[[#This Row],[Class]]="A",WORKDAY(Main[[#This Row],[Tech Start Date]],5),""))))</f>
        <v/>
      </c>
      <c r="P305" s="77" t="str">
        <f>IF(Main[[#This Row],[Tech Start Date]]&lt;1/1/1990,"",IF(Main[[#This Row],[Class]]="C",WORKDAY(Main[[#This Row],[Tech Start Date]],28),IF(Main[[#This Row],[Class]]="B", WORKDAY(Main[[#This Row],[Tech Start Date]],19),IF(Main[[#This Row],[Class]]="A",WORKDAY(Main[[#This Row],[Tech Start Date]],9),""))))</f>
        <v/>
      </c>
      <c r="Q305" s="74">
        <v>40214</v>
      </c>
      <c r="R305" s="74"/>
      <c r="S305" s="72" t="s">
        <v>11</v>
      </c>
      <c r="T305" s="80" t="s">
        <v>4</v>
      </c>
      <c r="U305" s="72" t="s">
        <v>12</v>
      </c>
      <c r="V305" s="72" t="s">
        <v>1932</v>
      </c>
      <c r="W305" s="72" t="s">
        <v>1938</v>
      </c>
      <c r="X305" s="72" t="s">
        <v>2929</v>
      </c>
      <c r="Y305" s="72" t="s">
        <v>4</v>
      </c>
      <c r="Z305" s="72" t="s">
        <v>4</v>
      </c>
      <c r="AA305" s="147" t="s">
        <v>2929</v>
      </c>
    </row>
    <row r="306" spans="1:27" ht="18.600000000000001" customHeight="1">
      <c r="A306" s="140" t="str">
        <f>IF(priority(Main[[#This Row],[Comments]])&lt;&gt;0, priority(Main[[#This Row],[Comments]]),"")</f>
        <v/>
      </c>
      <c r="B306" s="90" t="s">
        <v>1178</v>
      </c>
      <c r="C306" s="72" t="s">
        <v>113</v>
      </c>
      <c r="D306" s="73" t="s">
        <v>222</v>
      </c>
      <c r="E306" s="74"/>
      <c r="F306" s="74">
        <v>40193</v>
      </c>
      <c r="G306" s="75" t="str">
        <f>IF(stdProdLT(Main[[#This Row],[Comments]])=0.1,"N/A",IF(stdProdLT(Main[[#This Row],[Comments]])=0,"",stdProdLT(Main[[#This Row],[Comments]])))</f>
        <v/>
      </c>
      <c r="H306" s="76" t="str">
        <f>IF(AND(Main[[#This Row],[In Stock Date]]&lt;&gt;"",Main[[#This Row],[Revised Due Date]]&lt;&gt;""),Main[[#This Row],[In Stock Date]]-Main[[#This Row],[Revised Due Date]],"")</f>
        <v/>
      </c>
      <c r="I306" s="72" t="s">
        <v>4</v>
      </c>
      <c r="J306" s="72" t="s">
        <v>4</v>
      </c>
      <c r="K306" s="81" t="s">
        <v>4</v>
      </c>
      <c r="L306" s="74"/>
      <c r="M306" s="77" t="str">
        <f>IF(Main[[#This Row],[Tech Start Date]]&lt;1/1/1990,"",IF(Main[[#This Row],[Class]]="C",WORKDAY(Main[[#This Row],[Tech Start Date]],9),IF(Main[[#This Row],[Class]]="B", WORKDAY(Main[[#This Row],[Tech Start Date]],6),IF(Main[[#This Row],[Class]]="A",WORKDAY(Main[[#This Row],[Tech Start Date]],2),""))))</f>
        <v/>
      </c>
      <c r="N306" s="77" t="str">
        <f>IF(Main[[#This Row],[Tech Start Date]]&lt;1/1/1990,"",IF(Main[[#This Row],[Class]]="C",WORKDAY(Main[[#This Row],[Tech Start Date]],19),IF(Main[[#This Row],[Class]]="B", WORKDAY(Main[[#This Row],[Tech Start Date]],12),IF(Main[[#This Row],[Class]]="A",WORKDAY(Main[[#This Row],[Tech Start Date]],4),""))))</f>
        <v/>
      </c>
      <c r="O306" s="77" t="str">
        <f>IF(Main[[#This Row],[Tech Start Date]]&lt;1/1/1990,"",IF(Main[[#This Row],[Class]]="C",WORKDAY(Main[[#This Row],[Tech Start Date]],23),IF(Main[[#This Row],[Class]]="B", WORKDAY(Main[[#This Row],[Tech Start Date]],15),IF(Main[[#This Row],[Class]]="A",WORKDAY(Main[[#This Row],[Tech Start Date]],5),""))))</f>
        <v/>
      </c>
      <c r="P306" s="77" t="str">
        <f>IF(Main[[#This Row],[Tech Start Date]]&lt;1/1/1990,"",IF(Main[[#This Row],[Class]]="C",WORKDAY(Main[[#This Row],[Tech Start Date]],28),IF(Main[[#This Row],[Class]]="B", WORKDAY(Main[[#This Row],[Tech Start Date]],19),IF(Main[[#This Row],[Class]]="A",WORKDAY(Main[[#This Row],[Tech Start Date]],9),""))))</f>
        <v/>
      </c>
      <c r="Q306" s="74">
        <v>40448</v>
      </c>
      <c r="R306" s="74"/>
      <c r="S306" s="72" t="s">
        <v>11</v>
      </c>
      <c r="T306" s="80" t="s">
        <v>4</v>
      </c>
      <c r="U306" s="72" t="s">
        <v>14</v>
      </c>
      <c r="V306" s="72" t="s">
        <v>1942</v>
      </c>
      <c r="W306" s="72" t="s">
        <v>1938</v>
      </c>
      <c r="X306" s="72" t="s">
        <v>2928</v>
      </c>
      <c r="Y306" s="72" t="s">
        <v>3064</v>
      </c>
      <c r="Z306" s="72" t="s">
        <v>4</v>
      </c>
      <c r="AA306" s="147" t="s">
        <v>2928</v>
      </c>
    </row>
    <row r="307" spans="1:27" ht="18.600000000000001" customHeight="1">
      <c r="A307" s="140" t="str">
        <f>IF(priority(Main[[#This Row],[Comments]])&lt;&gt;0, priority(Main[[#This Row],[Comments]]),"")</f>
        <v/>
      </c>
      <c r="B307" s="90" t="s">
        <v>1179</v>
      </c>
      <c r="C307" s="72" t="s">
        <v>4</v>
      </c>
      <c r="D307" s="73" t="s">
        <v>223</v>
      </c>
      <c r="E307" s="74"/>
      <c r="F307" s="74">
        <v>40031</v>
      </c>
      <c r="G307" s="75" t="str">
        <f>IF(stdProdLT(Main[[#This Row],[Comments]])=0.1,"N/A",IF(stdProdLT(Main[[#This Row],[Comments]])=0,"",stdProdLT(Main[[#This Row],[Comments]])))</f>
        <v/>
      </c>
      <c r="H307" s="76" t="str">
        <f>IF(AND(Main[[#This Row],[In Stock Date]]&lt;&gt;"",Main[[#This Row],[Revised Due Date]]&lt;&gt;""),Main[[#This Row],[In Stock Date]]-Main[[#This Row],[Revised Due Date]],"")</f>
        <v/>
      </c>
      <c r="I307" s="72" t="s">
        <v>4</v>
      </c>
      <c r="J307" s="72" t="s">
        <v>4</v>
      </c>
      <c r="K307" s="81" t="s">
        <v>4</v>
      </c>
      <c r="L307" s="74"/>
      <c r="M307" s="77" t="str">
        <f>IF(Main[[#This Row],[Tech Start Date]]&lt;1/1/1990,"",IF(Main[[#This Row],[Class]]="C",WORKDAY(Main[[#This Row],[Tech Start Date]],9),IF(Main[[#This Row],[Class]]="B", WORKDAY(Main[[#This Row],[Tech Start Date]],6),IF(Main[[#This Row],[Class]]="A",WORKDAY(Main[[#This Row],[Tech Start Date]],2),""))))</f>
        <v/>
      </c>
      <c r="N307" s="77" t="str">
        <f>IF(Main[[#This Row],[Tech Start Date]]&lt;1/1/1990,"",IF(Main[[#This Row],[Class]]="C",WORKDAY(Main[[#This Row],[Tech Start Date]],19),IF(Main[[#This Row],[Class]]="B", WORKDAY(Main[[#This Row],[Tech Start Date]],12),IF(Main[[#This Row],[Class]]="A",WORKDAY(Main[[#This Row],[Tech Start Date]],4),""))))</f>
        <v/>
      </c>
      <c r="O307" s="77" t="str">
        <f>IF(Main[[#This Row],[Tech Start Date]]&lt;1/1/1990,"",IF(Main[[#This Row],[Class]]="C",WORKDAY(Main[[#This Row],[Tech Start Date]],23),IF(Main[[#This Row],[Class]]="B", WORKDAY(Main[[#This Row],[Tech Start Date]],15),IF(Main[[#This Row],[Class]]="A",WORKDAY(Main[[#This Row],[Tech Start Date]],5),""))))</f>
        <v/>
      </c>
      <c r="P307" s="77" t="str">
        <f>IF(Main[[#This Row],[Tech Start Date]]&lt;1/1/1990,"",IF(Main[[#This Row],[Class]]="C",WORKDAY(Main[[#This Row],[Tech Start Date]],28),IF(Main[[#This Row],[Class]]="B", WORKDAY(Main[[#This Row],[Tech Start Date]],19),IF(Main[[#This Row],[Class]]="A",WORKDAY(Main[[#This Row],[Tech Start Date]],9),""))))</f>
        <v/>
      </c>
      <c r="Q307" s="74">
        <v>39976</v>
      </c>
      <c r="R307" s="74"/>
      <c r="S307" s="72" t="s">
        <v>11</v>
      </c>
      <c r="T307" s="80" t="s">
        <v>4</v>
      </c>
      <c r="U307" s="72" t="s">
        <v>14</v>
      </c>
      <c r="V307" s="72" t="s">
        <v>1933</v>
      </c>
      <c r="W307" s="72" t="s">
        <v>1940</v>
      </c>
      <c r="X307" s="72" t="s">
        <v>2908</v>
      </c>
      <c r="Y307" s="72" t="s">
        <v>3030</v>
      </c>
      <c r="Z307" s="72" t="s">
        <v>4</v>
      </c>
      <c r="AA307" s="147" t="s">
        <v>2908</v>
      </c>
    </row>
    <row r="308" spans="1:27" ht="18.600000000000001" customHeight="1">
      <c r="A308" s="140" t="str">
        <f>IF(priority(Main[[#This Row],[Comments]])&lt;&gt;0, priority(Main[[#This Row],[Comments]]),"")</f>
        <v/>
      </c>
      <c r="B308" s="90" t="s">
        <v>1180</v>
      </c>
      <c r="C308" s="72" t="s">
        <v>4</v>
      </c>
      <c r="D308" s="73" t="s">
        <v>224</v>
      </c>
      <c r="E308" s="74"/>
      <c r="F308" s="74">
        <v>40309</v>
      </c>
      <c r="G308" s="75" t="str">
        <f>IF(stdProdLT(Main[[#This Row],[Comments]])=0.1,"N/A",IF(stdProdLT(Main[[#This Row],[Comments]])=0,"",stdProdLT(Main[[#This Row],[Comments]])))</f>
        <v/>
      </c>
      <c r="H308" s="76" t="str">
        <f>IF(AND(Main[[#This Row],[In Stock Date]]&lt;&gt;"",Main[[#This Row],[Revised Due Date]]&lt;&gt;""),Main[[#This Row],[In Stock Date]]-Main[[#This Row],[Revised Due Date]],"")</f>
        <v/>
      </c>
      <c r="I308" s="72" t="s">
        <v>4</v>
      </c>
      <c r="J308" s="72" t="s">
        <v>4</v>
      </c>
      <c r="K308" s="72" t="s">
        <v>4</v>
      </c>
      <c r="L308" s="74"/>
      <c r="M308" s="77" t="str">
        <f>IF(Main[[#This Row],[Tech Start Date]]&lt;1/1/1990,"",IF(Main[[#This Row],[Class]]="C",WORKDAY(Main[[#This Row],[Tech Start Date]],9),IF(Main[[#This Row],[Class]]="B", WORKDAY(Main[[#This Row],[Tech Start Date]],6),IF(Main[[#This Row],[Class]]="A",WORKDAY(Main[[#This Row],[Tech Start Date]],2),""))))</f>
        <v/>
      </c>
      <c r="N308" s="77" t="str">
        <f>IF(Main[[#This Row],[Tech Start Date]]&lt;1/1/1990,"",IF(Main[[#This Row],[Class]]="C",WORKDAY(Main[[#This Row],[Tech Start Date]],19),IF(Main[[#This Row],[Class]]="B", WORKDAY(Main[[#This Row],[Tech Start Date]],12),IF(Main[[#This Row],[Class]]="A",WORKDAY(Main[[#This Row],[Tech Start Date]],4),""))))</f>
        <v/>
      </c>
      <c r="O308" s="77" t="str">
        <f>IF(Main[[#This Row],[Tech Start Date]]&lt;1/1/1990,"",IF(Main[[#This Row],[Class]]="C",WORKDAY(Main[[#This Row],[Tech Start Date]],23),IF(Main[[#This Row],[Class]]="B", WORKDAY(Main[[#This Row],[Tech Start Date]],15),IF(Main[[#This Row],[Class]]="A",WORKDAY(Main[[#This Row],[Tech Start Date]],5),""))))</f>
        <v/>
      </c>
      <c r="P308" s="77" t="str">
        <f>IF(Main[[#This Row],[Tech Start Date]]&lt;1/1/1990,"",IF(Main[[#This Row],[Class]]="C",WORKDAY(Main[[#This Row],[Tech Start Date]],28),IF(Main[[#This Row],[Class]]="B", WORKDAY(Main[[#This Row],[Tech Start Date]],19),IF(Main[[#This Row],[Class]]="A",WORKDAY(Main[[#This Row],[Tech Start Date]],9),""))))</f>
        <v/>
      </c>
      <c r="Q308" s="74">
        <v>40305</v>
      </c>
      <c r="R308" s="74"/>
      <c r="S308" s="72" t="s">
        <v>6</v>
      </c>
      <c r="T308" s="80" t="s">
        <v>4</v>
      </c>
      <c r="U308" s="72" t="s">
        <v>12</v>
      </c>
      <c r="V308" s="72" t="s">
        <v>1932</v>
      </c>
      <c r="W308" s="72" t="s">
        <v>1940</v>
      </c>
      <c r="X308" s="72" t="s">
        <v>2908</v>
      </c>
      <c r="Y308" s="72" t="s">
        <v>3030</v>
      </c>
      <c r="Z308" s="72" t="s">
        <v>4</v>
      </c>
      <c r="AA308" s="147" t="s">
        <v>2908</v>
      </c>
    </row>
    <row r="309" spans="1:27" ht="18.600000000000001" customHeight="1">
      <c r="A309" s="157" t="str">
        <f>IF(priority(Main[[#This Row],[Comments]])&lt;&gt;0, priority(Main[[#This Row],[Comments]]),"")</f>
        <v/>
      </c>
      <c r="B309" s="158" t="s">
        <v>1181</v>
      </c>
      <c r="C309" s="159" t="s">
        <v>31</v>
      </c>
      <c r="D309" s="160" t="s">
        <v>225</v>
      </c>
      <c r="E309" s="162"/>
      <c r="F309" s="162">
        <v>40169</v>
      </c>
      <c r="G309" s="164" t="str">
        <f>IF(stdProdLT(Main[[#This Row],[Comments]])=0.1,"N/A",IF(stdProdLT(Main[[#This Row],[Comments]])=0,"",stdProdLT(Main[[#This Row],[Comments]])))</f>
        <v/>
      </c>
      <c r="H309" s="166" t="str">
        <f>IF(AND(Main[[#This Row],[In Stock Date]]&lt;&gt;"",Main[[#This Row],[Revised Due Date]]&lt;&gt;""),Main[[#This Row],[In Stock Date]]-Main[[#This Row],[Revised Due Date]],"")</f>
        <v/>
      </c>
      <c r="I309" s="159" t="s">
        <v>4</v>
      </c>
      <c r="J309" s="159" t="s">
        <v>4</v>
      </c>
      <c r="K309" s="159" t="s">
        <v>4</v>
      </c>
      <c r="L309" s="162"/>
      <c r="M309" s="169" t="str">
        <f>IF(Main[[#This Row],[Tech Start Date]]&lt;1/1/1990,"",IF(Main[[#This Row],[Class]]="C",WORKDAY(Main[[#This Row],[Tech Start Date]],9),IF(Main[[#This Row],[Class]]="B", WORKDAY(Main[[#This Row],[Tech Start Date]],6),IF(Main[[#This Row],[Class]]="A",WORKDAY(Main[[#This Row],[Tech Start Date]],2),""))))</f>
        <v/>
      </c>
      <c r="N309" s="169" t="str">
        <f>IF(Main[[#This Row],[Tech Start Date]]&lt;1/1/1990,"",IF(Main[[#This Row],[Class]]="C",WORKDAY(Main[[#This Row],[Tech Start Date]],19),IF(Main[[#This Row],[Class]]="B", WORKDAY(Main[[#This Row],[Tech Start Date]],12),IF(Main[[#This Row],[Class]]="A",WORKDAY(Main[[#This Row],[Tech Start Date]],4),""))))</f>
        <v/>
      </c>
      <c r="O309" s="169" t="str">
        <f>IF(Main[[#This Row],[Tech Start Date]]&lt;1/1/1990,"",IF(Main[[#This Row],[Class]]="C",WORKDAY(Main[[#This Row],[Tech Start Date]],23),IF(Main[[#This Row],[Class]]="B", WORKDAY(Main[[#This Row],[Tech Start Date]],15),IF(Main[[#This Row],[Class]]="A",WORKDAY(Main[[#This Row],[Tech Start Date]],5),""))))</f>
        <v/>
      </c>
      <c r="P309" s="169" t="str">
        <f>IF(Main[[#This Row],[Tech Start Date]]&lt;1/1/1990,"",IF(Main[[#This Row],[Class]]="C",WORKDAY(Main[[#This Row],[Tech Start Date]],28),IF(Main[[#This Row],[Class]]="B", WORKDAY(Main[[#This Row],[Tech Start Date]],19),IF(Main[[#This Row],[Class]]="A",WORKDAY(Main[[#This Row],[Tech Start Date]],9),""))))</f>
        <v/>
      </c>
      <c r="Q309" s="162">
        <v>40169</v>
      </c>
      <c r="R309" s="162"/>
      <c r="S309" s="159" t="s">
        <v>11</v>
      </c>
      <c r="T309" s="173" t="s">
        <v>4</v>
      </c>
      <c r="U309" s="159" t="s">
        <v>14</v>
      </c>
      <c r="V309" s="159" t="s">
        <v>1933</v>
      </c>
      <c r="W309" s="159" t="s">
        <v>1940</v>
      </c>
      <c r="X309" s="159" t="s">
        <v>2919</v>
      </c>
      <c r="Y309" s="159" t="s">
        <v>4</v>
      </c>
      <c r="Z309" s="159" t="s">
        <v>4</v>
      </c>
      <c r="AA309" s="154" t="s">
        <v>2919</v>
      </c>
    </row>
    <row r="310" spans="1:27" ht="18.600000000000001" customHeight="1">
      <c r="A310" s="140" t="str">
        <f>IF(priority(Main[[#This Row],[Comments]])&lt;&gt;0, priority(Main[[#This Row],[Comments]]),"")</f>
        <v/>
      </c>
      <c r="B310" s="90" t="s">
        <v>1182</v>
      </c>
      <c r="C310" s="72" t="s">
        <v>72</v>
      </c>
      <c r="D310" s="73" t="s">
        <v>226</v>
      </c>
      <c r="E310" s="74"/>
      <c r="F310" s="74">
        <v>40391</v>
      </c>
      <c r="G310" s="75" t="str">
        <f>IF(stdProdLT(Main[[#This Row],[Comments]])=0.1,"N/A",IF(stdProdLT(Main[[#This Row],[Comments]])=0,"",stdProdLT(Main[[#This Row],[Comments]])))</f>
        <v/>
      </c>
      <c r="H310" s="76" t="str">
        <f>IF(AND(Main[[#This Row],[In Stock Date]]&lt;&gt;"",Main[[#This Row],[Revised Due Date]]&lt;&gt;""),Main[[#This Row],[In Stock Date]]-Main[[#This Row],[Revised Due Date]],"")</f>
        <v/>
      </c>
      <c r="I310" s="72" t="s">
        <v>4</v>
      </c>
      <c r="J310" s="72" t="s">
        <v>4</v>
      </c>
      <c r="K310" s="72" t="s">
        <v>4</v>
      </c>
      <c r="L310" s="74"/>
      <c r="M310" s="77" t="str">
        <f>IF(Main[[#This Row],[Tech Start Date]]&lt;1/1/1990,"",IF(Main[[#This Row],[Class]]="C",WORKDAY(Main[[#This Row],[Tech Start Date]],9),IF(Main[[#This Row],[Class]]="B", WORKDAY(Main[[#This Row],[Tech Start Date]],6),IF(Main[[#This Row],[Class]]="A",WORKDAY(Main[[#This Row],[Tech Start Date]],2),""))))</f>
        <v/>
      </c>
      <c r="N310" s="77" t="str">
        <f>IF(Main[[#This Row],[Tech Start Date]]&lt;1/1/1990,"",IF(Main[[#This Row],[Class]]="C",WORKDAY(Main[[#This Row],[Tech Start Date]],19),IF(Main[[#This Row],[Class]]="B", WORKDAY(Main[[#This Row],[Tech Start Date]],12),IF(Main[[#This Row],[Class]]="A",WORKDAY(Main[[#This Row],[Tech Start Date]],4),""))))</f>
        <v/>
      </c>
      <c r="O310" s="77" t="str">
        <f>IF(Main[[#This Row],[Tech Start Date]]&lt;1/1/1990,"",IF(Main[[#This Row],[Class]]="C",WORKDAY(Main[[#This Row],[Tech Start Date]],23),IF(Main[[#This Row],[Class]]="B", WORKDAY(Main[[#This Row],[Tech Start Date]],15),IF(Main[[#This Row],[Class]]="A",WORKDAY(Main[[#This Row],[Tech Start Date]],5),""))))</f>
        <v/>
      </c>
      <c r="P310" s="77" t="str">
        <f>IF(Main[[#This Row],[Tech Start Date]]&lt;1/1/1990,"",IF(Main[[#This Row],[Class]]="C",WORKDAY(Main[[#This Row],[Tech Start Date]],28),IF(Main[[#This Row],[Class]]="B", WORKDAY(Main[[#This Row],[Tech Start Date]],19),IF(Main[[#This Row],[Class]]="A",WORKDAY(Main[[#This Row],[Tech Start Date]],9),""))))</f>
        <v/>
      </c>
      <c r="Q310" s="74">
        <v>40291</v>
      </c>
      <c r="R310" s="74"/>
      <c r="S310" s="72" t="s">
        <v>11</v>
      </c>
      <c r="T310" s="80" t="s">
        <v>4</v>
      </c>
      <c r="U310" s="72" t="s">
        <v>12</v>
      </c>
      <c r="V310" s="72" t="s">
        <v>1933</v>
      </c>
      <c r="W310" s="72" t="s">
        <v>1937</v>
      </c>
      <c r="X310" s="72" t="s">
        <v>2948</v>
      </c>
      <c r="Y310" s="72" t="s">
        <v>4</v>
      </c>
      <c r="Z310" s="72" t="s">
        <v>4</v>
      </c>
      <c r="AA310" s="147" t="s">
        <v>2948</v>
      </c>
    </row>
    <row r="311" spans="1:27" ht="18.600000000000001" customHeight="1">
      <c r="A311" s="140" t="str">
        <f>IF(priority(Main[[#This Row],[Comments]])&lt;&gt;0, priority(Main[[#This Row],[Comments]]),"")</f>
        <v/>
      </c>
      <c r="B311" s="90" t="s">
        <v>1184</v>
      </c>
      <c r="C311" s="72" t="s">
        <v>4</v>
      </c>
      <c r="D311" s="73" t="s">
        <v>229</v>
      </c>
      <c r="E311" s="74"/>
      <c r="F311" s="74">
        <v>40574</v>
      </c>
      <c r="G311" s="75" t="str">
        <f>IF(stdProdLT(Main[[#This Row],[Comments]])=0.1,"N/A",IF(stdProdLT(Main[[#This Row],[Comments]])=0,"",stdProdLT(Main[[#This Row],[Comments]])))</f>
        <v/>
      </c>
      <c r="H311" s="76" t="str">
        <f>IF(AND(Main[[#This Row],[In Stock Date]]&lt;&gt;"",Main[[#This Row],[Revised Due Date]]&lt;&gt;""),Main[[#This Row],[In Stock Date]]-Main[[#This Row],[Revised Due Date]],"")</f>
        <v/>
      </c>
      <c r="I311" s="72" t="s">
        <v>4</v>
      </c>
      <c r="J311" s="72" t="s">
        <v>28</v>
      </c>
      <c r="K311" s="72" t="s">
        <v>1941</v>
      </c>
      <c r="L311" s="74"/>
      <c r="M311" s="77" t="str">
        <f>IF(Main[[#This Row],[Tech Start Date]]&lt;1/1/1990,"",IF(Main[[#This Row],[Class]]="C",WORKDAY(Main[[#This Row],[Tech Start Date]],9),IF(Main[[#This Row],[Class]]="B", WORKDAY(Main[[#This Row],[Tech Start Date]],6),IF(Main[[#This Row],[Class]]="A",WORKDAY(Main[[#This Row],[Tech Start Date]],2),""))))</f>
        <v/>
      </c>
      <c r="N311" s="77" t="str">
        <f>IF(Main[[#This Row],[Tech Start Date]]&lt;1/1/1990,"",IF(Main[[#This Row],[Class]]="C",WORKDAY(Main[[#This Row],[Tech Start Date]],19),IF(Main[[#This Row],[Class]]="B", WORKDAY(Main[[#This Row],[Tech Start Date]],12),IF(Main[[#This Row],[Class]]="A",WORKDAY(Main[[#This Row],[Tech Start Date]],4),""))))</f>
        <v/>
      </c>
      <c r="O311" s="77" t="str">
        <f>IF(Main[[#This Row],[Tech Start Date]]&lt;1/1/1990,"",IF(Main[[#This Row],[Class]]="C",WORKDAY(Main[[#This Row],[Tech Start Date]],23),IF(Main[[#This Row],[Class]]="B", WORKDAY(Main[[#This Row],[Tech Start Date]],15),IF(Main[[#This Row],[Class]]="A",WORKDAY(Main[[#This Row],[Tech Start Date]],5),""))))</f>
        <v/>
      </c>
      <c r="P311" s="77" t="str">
        <f>IF(Main[[#This Row],[Tech Start Date]]&lt;1/1/1990,"",IF(Main[[#This Row],[Class]]="C",WORKDAY(Main[[#This Row],[Tech Start Date]],28),IF(Main[[#This Row],[Class]]="B", WORKDAY(Main[[#This Row],[Tech Start Date]],19),IF(Main[[#This Row],[Class]]="A",WORKDAY(Main[[#This Row],[Tech Start Date]],9),""))))</f>
        <v/>
      </c>
      <c r="Q311" s="74">
        <v>40574</v>
      </c>
      <c r="R311" s="74"/>
      <c r="S311" s="72" t="s">
        <v>6</v>
      </c>
      <c r="T311" s="80" t="s">
        <v>4</v>
      </c>
      <c r="U311" s="72" t="s">
        <v>14</v>
      </c>
      <c r="V311" s="72" t="s">
        <v>1935</v>
      </c>
      <c r="W311" s="72" t="s">
        <v>1936</v>
      </c>
      <c r="X311" s="72" t="s">
        <v>2906</v>
      </c>
      <c r="Y311" s="72" t="s">
        <v>3025</v>
      </c>
      <c r="Z311" s="72" t="s">
        <v>535</v>
      </c>
      <c r="AA311" s="147" t="s">
        <v>2906</v>
      </c>
    </row>
    <row r="312" spans="1:27" ht="18.600000000000001" customHeight="1">
      <c r="A312" s="140" t="str">
        <f>IF(priority(Main[[#This Row],[Comments]])&lt;&gt;0, priority(Main[[#This Row],[Comments]]),"")</f>
        <v/>
      </c>
      <c r="B312" s="90" t="s">
        <v>1187</v>
      </c>
      <c r="C312" s="72" t="s">
        <v>4</v>
      </c>
      <c r="D312" s="73" t="s">
        <v>231</v>
      </c>
      <c r="E312" s="74"/>
      <c r="F312" s="74"/>
      <c r="G312" s="75" t="str">
        <f>IF(stdProdLT(Main[[#This Row],[Comments]])=0.1,"N/A",IF(stdProdLT(Main[[#This Row],[Comments]])=0,"",stdProdLT(Main[[#This Row],[Comments]])))</f>
        <v/>
      </c>
      <c r="H312" s="76" t="str">
        <f>IF(AND(Main[[#This Row],[In Stock Date]]&lt;&gt;"",Main[[#This Row],[Revised Due Date]]&lt;&gt;""),Main[[#This Row],[In Stock Date]]-Main[[#This Row],[Revised Due Date]],"")</f>
        <v/>
      </c>
      <c r="I312" s="72" t="s">
        <v>4</v>
      </c>
      <c r="J312" s="72" t="s">
        <v>4</v>
      </c>
      <c r="K312" s="72" t="s">
        <v>4</v>
      </c>
      <c r="L312" s="74"/>
      <c r="M312" s="77" t="str">
        <f>IF(Main[[#This Row],[Tech Start Date]]&lt;1/1/1990,"",IF(Main[[#This Row],[Class]]="C",WORKDAY(Main[[#This Row],[Tech Start Date]],9),IF(Main[[#This Row],[Class]]="B", WORKDAY(Main[[#This Row],[Tech Start Date]],6),IF(Main[[#This Row],[Class]]="A",WORKDAY(Main[[#This Row],[Tech Start Date]],2),""))))</f>
        <v/>
      </c>
      <c r="N312" s="77" t="str">
        <f>IF(Main[[#This Row],[Tech Start Date]]&lt;1/1/1990,"",IF(Main[[#This Row],[Class]]="C",WORKDAY(Main[[#This Row],[Tech Start Date]],19),IF(Main[[#This Row],[Class]]="B", WORKDAY(Main[[#This Row],[Tech Start Date]],12),IF(Main[[#This Row],[Class]]="A",WORKDAY(Main[[#This Row],[Tech Start Date]],4),""))))</f>
        <v/>
      </c>
      <c r="O312" s="77" t="str">
        <f>IF(Main[[#This Row],[Tech Start Date]]&lt;1/1/1990,"",IF(Main[[#This Row],[Class]]="C",WORKDAY(Main[[#This Row],[Tech Start Date]],23),IF(Main[[#This Row],[Class]]="B", WORKDAY(Main[[#This Row],[Tech Start Date]],15),IF(Main[[#This Row],[Class]]="A",WORKDAY(Main[[#This Row],[Tech Start Date]],5),""))))</f>
        <v/>
      </c>
      <c r="P312" s="77" t="str">
        <f>IF(Main[[#This Row],[Tech Start Date]]&lt;1/1/1990,"",IF(Main[[#This Row],[Class]]="C",WORKDAY(Main[[#This Row],[Tech Start Date]],28),IF(Main[[#This Row],[Class]]="B", WORKDAY(Main[[#This Row],[Tech Start Date]],19),IF(Main[[#This Row],[Class]]="A",WORKDAY(Main[[#This Row],[Tech Start Date]],9),""))))</f>
        <v/>
      </c>
      <c r="Q312" s="74">
        <v>40724</v>
      </c>
      <c r="R312" s="74"/>
      <c r="S312" s="72" t="s">
        <v>6</v>
      </c>
      <c r="T312" s="80" t="s">
        <v>4</v>
      </c>
      <c r="U312" s="72" t="s">
        <v>12</v>
      </c>
      <c r="V312" s="72" t="s">
        <v>1932</v>
      </c>
      <c r="W312" s="72" t="s">
        <v>1936</v>
      </c>
      <c r="X312" s="72" t="s">
        <v>888</v>
      </c>
      <c r="Y312" s="72" t="s">
        <v>3096</v>
      </c>
      <c r="Z312" s="72" t="s">
        <v>4</v>
      </c>
      <c r="AA312" s="147" t="s">
        <v>888</v>
      </c>
    </row>
    <row r="313" spans="1:27" ht="18.600000000000001" customHeight="1">
      <c r="A313" s="140" t="str">
        <f>IF(priority(Main[[#This Row],[Comments]])&lt;&gt;0, priority(Main[[#This Row],[Comments]]),"")</f>
        <v/>
      </c>
      <c r="B313" s="90" t="s">
        <v>2381</v>
      </c>
      <c r="C313" s="72" t="s">
        <v>53</v>
      </c>
      <c r="D313" s="73" t="s">
        <v>2382</v>
      </c>
      <c r="E313" s="74"/>
      <c r="F313" s="74">
        <v>40845</v>
      </c>
      <c r="G313" s="75" t="str">
        <f>IF(stdProdLT(Main[[#This Row],[Comments]])=0.1,"N/A",IF(stdProdLT(Main[[#This Row],[Comments]])=0,"",stdProdLT(Main[[#This Row],[Comments]])))</f>
        <v/>
      </c>
      <c r="H313" s="76" t="str">
        <f>IF(AND(Main[[#This Row],[In Stock Date]]&lt;&gt;"",Main[[#This Row],[Revised Due Date]]&lt;&gt;""),Main[[#This Row],[In Stock Date]]-Main[[#This Row],[Revised Due Date]],"")</f>
        <v/>
      </c>
      <c r="I313" s="72" t="s">
        <v>4</v>
      </c>
      <c r="J313" s="72" t="s">
        <v>28</v>
      </c>
      <c r="K313" s="72" t="s">
        <v>4</v>
      </c>
      <c r="L313" s="74"/>
      <c r="M313" s="77" t="str">
        <f>IF(Main[[#This Row],[Tech Start Date]]&lt;1/1/1990,"",IF(Main[[#This Row],[Class]]="C",WORKDAY(Main[[#This Row],[Tech Start Date]],9),IF(Main[[#This Row],[Class]]="B", WORKDAY(Main[[#This Row],[Tech Start Date]],6),IF(Main[[#This Row],[Class]]="A",WORKDAY(Main[[#This Row],[Tech Start Date]],2),""))))</f>
        <v/>
      </c>
      <c r="N313" s="77" t="str">
        <f>IF(Main[[#This Row],[Tech Start Date]]&lt;1/1/1990,"",IF(Main[[#This Row],[Class]]="C",WORKDAY(Main[[#This Row],[Tech Start Date]],19),IF(Main[[#This Row],[Class]]="B", WORKDAY(Main[[#This Row],[Tech Start Date]],12),IF(Main[[#This Row],[Class]]="A",WORKDAY(Main[[#This Row],[Tech Start Date]],4),""))))</f>
        <v/>
      </c>
      <c r="O313" s="77" t="str">
        <f>IF(Main[[#This Row],[Tech Start Date]]&lt;1/1/1990,"",IF(Main[[#This Row],[Class]]="C",WORKDAY(Main[[#This Row],[Tech Start Date]],23),IF(Main[[#This Row],[Class]]="B", WORKDAY(Main[[#This Row],[Tech Start Date]],15),IF(Main[[#This Row],[Class]]="A",WORKDAY(Main[[#This Row],[Tech Start Date]],5),""))))</f>
        <v/>
      </c>
      <c r="P313" s="77" t="str">
        <f>IF(Main[[#This Row],[Tech Start Date]]&lt;1/1/1990,"",IF(Main[[#This Row],[Class]]="C",WORKDAY(Main[[#This Row],[Tech Start Date]],28),IF(Main[[#This Row],[Class]]="B", WORKDAY(Main[[#This Row],[Tech Start Date]],19),IF(Main[[#This Row],[Class]]="A",WORKDAY(Main[[#This Row],[Tech Start Date]],9),""))))</f>
        <v/>
      </c>
      <c r="Q313" s="74">
        <v>40840</v>
      </c>
      <c r="R313" s="74"/>
      <c r="S313" s="72" t="s">
        <v>11</v>
      </c>
      <c r="T313" s="80" t="s">
        <v>2383</v>
      </c>
      <c r="U313" s="72" t="s">
        <v>12</v>
      </c>
      <c r="V313" s="72" t="s">
        <v>1933</v>
      </c>
      <c r="W313" s="72" t="s">
        <v>1934</v>
      </c>
      <c r="X313" s="72" t="s">
        <v>2278</v>
      </c>
      <c r="Y313" s="72" t="s">
        <v>4</v>
      </c>
      <c r="Z313" s="72" t="s">
        <v>2075</v>
      </c>
      <c r="AA313" s="147" t="s">
        <v>2899</v>
      </c>
    </row>
    <row r="314" spans="1:27" ht="18.600000000000001" customHeight="1">
      <c r="A314" s="140" t="str">
        <f>IF(priority(Main[[#This Row],[Comments]])&lt;&gt;0, priority(Main[[#This Row],[Comments]]),"")</f>
        <v/>
      </c>
      <c r="B314" s="90" t="s">
        <v>1190</v>
      </c>
      <c r="C314" s="72" t="s">
        <v>67</v>
      </c>
      <c r="D314" s="73" t="s">
        <v>234</v>
      </c>
      <c r="E314" s="74"/>
      <c r="F314" s="74"/>
      <c r="G314" s="75" t="str">
        <f>IF(stdProdLT(Main[[#This Row],[Comments]])=0.1,"N/A",IF(stdProdLT(Main[[#This Row],[Comments]])=0,"",stdProdLT(Main[[#This Row],[Comments]])))</f>
        <v/>
      </c>
      <c r="H314" s="76" t="str">
        <f>IF(AND(Main[[#This Row],[In Stock Date]]&lt;&gt;"",Main[[#This Row],[Revised Due Date]]&lt;&gt;""),Main[[#This Row],[In Stock Date]]-Main[[#This Row],[Revised Due Date]],"")</f>
        <v/>
      </c>
      <c r="I314" s="72" t="s">
        <v>4</v>
      </c>
      <c r="J314" s="72" t="s">
        <v>4</v>
      </c>
      <c r="K314" s="72" t="s">
        <v>4</v>
      </c>
      <c r="L314" s="74"/>
      <c r="M314" s="77" t="str">
        <f>IF(Main[[#This Row],[Tech Start Date]]&lt;1/1/1990,"",IF(Main[[#This Row],[Class]]="C",WORKDAY(Main[[#This Row],[Tech Start Date]],9),IF(Main[[#This Row],[Class]]="B", WORKDAY(Main[[#This Row],[Tech Start Date]],6),IF(Main[[#This Row],[Class]]="A",WORKDAY(Main[[#This Row],[Tech Start Date]],2),""))))</f>
        <v/>
      </c>
      <c r="N314" s="77" t="str">
        <f>IF(Main[[#This Row],[Tech Start Date]]&lt;1/1/1990,"",IF(Main[[#This Row],[Class]]="C",WORKDAY(Main[[#This Row],[Tech Start Date]],19),IF(Main[[#This Row],[Class]]="B", WORKDAY(Main[[#This Row],[Tech Start Date]],12),IF(Main[[#This Row],[Class]]="A",WORKDAY(Main[[#This Row],[Tech Start Date]],4),""))))</f>
        <v/>
      </c>
      <c r="O314" s="77" t="str">
        <f>IF(Main[[#This Row],[Tech Start Date]]&lt;1/1/1990,"",IF(Main[[#This Row],[Class]]="C",WORKDAY(Main[[#This Row],[Tech Start Date]],23),IF(Main[[#This Row],[Class]]="B", WORKDAY(Main[[#This Row],[Tech Start Date]],15),IF(Main[[#This Row],[Class]]="A",WORKDAY(Main[[#This Row],[Tech Start Date]],5),""))))</f>
        <v/>
      </c>
      <c r="P314" s="77" t="str">
        <f>IF(Main[[#This Row],[Tech Start Date]]&lt;1/1/1990,"",IF(Main[[#This Row],[Class]]="C",WORKDAY(Main[[#This Row],[Tech Start Date]],28),IF(Main[[#This Row],[Class]]="B", WORKDAY(Main[[#This Row],[Tech Start Date]],19),IF(Main[[#This Row],[Class]]="A",WORKDAY(Main[[#This Row],[Tech Start Date]],9),""))))</f>
        <v/>
      </c>
      <c r="Q314" s="74">
        <v>40466</v>
      </c>
      <c r="R314" s="74"/>
      <c r="S314" s="72" t="s">
        <v>17</v>
      </c>
      <c r="T314" s="80" t="s">
        <v>4</v>
      </c>
      <c r="U314" s="72" t="s">
        <v>14</v>
      </c>
      <c r="V314" s="72" t="s">
        <v>1935</v>
      </c>
      <c r="W314" s="72" t="s">
        <v>1940</v>
      </c>
      <c r="X314" s="72" t="s">
        <v>420</v>
      </c>
      <c r="Y314" s="72" t="s">
        <v>3036</v>
      </c>
      <c r="Z314" s="72" t="s">
        <v>420</v>
      </c>
      <c r="AA314" s="147" t="s">
        <v>420</v>
      </c>
    </row>
    <row r="315" spans="1:27" ht="18.600000000000001" customHeight="1">
      <c r="A315" s="140" t="str">
        <f>IF(priority(Main[[#This Row],[Comments]])&lt;&gt;0, priority(Main[[#This Row],[Comments]]),"")</f>
        <v/>
      </c>
      <c r="B315" s="90" t="s">
        <v>1191</v>
      </c>
      <c r="C315" s="72" t="s">
        <v>72</v>
      </c>
      <c r="D315" s="73" t="s">
        <v>226</v>
      </c>
      <c r="E315" s="74"/>
      <c r="F315" s="74">
        <v>40391</v>
      </c>
      <c r="G315" s="75" t="str">
        <f>IF(stdProdLT(Main[[#This Row],[Comments]])=0.1,"N/A",IF(stdProdLT(Main[[#This Row],[Comments]])=0,"",stdProdLT(Main[[#This Row],[Comments]])))</f>
        <v/>
      </c>
      <c r="H315" s="76" t="str">
        <f>IF(AND(Main[[#This Row],[In Stock Date]]&lt;&gt;"",Main[[#This Row],[Revised Due Date]]&lt;&gt;""),Main[[#This Row],[In Stock Date]]-Main[[#This Row],[Revised Due Date]],"")</f>
        <v/>
      </c>
      <c r="I315" s="72" t="s">
        <v>4</v>
      </c>
      <c r="J315" s="72" t="s">
        <v>4</v>
      </c>
      <c r="K315" s="72" t="s">
        <v>4</v>
      </c>
      <c r="L315" s="74"/>
      <c r="M315" s="77" t="str">
        <f>IF(Main[[#This Row],[Tech Start Date]]&lt;1/1/1990,"",IF(Main[[#This Row],[Class]]="C",WORKDAY(Main[[#This Row],[Tech Start Date]],9),IF(Main[[#This Row],[Class]]="B", WORKDAY(Main[[#This Row],[Tech Start Date]],6),IF(Main[[#This Row],[Class]]="A",WORKDAY(Main[[#This Row],[Tech Start Date]],2),""))))</f>
        <v/>
      </c>
      <c r="N315" s="77" t="str">
        <f>IF(Main[[#This Row],[Tech Start Date]]&lt;1/1/1990,"",IF(Main[[#This Row],[Class]]="C",WORKDAY(Main[[#This Row],[Tech Start Date]],19),IF(Main[[#This Row],[Class]]="B", WORKDAY(Main[[#This Row],[Tech Start Date]],12),IF(Main[[#This Row],[Class]]="A",WORKDAY(Main[[#This Row],[Tech Start Date]],4),""))))</f>
        <v/>
      </c>
      <c r="O315" s="77" t="str">
        <f>IF(Main[[#This Row],[Tech Start Date]]&lt;1/1/1990,"",IF(Main[[#This Row],[Class]]="C",WORKDAY(Main[[#This Row],[Tech Start Date]],23),IF(Main[[#This Row],[Class]]="B", WORKDAY(Main[[#This Row],[Tech Start Date]],15),IF(Main[[#This Row],[Class]]="A",WORKDAY(Main[[#This Row],[Tech Start Date]],5),""))))</f>
        <v/>
      </c>
      <c r="P315" s="77" t="str">
        <f>IF(Main[[#This Row],[Tech Start Date]]&lt;1/1/1990,"",IF(Main[[#This Row],[Class]]="C",WORKDAY(Main[[#This Row],[Tech Start Date]],28),IF(Main[[#This Row],[Class]]="B", WORKDAY(Main[[#This Row],[Tech Start Date]],19),IF(Main[[#This Row],[Class]]="A",WORKDAY(Main[[#This Row],[Tech Start Date]],9),""))))</f>
        <v/>
      </c>
      <c r="Q315" s="74">
        <v>40291</v>
      </c>
      <c r="R315" s="74"/>
      <c r="S315" s="72" t="s">
        <v>11</v>
      </c>
      <c r="T315" s="80" t="s">
        <v>4</v>
      </c>
      <c r="U315" s="72" t="s">
        <v>12</v>
      </c>
      <c r="V315" s="72" t="s">
        <v>1933</v>
      </c>
      <c r="W315" s="72" t="s">
        <v>1937</v>
      </c>
      <c r="X315" s="72" t="s">
        <v>2948</v>
      </c>
      <c r="Y315" s="72" t="s">
        <v>4</v>
      </c>
      <c r="Z315" s="72" t="s">
        <v>4</v>
      </c>
      <c r="AA315" s="147" t="s">
        <v>2948</v>
      </c>
    </row>
    <row r="316" spans="1:27" ht="18.600000000000001" customHeight="1">
      <c r="A316" s="140" t="str">
        <f>IF(priority(Main[[#This Row],[Comments]])&lt;&gt;0, priority(Main[[#This Row],[Comments]]),"")</f>
        <v/>
      </c>
      <c r="B316" s="90" t="s">
        <v>1233</v>
      </c>
      <c r="C316" s="72" t="s">
        <v>4</v>
      </c>
      <c r="D316" s="73" t="s">
        <v>283</v>
      </c>
      <c r="E316" s="74"/>
      <c r="F316" s="74"/>
      <c r="G316" s="75" t="str">
        <f>IF(stdProdLT(Main[[#This Row],[Comments]])=0.1,"N/A",IF(stdProdLT(Main[[#This Row],[Comments]])=0,"",stdProdLT(Main[[#This Row],[Comments]])))</f>
        <v/>
      </c>
      <c r="H316" s="76" t="str">
        <f>IF(AND(Main[[#This Row],[In Stock Date]]&lt;&gt;"",Main[[#This Row],[Revised Due Date]]&lt;&gt;""),Main[[#This Row],[In Stock Date]]-Main[[#This Row],[Revised Due Date]],"")</f>
        <v/>
      </c>
      <c r="I316" s="72" t="s">
        <v>4</v>
      </c>
      <c r="J316" s="72" t="s">
        <v>4</v>
      </c>
      <c r="K316" s="72" t="s">
        <v>4</v>
      </c>
      <c r="L316" s="74"/>
      <c r="M316" s="77" t="str">
        <f>IF(Main[[#This Row],[Tech Start Date]]&lt;1/1/1990,"",IF(Main[[#This Row],[Class]]="C",WORKDAY(Main[[#This Row],[Tech Start Date]],9),IF(Main[[#This Row],[Class]]="B", WORKDAY(Main[[#This Row],[Tech Start Date]],6),IF(Main[[#This Row],[Class]]="A",WORKDAY(Main[[#This Row],[Tech Start Date]],2),""))))</f>
        <v/>
      </c>
      <c r="N316" s="77" t="str">
        <f>IF(Main[[#This Row],[Tech Start Date]]&lt;1/1/1990,"",IF(Main[[#This Row],[Class]]="C",WORKDAY(Main[[#This Row],[Tech Start Date]],19),IF(Main[[#This Row],[Class]]="B", WORKDAY(Main[[#This Row],[Tech Start Date]],12),IF(Main[[#This Row],[Class]]="A",WORKDAY(Main[[#This Row],[Tech Start Date]],4),""))))</f>
        <v/>
      </c>
      <c r="O316" s="77" t="str">
        <f>IF(Main[[#This Row],[Tech Start Date]]&lt;1/1/1990,"",IF(Main[[#This Row],[Class]]="C",WORKDAY(Main[[#This Row],[Tech Start Date]],23),IF(Main[[#This Row],[Class]]="B", WORKDAY(Main[[#This Row],[Tech Start Date]],15),IF(Main[[#This Row],[Class]]="A",WORKDAY(Main[[#This Row],[Tech Start Date]],5),""))))</f>
        <v/>
      </c>
      <c r="P316" s="77" t="str">
        <f>IF(Main[[#This Row],[Tech Start Date]]&lt;1/1/1990,"",IF(Main[[#This Row],[Class]]="C",WORKDAY(Main[[#This Row],[Tech Start Date]],28),IF(Main[[#This Row],[Class]]="B", WORKDAY(Main[[#This Row],[Tech Start Date]],19),IF(Main[[#This Row],[Class]]="A",WORKDAY(Main[[#This Row],[Tech Start Date]],9),""))))</f>
        <v/>
      </c>
      <c r="Q316" s="74"/>
      <c r="R316" s="74"/>
      <c r="S316" s="72" t="s">
        <v>23</v>
      </c>
      <c r="T316" s="80" t="s">
        <v>4</v>
      </c>
      <c r="U316" s="72" t="s">
        <v>12</v>
      </c>
      <c r="V316" s="72" t="s">
        <v>1932</v>
      </c>
      <c r="W316" s="72" t="s">
        <v>1936</v>
      </c>
      <c r="X316" s="72" t="s">
        <v>403</v>
      </c>
      <c r="Y316" s="72" t="s">
        <v>4</v>
      </c>
      <c r="Z316" s="72" t="s">
        <v>4</v>
      </c>
      <c r="AA316" s="147" t="s">
        <v>3566</v>
      </c>
    </row>
    <row r="317" spans="1:27" ht="18.600000000000001" customHeight="1">
      <c r="A317" s="140" t="str">
        <f>IF(priority(Main[[#This Row],[Comments]])&lt;&gt;0, priority(Main[[#This Row],[Comments]]),"")</f>
        <v/>
      </c>
      <c r="B317" s="90" t="s">
        <v>1234</v>
      </c>
      <c r="C317" s="72" t="s">
        <v>31</v>
      </c>
      <c r="D317" s="73" t="s">
        <v>284</v>
      </c>
      <c r="E317" s="74"/>
      <c r="F317" s="74"/>
      <c r="G317" s="75" t="str">
        <f>IF(stdProdLT(Main[[#This Row],[Comments]])=0.1,"N/A",IF(stdProdLT(Main[[#This Row],[Comments]])=0,"",stdProdLT(Main[[#This Row],[Comments]])))</f>
        <v/>
      </c>
      <c r="H317" s="76" t="str">
        <f>IF(AND(Main[[#This Row],[In Stock Date]]&lt;&gt;"",Main[[#This Row],[Revised Due Date]]&lt;&gt;""),Main[[#This Row],[In Stock Date]]-Main[[#This Row],[Revised Due Date]],"")</f>
        <v/>
      </c>
      <c r="I317" s="72" t="s">
        <v>4</v>
      </c>
      <c r="J317" s="72" t="s">
        <v>4</v>
      </c>
      <c r="K317" s="72" t="s">
        <v>4</v>
      </c>
      <c r="L317" s="74"/>
      <c r="M317" s="77" t="str">
        <f>IF(Main[[#This Row],[Tech Start Date]]&lt;1/1/1990,"",IF(Main[[#This Row],[Class]]="C",WORKDAY(Main[[#This Row],[Tech Start Date]],9),IF(Main[[#This Row],[Class]]="B", WORKDAY(Main[[#This Row],[Tech Start Date]],6),IF(Main[[#This Row],[Class]]="A",WORKDAY(Main[[#This Row],[Tech Start Date]],2),""))))</f>
        <v/>
      </c>
      <c r="N317" s="77" t="str">
        <f>IF(Main[[#This Row],[Tech Start Date]]&lt;1/1/1990,"",IF(Main[[#This Row],[Class]]="C",WORKDAY(Main[[#This Row],[Tech Start Date]],19),IF(Main[[#This Row],[Class]]="B", WORKDAY(Main[[#This Row],[Tech Start Date]],12),IF(Main[[#This Row],[Class]]="A",WORKDAY(Main[[#This Row],[Tech Start Date]],4),""))))</f>
        <v/>
      </c>
      <c r="O317" s="77" t="str">
        <f>IF(Main[[#This Row],[Tech Start Date]]&lt;1/1/1990,"",IF(Main[[#This Row],[Class]]="C",WORKDAY(Main[[#This Row],[Tech Start Date]],23),IF(Main[[#This Row],[Class]]="B", WORKDAY(Main[[#This Row],[Tech Start Date]],15),IF(Main[[#This Row],[Class]]="A",WORKDAY(Main[[#This Row],[Tech Start Date]],5),""))))</f>
        <v/>
      </c>
      <c r="P317" s="77" t="str">
        <f>IF(Main[[#This Row],[Tech Start Date]]&lt;1/1/1990,"",IF(Main[[#This Row],[Class]]="C",WORKDAY(Main[[#This Row],[Tech Start Date]],28),IF(Main[[#This Row],[Class]]="B", WORKDAY(Main[[#This Row],[Tech Start Date]],19),IF(Main[[#This Row],[Class]]="A",WORKDAY(Main[[#This Row],[Tech Start Date]],9),""))))</f>
        <v/>
      </c>
      <c r="Q317" s="74">
        <v>40318</v>
      </c>
      <c r="R317" s="74"/>
      <c r="S317" s="72" t="s">
        <v>11</v>
      </c>
      <c r="T317" s="80" t="s">
        <v>4</v>
      </c>
      <c r="U317" s="72" t="s">
        <v>14</v>
      </c>
      <c r="V317" s="72" t="s">
        <v>1942</v>
      </c>
      <c r="W317" s="72" t="s">
        <v>1934</v>
      </c>
      <c r="X317" s="72" t="s">
        <v>2914</v>
      </c>
      <c r="Y317" s="72" t="s">
        <v>4</v>
      </c>
      <c r="Z317" s="72" t="s">
        <v>4</v>
      </c>
      <c r="AA317" s="147" t="s">
        <v>2914</v>
      </c>
    </row>
    <row r="318" spans="1:27" ht="18.600000000000001" customHeight="1">
      <c r="A318" s="140" t="str">
        <f>IF(priority(Main[[#This Row],[Comments]])&lt;&gt;0, priority(Main[[#This Row],[Comments]]),"")</f>
        <v/>
      </c>
      <c r="B318" s="90" t="s">
        <v>1841</v>
      </c>
      <c r="C318" s="72" t="s">
        <v>79</v>
      </c>
      <c r="D318" s="73" t="s">
        <v>885</v>
      </c>
      <c r="E318" s="74">
        <v>40072.658055555556</v>
      </c>
      <c r="F318" s="74">
        <v>40157</v>
      </c>
      <c r="G318" s="75" t="str">
        <f>IF(stdProdLT(Main[[#This Row],[Comments]])=0.1,"N/A",IF(stdProdLT(Main[[#This Row],[Comments]])=0,"",stdProdLT(Main[[#This Row],[Comments]])))</f>
        <v/>
      </c>
      <c r="H318" s="76">
        <f>IF(AND(Main[[#This Row],[In Stock Date]]&lt;&gt;"",Main[[#This Row],[Revised Due Date]]&lt;&gt;""),Main[[#This Row],[In Stock Date]]-Main[[#This Row],[Revised Due Date]],"")</f>
        <v>-171</v>
      </c>
      <c r="I318" s="72" t="s">
        <v>4</v>
      </c>
      <c r="J318" s="72" t="s">
        <v>4</v>
      </c>
      <c r="K318" s="72" t="s">
        <v>1944</v>
      </c>
      <c r="L318" s="74"/>
      <c r="M318" s="77" t="str">
        <f>IF(Main[[#This Row],[Tech Start Date]]&lt;1/1/1990,"",IF(Main[[#This Row],[Class]]="C",WORKDAY(Main[[#This Row],[Tech Start Date]],9),IF(Main[[#This Row],[Class]]="B", WORKDAY(Main[[#This Row],[Tech Start Date]],6),IF(Main[[#This Row],[Class]]="A",WORKDAY(Main[[#This Row],[Tech Start Date]],2),""))))</f>
        <v/>
      </c>
      <c r="N318" s="77" t="str">
        <f>IF(Main[[#This Row],[Tech Start Date]]&lt;1/1/1990,"",IF(Main[[#This Row],[Class]]="C",WORKDAY(Main[[#This Row],[Tech Start Date]],19),IF(Main[[#This Row],[Class]]="B", WORKDAY(Main[[#This Row],[Tech Start Date]],12),IF(Main[[#This Row],[Class]]="A",WORKDAY(Main[[#This Row],[Tech Start Date]],4),""))))</f>
        <v/>
      </c>
      <c r="O318" s="77" t="str">
        <f>IF(Main[[#This Row],[Tech Start Date]]&lt;1/1/1990,"",IF(Main[[#This Row],[Class]]="C",WORKDAY(Main[[#This Row],[Tech Start Date]],23),IF(Main[[#This Row],[Class]]="B", WORKDAY(Main[[#This Row],[Tech Start Date]],15),IF(Main[[#This Row],[Class]]="A",WORKDAY(Main[[#This Row],[Tech Start Date]],5),""))))</f>
        <v/>
      </c>
      <c r="P318" s="77" t="str">
        <f>IF(Main[[#This Row],[Tech Start Date]]&lt;1/1/1990,"",IF(Main[[#This Row],[Class]]="C",WORKDAY(Main[[#This Row],[Tech Start Date]],28),IF(Main[[#This Row],[Class]]="B", WORKDAY(Main[[#This Row],[Tech Start Date]],19),IF(Main[[#This Row],[Class]]="A",WORKDAY(Main[[#This Row],[Tech Start Date]],9),""))))</f>
        <v/>
      </c>
      <c r="Q318" s="74">
        <v>40117</v>
      </c>
      <c r="R318" s="74">
        <v>40328</v>
      </c>
      <c r="S318" s="72" t="s">
        <v>17</v>
      </c>
      <c r="T318" s="80" t="s">
        <v>4</v>
      </c>
      <c r="U318" s="72" t="s">
        <v>29</v>
      </c>
      <c r="V318" s="72" t="s">
        <v>1933</v>
      </c>
      <c r="W318" s="72" t="s">
        <v>1937</v>
      </c>
      <c r="X318" s="72" t="s">
        <v>2945</v>
      </c>
      <c r="Y318" s="72" t="s">
        <v>3043</v>
      </c>
      <c r="Z318" s="72" t="s">
        <v>4</v>
      </c>
      <c r="AA318" s="147" t="s">
        <v>2945</v>
      </c>
    </row>
    <row r="319" spans="1:27" ht="18.600000000000001" customHeight="1">
      <c r="A319" s="140" t="str">
        <f>IF(priority(Main[[#This Row],[Comments]])&lt;&gt;0, priority(Main[[#This Row],[Comments]]),"")</f>
        <v/>
      </c>
      <c r="B319" s="90" t="s">
        <v>1237</v>
      </c>
      <c r="C319" s="72" t="s">
        <v>171</v>
      </c>
      <c r="D319" s="73" t="s">
        <v>235</v>
      </c>
      <c r="E319" s="74"/>
      <c r="F319" s="74">
        <v>40237</v>
      </c>
      <c r="G319" s="75" t="str">
        <f>IF(stdProdLT(Main[[#This Row],[Comments]])=0.1,"N/A",IF(stdProdLT(Main[[#This Row],[Comments]])=0,"",stdProdLT(Main[[#This Row],[Comments]])))</f>
        <v/>
      </c>
      <c r="H319" s="76" t="str">
        <f>IF(AND(Main[[#This Row],[In Stock Date]]&lt;&gt;"",Main[[#This Row],[Revised Due Date]]&lt;&gt;""),Main[[#This Row],[In Stock Date]]-Main[[#This Row],[Revised Due Date]],"")</f>
        <v/>
      </c>
      <c r="I319" s="72" t="s">
        <v>4</v>
      </c>
      <c r="J319" s="72" t="s">
        <v>4</v>
      </c>
      <c r="K319" s="81" t="s">
        <v>4</v>
      </c>
      <c r="L319" s="74"/>
      <c r="M319" s="77" t="str">
        <f>IF(Main[[#This Row],[Tech Start Date]]&lt;1/1/1990,"",IF(Main[[#This Row],[Class]]="C",WORKDAY(Main[[#This Row],[Tech Start Date]],9),IF(Main[[#This Row],[Class]]="B", WORKDAY(Main[[#This Row],[Tech Start Date]],6),IF(Main[[#This Row],[Class]]="A",WORKDAY(Main[[#This Row],[Tech Start Date]],2),""))))</f>
        <v/>
      </c>
      <c r="N319" s="77" t="str">
        <f>IF(Main[[#This Row],[Tech Start Date]]&lt;1/1/1990,"",IF(Main[[#This Row],[Class]]="C",WORKDAY(Main[[#This Row],[Tech Start Date]],19),IF(Main[[#This Row],[Class]]="B", WORKDAY(Main[[#This Row],[Tech Start Date]],12),IF(Main[[#This Row],[Class]]="A",WORKDAY(Main[[#This Row],[Tech Start Date]],4),""))))</f>
        <v/>
      </c>
      <c r="O319" s="77" t="str">
        <f>IF(Main[[#This Row],[Tech Start Date]]&lt;1/1/1990,"",IF(Main[[#This Row],[Class]]="C",WORKDAY(Main[[#This Row],[Tech Start Date]],23),IF(Main[[#This Row],[Class]]="B", WORKDAY(Main[[#This Row],[Tech Start Date]],15),IF(Main[[#This Row],[Class]]="A",WORKDAY(Main[[#This Row],[Tech Start Date]],5),""))))</f>
        <v/>
      </c>
      <c r="P319" s="77" t="str">
        <f>IF(Main[[#This Row],[Tech Start Date]]&lt;1/1/1990,"",IF(Main[[#This Row],[Class]]="C",WORKDAY(Main[[#This Row],[Tech Start Date]],28),IF(Main[[#This Row],[Class]]="B", WORKDAY(Main[[#This Row],[Tech Start Date]],19),IF(Main[[#This Row],[Class]]="A",WORKDAY(Main[[#This Row],[Tech Start Date]],9),""))))</f>
        <v/>
      </c>
      <c r="Q319" s="74">
        <v>40132</v>
      </c>
      <c r="R319" s="74"/>
      <c r="S319" s="72" t="s">
        <v>11</v>
      </c>
      <c r="T319" s="80" t="s">
        <v>4</v>
      </c>
      <c r="U319" s="72" t="s">
        <v>14</v>
      </c>
      <c r="V319" s="72" t="s">
        <v>1932</v>
      </c>
      <c r="W319" s="72" t="s">
        <v>1937</v>
      </c>
      <c r="X319" s="72" t="s">
        <v>2942</v>
      </c>
      <c r="Y319" s="72" t="s">
        <v>4</v>
      </c>
      <c r="Z319" s="72" t="s">
        <v>4</v>
      </c>
      <c r="AA319" s="147" t="s">
        <v>2942</v>
      </c>
    </row>
    <row r="320" spans="1:27" ht="18.600000000000001" customHeight="1">
      <c r="A320" s="140" t="str">
        <f>IF(priority(Main[[#This Row],[Comments]])&lt;&gt;0, priority(Main[[#This Row],[Comments]]),"")</f>
        <v/>
      </c>
      <c r="B320" s="90" t="s">
        <v>1238</v>
      </c>
      <c r="C320" s="72" t="s">
        <v>4</v>
      </c>
      <c r="D320" s="73" t="s">
        <v>236</v>
      </c>
      <c r="E320" s="74">
        <v>40403.488668981481</v>
      </c>
      <c r="F320" s="74"/>
      <c r="G320" s="75" t="str">
        <f>IF(stdProdLT(Main[[#This Row],[Comments]])=0.1,"N/A",IF(stdProdLT(Main[[#This Row],[Comments]])=0,"",stdProdLT(Main[[#This Row],[Comments]])))</f>
        <v/>
      </c>
      <c r="H320" s="76" t="str">
        <f>IF(AND(Main[[#This Row],[In Stock Date]]&lt;&gt;"",Main[[#This Row],[Revised Due Date]]&lt;&gt;""),Main[[#This Row],[In Stock Date]]-Main[[#This Row],[Revised Due Date]],"")</f>
        <v/>
      </c>
      <c r="I320" s="72" t="s">
        <v>129</v>
      </c>
      <c r="J320" s="72" t="s">
        <v>28</v>
      </c>
      <c r="K320" s="72" t="s">
        <v>4</v>
      </c>
      <c r="L320" s="74"/>
      <c r="M320" s="77" t="str">
        <f>IF(Main[[#This Row],[Tech Start Date]]&lt;1/1/1990,"",IF(Main[[#This Row],[Class]]="C",WORKDAY(Main[[#This Row],[Tech Start Date]],9),IF(Main[[#This Row],[Class]]="B", WORKDAY(Main[[#This Row],[Tech Start Date]],6),IF(Main[[#This Row],[Class]]="A",WORKDAY(Main[[#This Row],[Tech Start Date]],2),""))))</f>
        <v/>
      </c>
      <c r="N320" s="77" t="str">
        <f>IF(Main[[#This Row],[Tech Start Date]]&lt;1/1/1990,"",IF(Main[[#This Row],[Class]]="C",WORKDAY(Main[[#This Row],[Tech Start Date]],19),IF(Main[[#This Row],[Class]]="B", WORKDAY(Main[[#This Row],[Tech Start Date]],12),IF(Main[[#This Row],[Class]]="A",WORKDAY(Main[[#This Row],[Tech Start Date]],4),""))))</f>
        <v/>
      </c>
      <c r="O320" s="77" t="str">
        <f>IF(Main[[#This Row],[Tech Start Date]]&lt;1/1/1990,"",IF(Main[[#This Row],[Class]]="C",WORKDAY(Main[[#This Row],[Tech Start Date]],23),IF(Main[[#This Row],[Class]]="B", WORKDAY(Main[[#This Row],[Tech Start Date]],15),IF(Main[[#This Row],[Class]]="A",WORKDAY(Main[[#This Row],[Tech Start Date]],5),""))))</f>
        <v/>
      </c>
      <c r="P320" s="77" t="str">
        <f>IF(Main[[#This Row],[Tech Start Date]]&lt;1/1/1990,"",IF(Main[[#This Row],[Class]]="C",WORKDAY(Main[[#This Row],[Tech Start Date]],28),IF(Main[[#This Row],[Class]]="B", WORKDAY(Main[[#This Row],[Tech Start Date]],19),IF(Main[[#This Row],[Class]]="A",WORKDAY(Main[[#This Row],[Tech Start Date]],9),""))))</f>
        <v/>
      </c>
      <c r="Q320" s="74">
        <v>40438</v>
      </c>
      <c r="R320" s="74"/>
      <c r="S320" s="72" t="s">
        <v>6</v>
      </c>
      <c r="T320" s="80" t="s">
        <v>4</v>
      </c>
      <c r="U320" s="72" t="s">
        <v>7</v>
      </c>
      <c r="V320" s="72" t="s">
        <v>1932</v>
      </c>
      <c r="W320" s="72" t="s">
        <v>1936</v>
      </c>
      <c r="X320" s="72" t="s">
        <v>2902</v>
      </c>
      <c r="Y320" s="72" t="s">
        <v>3016</v>
      </c>
      <c r="Z320" s="72" t="s">
        <v>129</v>
      </c>
      <c r="AA320" s="147" t="s">
        <v>2902</v>
      </c>
    </row>
    <row r="321" spans="1:27" ht="18.600000000000001" customHeight="1">
      <c r="A321" s="140" t="str">
        <f>IF(priority(Main[[#This Row],[Comments]])&lt;&gt;0, priority(Main[[#This Row],[Comments]]),"")</f>
        <v/>
      </c>
      <c r="B321" s="90" t="s">
        <v>1192</v>
      </c>
      <c r="C321" s="72" t="s">
        <v>237</v>
      </c>
      <c r="D321" s="73" t="s">
        <v>238</v>
      </c>
      <c r="E321" s="74"/>
      <c r="F321" s="74"/>
      <c r="G321" s="75" t="str">
        <f>IF(stdProdLT(Main[[#This Row],[Comments]])=0.1,"N/A",IF(stdProdLT(Main[[#This Row],[Comments]])=0,"",stdProdLT(Main[[#This Row],[Comments]])))</f>
        <v/>
      </c>
      <c r="H321" s="76" t="str">
        <f>IF(AND(Main[[#This Row],[In Stock Date]]&lt;&gt;"",Main[[#This Row],[Revised Due Date]]&lt;&gt;""),Main[[#This Row],[In Stock Date]]-Main[[#This Row],[Revised Due Date]],"")</f>
        <v/>
      </c>
      <c r="I321" s="72" t="s">
        <v>4</v>
      </c>
      <c r="J321" s="72" t="s">
        <v>4</v>
      </c>
      <c r="K321" s="72" t="s">
        <v>4</v>
      </c>
      <c r="L321" s="74"/>
      <c r="M321" s="77" t="str">
        <f>IF(Main[[#This Row],[Tech Start Date]]&lt;1/1/1990,"",IF(Main[[#This Row],[Class]]="C",WORKDAY(Main[[#This Row],[Tech Start Date]],9),IF(Main[[#This Row],[Class]]="B", WORKDAY(Main[[#This Row],[Tech Start Date]],6),IF(Main[[#This Row],[Class]]="A",WORKDAY(Main[[#This Row],[Tech Start Date]],2),""))))</f>
        <v/>
      </c>
      <c r="N321" s="77" t="str">
        <f>IF(Main[[#This Row],[Tech Start Date]]&lt;1/1/1990,"",IF(Main[[#This Row],[Class]]="C",WORKDAY(Main[[#This Row],[Tech Start Date]],19),IF(Main[[#This Row],[Class]]="B", WORKDAY(Main[[#This Row],[Tech Start Date]],12),IF(Main[[#This Row],[Class]]="A",WORKDAY(Main[[#This Row],[Tech Start Date]],4),""))))</f>
        <v/>
      </c>
      <c r="O321" s="77" t="str">
        <f>IF(Main[[#This Row],[Tech Start Date]]&lt;1/1/1990,"",IF(Main[[#This Row],[Class]]="C",WORKDAY(Main[[#This Row],[Tech Start Date]],23),IF(Main[[#This Row],[Class]]="B", WORKDAY(Main[[#This Row],[Tech Start Date]],15),IF(Main[[#This Row],[Class]]="A",WORKDAY(Main[[#This Row],[Tech Start Date]],5),""))))</f>
        <v/>
      </c>
      <c r="P321" s="77" t="str">
        <f>IF(Main[[#This Row],[Tech Start Date]]&lt;1/1/1990,"",IF(Main[[#This Row],[Class]]="C",WORKDAY(Main[[#This Row],[Tech Start Date]],28),IF(Main[[#This Row],[Class]]="B", WORKDAY(Main[[#This Row],[Tech Start Date]],19),IF(Main[[#This Row],[Class]]="A",WORKDAY(Main[[#This Row],[Tech Start Date]],9),""))))</f>
        <v/>
      </c>
      <c r="Q321" s="74">
        <v>40204</v>
      </c>
      <c r="R321" s="74"/>
      <c r="S321" s="72" t="s">
        <v>11</v>
      </c>
      <c r="T321" s="80" t="s">
        <v>4</v>
      </c>
      <c r="U321" s="72" t="s">
        <v>14</v>
      </c>
      <c r="V321" s="72" t="s">
        <v>1935</v>
      </c>
      <c r="W321" s="72" t="s">
        <v>1934</v>
      </c>
      <c r="X321" s="72" t="s">
        <v>65</v>
      </c>
      <c r="Y321" s="72" t="s">
        <v>4</v>
      </c>
      <c r="Z321" s="72" t="s">
        <v>4</v>
      </c>
      <c r="AA321" s="147" t="s">
        <v>65</v>
      </c>
    </row>
    <row r="322" spans="1:27" ht="18.600000000000001" customHeight="1">
      <c r="A322" s="140" t="str">
        <f>IF(priority(Main[[#This Row],[Comments]])&lt;&gt;0, priority(Main[[#This Row],[Comments]]),"")</f>
        <v/>
      </c>
      <c r="B322" s="90" t="s">
        <v>1193</v>
      </c>
      <c r="C322" s="72" t="s">
        <v>4</v>
      </c>
      <c r="D322" s="73" t="s">
        <v>239</v>
      </c>
      <c r="E322" s="74">
        <v>40317.337557870371</v>
      </c>
      <c r="F322" s="74"/>
      <c r="G322" s="75" t="str">
        <f>IF(stdProdLT(Main[[#This Row],[Comments]])=0.1,"N/A",IF(stdProdLT(Main[[#This Row],[Comments]])=0,"",stdProdLT(Main[[#This Row],[Comments]])))</f>
        <v/>
      </c>
      <c r="H322" s="76" t="str">
        <f>IF(AND(Main[[#This Row],[In Stock Date]]&lt;&gt;"",Main[[#This Row],[Revised Due Date]]&lt;&gt;""),Main[[#This Row],[In Stock Date]]-Main[[#This Row],[Revised Due Date]],"")</f>
        <v/>
      </c>
      <c r="I322" s="72" t="s">
        <v>4</v>
      </c>
      <c r="J322" s="72" t="s">
        <v>4</v>
      </c>
      <c r="K322" s="72" t="s">
        <v>4</v>
      </c>
      <c r="L322" s="74"/>
      <c r="M322" s="77" t="str">
        <f>IF(Main[[#This Row],[Tech Start Date]]&lt;1/1/1990,"",IF(Main[[#This Row],[Class]]="C",WORKDAY(Main[[#This Row],[Tech Start Date]],9),IF(Main[[#This Row],[Class]]="B", WORKDAY(Main[[#This Row],[Tech Start Date]],6),IF(Main[[#This Row],[Class]]="A",WORKDAY(Main[[#This Row],[Tech Start Date]],2),""))))</f>
        <v/>
      </c>
      <c r="N322" s="77" t="str">
        <f>IF(Main[[#This Row],[Tech Start Date]]&lt;1/1/1990,"",IF(Main[[#This Row],[Class]]="C",WORKDAY(Main[[#This Row],[Tech Start Date]],19),IF(Main[[#This Row],[Class]]="B", WORKDAY(Main[[#This Row],[Tech Start Date]],12),IF(Main[[#This Row],[Class]]="A",WORKDAY(Main[[#This Row],[Tech Start Date]],4),""))))</f>
        <v/>
      </c>
      <c r="O322" s="77" t="str">
        <f>IF(Main[[#This Row],[Tech Start Date]]&lt;1/1/1990,"",IF(Main[[#This Row],[Class]]="C",WORKDAY(Main[[#This Row],[Tech Start Date]],23),IF(Main[[#This Row],[Class]]="B", WORKDAY(Main[[#This Row],[Tech Start Date]],15),IF(Main[[#This Row],[Class]]="A",WORKDAY(Main[[#This Row],[Tech Start Date]],5),""))))</f>
        <v/>
      </c>
      <c r="P322" s="77" t="str">
        <f>IF(Main[[#This Row],[Tech Start Date]]&lt;1/1/1990,"",IF(Main[[#This Row],[Class]]="C",WORKDAY(Main[[#This Row],[Tech Start Date]],28),IF(Main[[#This Row],[Class]]="B", WORKDAY(Main[[#This Row],[Tech Start Date]],19),IF(Main[[#This Row],[Class]]="A",WORKDAY(Main[[#This Row],[Tech Start Date]],9),""))))</f>
        <v/>
      </c>
      <c r="Q322" s="74">
        <v>40330</v>
      </c>
      <c r="R322" s="74"/>
      <c r="S322" s="72" t="s">
        <v>6</v>
      </c>
      <c r="T322" s="80" t="s">
        <v>4</v>
      </c>
      <c r="U322" s="72" t="s">
        <v>7</v>
      </c>
      <c r="V322" s="72" t="s">
        <v>1932</v>
      </c>
      <c r="W322" s="72" t="s">
        <v>1934</v>
      </c>
      <c r="X322" s="72" t="s">
        <v>102</v>
      </c>
      <c r="Y322" s="72" t="s">
        <v>3098</v>
      </c>
      <c r="Z322" s="72" t="s">
        <v>129</v>
      </c>
      <c r="AA322" s="147" t="s">
        <v>102</v>
      </c>
    </row>
    <row r="323" spans="1:27" ht="18.600000000000001" customHeight="1">
      <c r="A323" s="140" t="str">
        <f>IF(priority(Main[[#This Row],[Comments]])&lt;&gt;0, priority(Main[[#This Row],[Comments]]),"")</f>
        <v/>
      </c>
      <c r="B323" s="90" t="s">
        <v>1194</v>
      </c>
      <c r="C323" s="72" t="s">
        <v>4</v>
      </c>
      <c r="D323" s="73" t="s">
        <v>240</v>
      </c>
      <c r="E323" s="74"/>
      <c r="F323" s="74"/>
      <c r="G323" s="75" t="str">
        <f>IF(stdProdLT(Main[[#This Row],[Comments]])=0.1,"N/A",IF(stdProdLT(Main[[#This Row],[Comments]])=0,"",stdProdLT(Main[[#This Row],[Comments]])))</f>
        <v/>
      </c>
      <c r="H323" s="76" t="str">
        <f>IF(AND(Main[[#This Row],[In Stock Date]]&lt;&gt;"",Main[[#This Row],[Revised Due Date]]&lt;&gt;""),Main[[#This Row],[In Stock Date]]-Main[[#This Row],[Revised Due Date]],"")</f>
        <v/>
      </c>
      <c r="I323" s="72" t="s">
        <v>4</v>
      </c>
      <c r="J323" s="72" t="s">
        <v>4</v>
      </c>
      <c r="K323" s="72" t="s">
        <v>4</v>
      </c>
      <c r="L323" s="74"/>
      <c r="M323" s="77" t="str">
        <f>IF(Main[[#This Row],[Tech Start Date]]&lt;1/1/1990,"",IF(Main[[#This Row],[Class]]="C",WORKDAY(Main[[#This Row],[Tech Start Date]],9),IF(Main[[#This Row],[Class]]="B", WORKDAY(Main[[#This Row],[Tech Start Date]],6),IF(Main[[#This Row],[Class]]="A",WORKDAY(Main[[#This Row],[Tech Start Date]],2),""))))</f>
        <v/>
      </c>
      <c r="N323" s="77" t="str">
        <f>IF(Main[[#This Row],[Tech Start Date]]&lt;1/1/1990,"",IF(Main[[#This Row],[Class]]="C",WORKDAY(Main[[#This Row],[Tech Start Date]],19),IF(Main[[#This Row],[Class]]="B", WORKDAY(Main[[#This Row],[Tech Start Date]],12),IF(Main[[#This Row],[Class]]="A",WORKDAY(Main[[#This Row],[Tech Start Date]],4),""))))</f>
        <v/>
      </c>
      <c r="O323" s="77" t="str">
        <f>IF(Main[[#This Row],[Tech Start Date]]&lt;1/1/1990,"",IF(Main[[#This Row],[Class]]="C",WORKDAY(Main[[#This Row],[Tech Start Date]],23),IF(Main[[#This Row],[Class]]="B", WORKDAY(Main[[#This Row],[Tech Start Date]],15),IF(Main[[#This Row],[Class]]="A",WORKDAY(Main[[#This Row],[Tech Start Date]],5),""))))</f>
        <v/>
      </c>
      <c r="P323" s="77" t="str">
        <f>IF(Main[[#This Row],[Tech Start Date]]&lt;1/1/1990,"",IF(Main[[#This Row],[Class]]="C",WORKDAY(Main[[#This Row],[Tech Start Date]],28),IF(Main[[#This Row],[Class]]="B", WORKDAY(Main[[#This Row],[Tech Start Date]],19),IF(Main[[#This Row],[Class]]="A",WORKDAY(Main[[#This Row],[Tech Start Date]],9),""))))</f>
        <v/>
      </c>
      <c r="Q323" s="74"/>
      <c r="R323" s="155"/>
      <c r="S323" s="72" t="s">
        <v>11</v>
      </c>
      <c r="T323" s="80" t="s">
        <v>4</v>
      </c>
      <c r="U323" s="72" t="s">
        <v>14</v>
      </c>
      <c r="V323" s="72" t="s">
        <v>1932</v>
      </c>
      <c r="W323" s="72" t="s">
        <v>1936</v>
      </c>
      <c r="X323" s="72" t="s">
        <v>933</v>
      </c>
      <c r="Y323" s="72" t="s">
        <v>3069</v>
      </c>
      <c r="Z323" s="72" t="s">
        <v>4</v>
      </c>
      <c r="AA323" s="147" t="s">
        <v>933</v>
      </c>
    </row>
    <row r="324" spans="1:27" ht="18.600000000000001" customHeight="1">
      <c r="A324" s="140" t="str">
        <f>IF(priority(Main[[#This Row],[Comments]])&lt;&gt;0, priority(Main[[#This Row],[Comments]]),"")</f>
        <v/>
      </c>
      <c r="B324" s="90" t="s">
        <v>1198</v>
      </c>
      <c r="C324" s="72" t="s">
        <v>4</v>
      </c>
      <c r="D324" s="73" t="s">
        <v>39</v>
      </c>
      <c r="E324" s="74"/>
      <c r="F324" s="74"/>
      <c r="G324" s="75" t="str">
        <f>IF(stdProdLT(Main[[#This Row],[Comments]])=0.1,"N/A",IF(stdProdLT(Main[[#This Row],[Comments]])=0,"",stdProdLT(Main[[#This Row],[Comments]])))</f>
        <v/>
      </c>
      <c r="H324" s="76" t="str">
        <f>IF(AND(Main[[#This Row],[In Stock Date]]&lt;&gt;"",Main[[#This Row],[Revised Due Date]]&lt;&gt;""),Main[[#This Row],[In Stock Date]]-Main[[#This Row],[Revised Due Date]],"")</f>
        <v/>
      </c>
      <c r="I324" s="72" t="s">
        <v>4</v>
      </c>
      <c r="J324" s="72" t="s">
        <v>4</v>
      </c>
      <c r="K324" s="72" t="s">
        <v>4</v>
      </c>
      <c r="L324" s="74"/>
      <c r="M324" s="77" t="str">
        <f>IF(Main[[#This Row],[Tech Start Date]]&lt;1/1/1990,"",IF(Main[[#This Row],[Class]]="C",WORKDAY(Main[[#This Row],[Tech Start Date]],9),IF(Main[[#This Row],[Class]]="B", WORKDAY(Main[[#This Row],[Tech Start Date]],6),IF(Main[[#This Row],[Class]]="A",WORKDAY(Main[[#This Row],[Tech Start Date]],2),""))))</f>
        <v/>
      </c>
      <c r="N324" s="77" t="str">
        <f>IF(Main[[#This Row],[Tech Start Date]]&lt;1/1/1990,"",IF(Main[[#This Row],[Class]]="C",WORKDAY(Main[[#This Row],[Tech Start Date]],19),IF(Main[[#This Row],[Class]]="B", WORKDAY(Main[[#This Row],[Tech Start Date]],12),IF(Main[[#This Row],[Class]]="A",WORKDAY(Main[[#This Row],[Tech Start Date]],4),""))))</f>
        <v/>
      </c>
      <c r="O324" s="77" t="str">
        <f>IF(Main[[#This Row],[Tech Start Date]]&lt;1/1/1990,"",IF(Main[[#This Row],[Class]]="C",WORKDAY(Main[[#This Row],[Tech Start Date]],23),IF(Main[[#This Row],[Class]]="B", WORKDAY(Main[[#This Row],[Tech Start Date]],15),IF(Main[[#This Row],[Class]]="A",WORKDAY(Main[[#This Row],[Tech Start Date]],5),""))))</f>
        <v/>
      </c>
      <c r="P324" s="77" t="str">
        <f>IF(Main[[#This Row],[Tech Start Date]]&lt;1/1/1990,"",IF(Main[[#This Row],[Class]]="C",WORKDAY(Main[[#This Row],[Tech Start Date]],28),IF(Main[[#This Row],[Class]]="B", WORKDAY(Main[[#This Row],[Tech Start Date]],19),IF(Main[[#This Row],[Class]]="A",WORKDAY(Main[[#This Row],[Tech Start Date]],9),""))))</f>
        <v/>
      </c>
      <c r="Q324" s="74">
        <v>40669</v>
      </c>
      <c r="R324" s="74"/>
      <c r="S324" s="72" t="s">
        <v>6</v>
      </c>
      <c r="T324" s="80" t="s">
        <v>4</v>
      </c>
      <c r="U324" s="72" t="s">
        <v>14</v>
      </c>
      <c r="V324" s="72" t="s">
        <v>1935</v>
      </c>
      <c r="W324" s="72" t="s">
        <v>4</v>
      </c>
      <c r="X324" s="72" t="s">
        <v>2902</v>
      </c>
      <c r="Y324" s="72" t="s">
        <v>3016</v>
      </c>
      <c r="Z324" s="72" t="s">
        <v>4</v>
      </c>
      <c r="AA324" s="147" t="s">
        <v>2902</v>
      </c>
    </row>
    <row r="325" spans="1:27" ht="18.600000000000001" customHeight="1">
      <c r="A325" s="140" t="str">
        <f>IF(priority(Main[[#This Row],[Comments]])&lt;&gt;0, priority(Main[[#This Row],[Comments]]),"")</f>
        <v/>
      </c>
      <c r="B325" s="90" t="s">
        <v>2094</v>
      </c>
      <c r="C325" s="72" t="s">
        <v>4</v>
      </c>
      <c r="D325" s="73" t="s">
        <v>2095</v>
      </c>
      <c r="E325" s="74">
        <v>40774.330196759256</v>
      </c>
      <c r="F325" s="74"/>
      <c r="G325" s="75" t="str">
        <f>IF(stdProdLT(Main[[#This Row],[Comments]])=0.1,"N/A",IF(stdProdLT(Main[[#This Row],[Comments]])=0,"",stdProdLT(Main[[#This Row],[Comments]])))</f>
        <v/>
      </c>
      <c r="H325" s="76" t="str">
        <f>IF(AND(Main[[#This Row],[In Stock Date]]&lt;&gt;"",Main[[#This Row],[Revised Due Date]]&lt;&gt;""),Main[[#This Row],[In Stock Date]]-Main[[#This Row],[Revised Due Date]],"")</f>
        <v/>
      </c>
      <c r="I325" s="72" t="s">
        <v>4</v>
      </c>
      <c r="J325" s="72" t="s">
        <v>4</v>
      </c>
      <c r="K325" s="72" t="s">
        <v>4</v>
      </c>
      <c r="L325" s="74"/>
      <c r="M325" s="77" t="str">
        <f>IF(Main[[#This Row],[Tech Start Date]]&lt;1/1/1990,"",IF(Main[[#This Row],[Class]]="C",WORKDAY(Main[[#This Row],[Tech Start Date]],9),IF(Main[[#This Row],[Class]]="B", WORKDAY(Main[[#This Row],[Tech Start Date]],6),IF(Main[[#This Row],[Class]]="A",WORKDAY(Main[[#This Row],[Tech Start Date]],2),""))))</f>
        <v/>
      </c>
      <c r="N325" s="77" t="str">
        <f>IF(Main[[#This Row],[Tech Start Date]]&lt;1/1/1990,"",IF(Main[[#This Row],[Class]]="C",WORKDAY(Main[[#This Row],[Tech Start Date]],19),IF(Main[[#This Row],[Class]]="B", WORKDAY(Main[[#This Row],[Tech Start Date]],12),IF(Main[[#This Row],[Class]]="A",WORKDAY(Main[[#This Row],[Tech Start Date]],4),""))))</f>
        <v/>
      </c>
      <c r="O325" s="77" t="str">
        <f>IF(Main[[#This Row],[Tech Start Date]]&lt;1/1/1990,"",IF(Main[[#This Row],[Class]]="C",WORKDAY(Main[[#This Row],[Tech Start Date]],23),IF(Main[[#This Row],[Class]]="B", WORKDAY(Main[[#This Row],[Tech Start Date]],15),IF(Main[[#This Row],[Class]]="A",WORKDAY(Main[[#This Row],[Tech Start Date]],5),""))))</f>
        <v/>
      </c>
      <c r="P325" s="77" t="str">
        <f>IF(Main[[#This Row],[Tech Start Date]]&lt;1/1/1990,"",IF(Main[[#This Row],[Class]]="C",WORKDAY(Main[[#This Row],[Tech Start Date]],28),IF(Main[[#This Row],[Class]]="B", WORKDAY(Main[[#This Row],[Tech Start Date]],19),IF(Main[[#This Row],[Class]]="A",WORKDAY(Main[[#This Row],[Tech Start Date]],9),""))))</f>
        <v/>
      </c>
      <c r="Q325" s="74">
        <v>40788</v>
      </c>
      <c r="R325" s="74"/>
      <c r="S325" s="72" t="s">
        <v>6</v>
      </c>
      <c r="T325" s="80" t="s">
        <v>4</v>
      </c>
      <c r="U325" s="72" t="s">
        <v>7</v>
      </c>
      <c r="V325" s="72" t="s">
        <v>1932</v>
      </c>
      <c r="W325" s="72" t="s">
        <v>4</v>
      </c>
      <c r="X325" s="72" t="s">
        <v>2935</v>
      </c>
      <c r="Y325" s="72" t="s">
        <v>3073</v>
      </c>
      <c r="Z325" s="72" t="s">
        <v>4</v>
      </c>
      <c r="AA325" s="147" t="s">
        <v>2935</v>
      </c>
    </row>
    <row r="326" spans="1:27" ht="18.600000000000001" customHeight="1">
      <c r="A326" s="140" t="str">
        <f>IF(priority(Main[[#This Row],[Comments]])&lt;&gt;0, priority(Main[[#This Row],[Comments]]),"")</f>
        <v/>
      </c>
      <c r="B326" s="90" t="s">
        <v>1199</v>
      </c>
      <c r="C326" s="72" t="s">
        <v>248</v>
      </c>
      <c r="D326" s="73" t="s">
        <v>249</v>
      </c>
      <c r="E326" s="74"/>
      <c r="F326" s="74"/>
      <c r="G326" s="75" t="str">
        <f>IF(stdProdLT(Main[[#This Row],[Comments]])=0.1,"N/A",IF(stdProdLT(Main[[#This Row],[Comments]])=0,"",stdProdLT(Main[[#This Row],[Comments]])))</f>
        <v/>
      </c>
      <c r="H326" s="76" t="str">
        <f>IF(AND(Main[[#This Row],[In Stock Date]]&lt;&gt;"",Main[[#This Row],[Revised Due Date]]&lt;&gt;""),Main[[#This Row],[In Stock Date]]-Main[[#This Row],[Revised Due Date]],"")</f>
        <v/>
      </c>
      <c r="I326" s="72" t="s">
        <v>4</v>
      </c>
      <c r="J326" s="72" t="s">
        <v>4</v>
      </c>
      <c r="K326" s="72" t="s">
        <v>4</v>
      </c>
      <c r="L326" s="74"/>
      <c r="M326" s="77" t="str">
        <f>IF(Main[[#This Row],[Tech Start Date]]&lt;1/1/1990,"",IF(Main[[#This Row],[Class]]="C",WORKDAY(Main[[#This Row],[Tech Start Date]],9),IF(Main[[#This Row],[Class]]="B", WORKDAY(Main[[#This Row],[Tech Start Date]],6),IF(Main[[#This Row],[Class]]="A",WORKDAY(Main[[#This Row],[Tech Start Date]],2),""))))</f>
        <v/>
      </c>
      <c r="N326" s="77" t="str">
        <f>IF(Main[[#This Row],[Tech Start Date]]&lt;1/1/1990,"",IF(Main[[#This Row],[Class]]="C",WORKDAY(Main[[#This Row],[Tech Start Date]],19),IF(Main[[#This Row],[Class]]="B", WORKDAY(Main[[#This Row],[Tech Start Date]],12),IF(Main[[#This Row],[Class]]="A",WORKDAY(Main[[#This Row],[Tech Start Date]],4),""))))</f>
        <v/>
      </c>
      <c r="O326" s="77" t="str">
        <f>IF(Main[[#This Row],[Tech Start Date]]&lt;1/1/1990,"",IF(Main[[#This Row],[Class]]="C",WORKDAY(Main[[#This Row],[Tech Start Date]],23),IF(Main[[#This Row],[Class]]="B", WORKDAY(Main[[#This Row],[Tech Start Date]],15),IF(Main[[#This Row],[Class]]="A",WORKDAY(Main[[#This Row],[Tech Start Date]],5),""))))</f>
        <v/>
      </c>
      <c r="P326" s="77" t="str">
        <f>IF(Main[[#This Row],[Tech Start Date]]&lt;1/1/1990,"",IF(Main[[#This Row],[Class]]="C",WORKDAY(Main[[#This Row],[Tech Start Date]],28),IF(Main[[#This Row],[Class]]="B", WORKDAY(Main[[#This Row],[Tech Start Date]],19),IF(Main[[#This Row],[Class]]="A",WORKDAY(Main[[#This Row],[Tech Start Date]],9),""))))</f>
        <v/>
      </c>
      <c r="Q326" s="74">
        <v>40325</v>
      </c>
      <c r="R326" s="155"/>
      <c r="S326" s="72" t="s">
        <v>11</v>
      </c>
      <c r="T326" s="80" t="s">
        <v>4</v>
      </c>
      <c r="U326" s="72" t="s">
        <v>12</v>
      </c>
      <c r="V326" s="72" t="s">
        <v>1933</v>
      </c>
      <c r="W326" s="72" t="s">
        <v>1938</v>
      </c>
      <c r="X326" s="72" t="s">
        <v>50</v>
      </c>
      <c r="Y326" s="72" t="s">
        <v>3100</v>
      </c>
      <c r="Z326" s="72" t="s">
        <v>4</v>
      </c>
      <c r="AA326" s="147" t="s">
        <v>3587</v>
      </c>
    </row>
    <row r="327" spans="1:27" ht="18.600000000000001" customHeight="1">
      <c r="A327" s="140" t="str">
        <f>IF(priority(Main[[#This Row],[Comments]])&lt;&gt;0, priority(Main[[#This Row],[Comments]]),"")</f>
        <v/>
      </c>
      <c r="B327" s="90" t="s">
        <v>3732</v>
      </c>
      <c r="C327" s="72" t="s">
        <v>3380</v>
      </c>
      <c r="D327" s="73" t="s">
        <v>3733</v>
      </c>
      <c r="E327" s="74"/>
      <c r="F327" s="74">
        <v>41068</v>
      </c>
      <c r="G327" s="75" t="str">
        <f>IF(stdProdLT(Main[[#This Row],[Comments]])=0.1,"N/A",IF(stdProdLT(Main[[#This Row],[Comments]])=0,"",stdProdLT(Main[[#This Row],[Comments]])))</f>
        <v/>
      </c>
      <c r="H327" s="76" t="str">
        <f>IF(AND(Main[[#This Row],[In Stock Date]]&lt;&gt;"",Main[[#This Row],[Revised Due Date]]&lt;&gt;""),Main[[#This Row],[In Stock Date]]-Main[[#This Row],[Revised Due Date]],"")</f>
        <v/>
      </c>
      <c r="I327" s="72" t="s">
        <v>4</v>
      </c>
      <c r="J327" s="72" t="s">
        <v>4</v>
      </c>
      <c r="K327" s="72" t="s">
        <v>4</v>
      </c>
      <c r="L327" s="74"/>
      <c r="M327" s="77" t="str">
        <f>IF(Main[[#This Row],[Tech Start Date]]&lt;1/1/1990,"",IF(Main[[#This Row],[Class]]="C",WORKDAY(Main[[#This Row],[Tech Start Date]],9),IF(Main[[#This Row],[Class]]="B", WORKDAY(Main[[#This Row],[Tech Start Date]],6),IF(Main[[#This Row],[Class]]="A",WORKDAY(Main[[#This Row],[Tech Start Date]],2),""))))</f>
        <v/>
      </c>
      <c r="N327" s="77" t="str">
        <f>IF(Main[[#This Row],[Tech Start Date]]&lt;1/1/1990,"",IF(Main[[#This Row],[Class]]="C",WORKDAY(Main[[#This Row],[Tech Start Date]],19),IF(Main[[#This Row],[Class]]="B", WORKDAY(Main[[#This Row],[Tech Start Date]],12),IF(Main[[#This Row],[Class]]="A",WORKDAY(Main[[#This Row],[Tech Start Date]],4),""))))</f>
        <v/>
      </c>
      <c r="O327" s="77" t="str">
        <f>IF(Main[[#This Row],[Tech Start Date]]&lt;1/1/1990,"",IF(Main[[#This Row],[Class]]="C",WORKDAY(Main[[#This Row],[Tech Start Date]],23),IF(Main[[#This Row],[Class]]="B", WORKDAY(Main[[#This Row],[Tech Start Date]],15),IF(Main[[#This Row],[Class]]="A",WORKDAY(Main[[#This Row],[Tech Start Date]],5),""))))</f>
        <v/>
      </c>
      <c r="P327" s="77" t="str">
        <f>IF(Main[[#This Row],[Tech Start Date]]&lt;1/1/1990,"",IF(Main[[#This Row],[Class]]="C",WORKDAY(Main[[#This Row],[Tech Start Date]],28),IF(Main[[#This Row],[Class]]="B", WORKDAY(Main[[#This Row],[Tech Start Date]],19),IF(Main[[#This Row],[Class]]="A",WORKDAY(Main[[#This Row],[Tech Start Date]],9),""))))</f>
        <v/>
      </c>
      <c r="Q327" s="74">
        <v>40956</v>
      </c>
      <c r="R327" s="155"/>
      <c r="S327" s="72" t="s">
        <v>11</v>
      </c>
      <c r="T327" s="80" t="s">
        <v>4</v>
      </c>
      <c r="U327" s="72" t="s">
        <v>14</v>
      </c>
      <c r="V327" s="72" t="s">
        <v>1942</v>
      </c>
      <c r="W327" s="72" t="s">
        <v>1940</v>
      </c>
      <c r="X327" s="72" t="s">
        <v>2913</v>
      </c>
      <c r="Y327" s="72" t="s">
        <v>3038</v>
      </c>
      <c r="Z327" s="72" t="s">
        <v>4</v>
      </c>
      <c r="AA327" s="147" t="s">
        <v>2913</v>
      </c>
    </row>
    <row r="328" spans="1:27" ht="18.600000000000001" customHeight="1">
      <c r="A328" s="140" t="str">
        <f>IF(priority(Main[[#This Row],[Comments]])&lt;&gt;0, priority(Main[[#This Row],[Comments]]),"")</f>
        <v/>
      </c>
      <c r="B328" s="90" t="s">
        <v>1702</v>
      </c>
      <c r="C328" s="72" t="s">
        <v>79</v>
      </c>
      <c r="D328" s="73" t="s">
        <v>749</v>
      </c>
      <c r="E328" s="74">
        <v>40458.641226851854</v>
      </c>
      <c r="F328" s="74"/>
      <c r="G328" s="75" t="str">
        <f>IF(stdProdLT(Main[[#This Row],[Comments]])=0.1,"N/A",IF(stdProdLT(Main[[#This Row],[Comments]])=0,"",stdProdLT(Main[[#This Row],[Comments]])))</f>
        <v/>
      </c>
      <c r="H328" s="76" t="str">
        <f>IF(AND(Main[[#This Row],[In Stock Date]]&lt;&gt;"",Main[[#This Row],[Revised Due Date]]&lt;&gt;""),Main[[#This Row],[In Stock Date]]-Main[[#This Row],[Revised Due Date]],"")</f>
        <v/>
      </c>
      <c r="I328" s="72" t="s">
        <v>4</v>
      </c>
      <c r="J328" s="72" t="s">
        <v>28</v>
      </c>
      <c r="K328" s="72" t="s">
        <v>1944</v>
      </c>
      <c r="L328" s="74"/>
      <c r="M328" s="77" t="str">
        <f>IF(Main[[#This Row],[Tech Start Date]]&lt;1/1/1990,"",IF(Main[[#This Row],[Class]]="C",WORKDAY(Main[[#This Row],[Tech Start Date]],9),IF(Main[[#This Row],[Class]]="B", WORKDAY(Main[[#This Row],[Tech Start Date]],6),IF(Main[[#This Row],[Class]]="A",WORKDAY(Main[[#This Row],[Tech Start Date]],2),""))))</f>
        <v/>
      </c>
      <c r="N328" s="77" t="str">
        <f>IF(Main[[#This Row],[Tech Start Date]]&lt;1/1/1990,"",IF(Main[[#This Row],[Class]]="C",WORKDAY(Main[[#This Row],[Tech Start Date]],19),IF(Main[[#This Row],[Class]]="B", WORKDAY(Main[[#This Row],[Tech Start Date]],12),IF(Main[[#This Row],[Class]]="A",WORKDAY(Main[[#This Row],[Tech Start Date]],4),""))))</f>
        <v/>
      </c>
      <c r="O328" s="77" t="str">
        <f>IF(Main[[#This Row],[Tech Start Date]]&lt;1/1/1990,"",IF(Main[[#This Row],[Class]]="C",WORKDAY(Main[[#This Row],[Tech Start Date]],23),IF(Main[[#This Row],[Class]]="B", WORKDAY(Main[[#This Row],[Tech Start Date]],15),IF(Main[[#This Row],[Class]]="A",WORKDAY(Main[[#This Row],[Tech Start Date]],5),""))))</f>
        <v/>
      </c>
      <c r="P328" s="77" t="str">
        <f>IF(Main[[#This Row],[Tech Start Date]]&lt;1/1/1990,"",IF(Main[[#This Row],[Class]]="C",WORKDAY(Main[[#This Row],[Tech Start Date]],28),IF(Main[[#This Row],[Class]]="B", WORKDAY(Main[[#This Row],[Tech Start Date]],19),IF(Main[[#This Row],[Class]]="A",WORKDAY(Main[[#This Row],[Tech Start Date]],9),""))))</f>
        <v/>
      </c>
      <c r="Q328" s="74">
        <v>40486</v>
      </c>
      <c r="R328" s="74"/>
      <c r="S328" s="72" t="s">
        <v>17</v>
      </c>
      <c r="T328" s="80" t="s">
        <v>4</v>
      </c>
      <c r="U328" s="72" t="s">
        <v>7</v>
      </c>
      <c r="V328" s="72" t="s">
        <v>1932</v>
      </c>
      <c r="W328" s="72" t="s">
        <v>1937</v>
      </c>
      <c r="X328" s="72" t="s">
        <v>2905</v>
      </c>
      <c r="Y328" s="72" t="s">
        <v>3023</v>
      </c>
      <c r="Z328" s="72" t="s">
        <v>129</v>
      </c>
      <c r="AA328" s="147" t="s">
        <v>2905</v>
      </c>
    </row>
    <row r="329" spans="1:27" ht="18.600000000000001" customHeight="1">
      <c r="A329" s="140" t="str">
        <f>IF(priority(Main[[#This Row],[Comments]])&lt;&gt;0, priority(Main[[#This Row],[Comments]]),"")</f>
        <v/>
      </c>
      <c r="B329" s="90" t="s">
        <v>2062</v>
      </c>
      <c r="C329" s="72" t="s">
        <v>4</v>
      </c>
      <c r="D329" s="73" t="s">
        <v>2063</v>
      </c>
      <c r="E329" s="74"/>
      <c r="F329" s="74"/>
      <c r="G329" s="75" t="str">
        <f>IF(stdProdLT(Main[[#This Row],[Comments]])=0.1,"N/A",IF(stdProdLT(Main[[#This Row],[Comments]])=0,"",stdProdLT(Main[[#This Row],[Comments]])))</f>
        <v/>
      </c>
      <c r="H329" s="76" t="str">
        <f>IF(AND(Main[[#This Row],[In Stock Date]]&lt;&gt;"",Main[[#This Row],[Revised Due Date]]&lt;&gt;""),Main[[#This Row],[In Stock Date]]-Main[[#This Row],[Revised Due Date]],"")</f>
        <v/>
      </c>
      <c r="I329" s="72" t="s">
        <v>4</v>
      </c>
      <c r="J329" s="72" t="s">
        <v>4</v>
      </c>
      <c r="K329" s="72" t="s">
        <v>4</v>
      </c>
      <c r="L329" s="74"/>
      <c r="M329" s="77" t="str">
        <f>IF(Main[[#This Row],[Tech Start Date]]&lt;1/1/1990,"",IF(Main[[#This Row],[Class]]="C",WORKDAY(Main[[#This Row],[Tech Start Date]],9),IF(Main[[#This Row],[Class]]="B", WORKDAY(Main[[#This Row],[Tech Start Date]],6),IF(Main[[#This Row],[Class]]="A",WORKDAY(Main[[#This Row],[Tech Start Date]],2),""))))</f>
        <v/>
      </c>
      <c r="N329" s="77" t="str">
        <f>IF(Main[[#This Row],[Tech Start Date]]&lt;1/1/1990,"",IF(Main[[#This Row],[Class]]="C",WORKDAY(Main[[#This Row],[Tech Start Date]],19),IF(Main[[#This Row],[Class]]="B", WORKDAY(Main[[#This Row],[Tech Start Date]],12),IF(Main[[#This Row],[Class]]="A",WORKDAY(Main[[#This Row],[Tech Start Date]],4),""))))</f>
        <v/>
      </c>
      <c r="O329" s="77" t="str">
        <f>IF(Main[[#This Row],[Tech Start Date]]&lt;1/1/1990,"",IF(Main[[#This Row],[Class]]="C",WORKDAY(Main[[#This Row],[Tech Start Date]],23),IF(Main[[#This Row],[Class]]="B", WORKDAY(Main[[#This Row],[Tech Start Date]],15),IF(Main[[#This Row],[Class]]="A",WORKDAY(Main[[#This Row],[Tech Start Date]],5),""))))</f>
        <v/>
      </c>
      <c r="P329" s="77" t="str">
        <f>IF(Main[[#This Row],[Tech Start Date]]&lt;1/1/1990,"",IF(Main[[#This Row],[Class]]="C",WORKDAY(Main[[#This Row],[Tech Start Date]],28),IF(Main[[#This Row],[Class]]="B", WORKDAY(Main[[#This Row],[Tech Start Date]],19),IF(Main[[#This Row],[Class]]="A",WORKDAY(Main[[#This Row],[Tech Start Date]],9),""))))</f>
        <v/>
      </c>
      <c r="Q329" s="74"/>
      <c r="R329" s="74"/>
      <c r="S329" s="72" t="s">
        <v>6</v>
      </c>
      <c r="T329" s="80" t="s">
        <v>4</v>
      </c>
      <c r="U329" s="72" t="s">
        <v>14</v>
      </c>
      <c r="V329" s="72" t="s">
        <v>1935</v>
      </c>
      <c r="W329" s="72" t="s">
        <v>1936</v>
      </c>
      <c r="X329" s="72" t="s">
        <v>310</v>
      </c>
      <c r="Y329" s="72" t="s">
        <v>4</v>
      </c>
      <c r="Z329" s="72" t="s">
        <v>4</v>
      </c>
      <c r="AA329" s="147" t="s">
        <v>4</v>
      </c>
    </row>
    <row r="330" spans="1:27" ht="18.600000000000001" customHeight="1">
      <c r="A330" s="140" t="str">
        <f>IF(priority(Main[[#This Row],[Comments]])&lt;&gt;0, priority(Main[[#This Row],[Comments]]),"")</f>
        <v/>
      </c>
      <c r="B330" s="90" t="s">
        <v>1201</v>
      </c>
      <c r="C330" s="72" t="s">
        <v>33</v>
      </c>
      <c r="D330" s="73" t="s">
        <v>251</v>
      </c>
      <c r="E330" s="74"/>
      <c r="F330" s="74"/>
      <c r="G330" s="75" t="str">
        <f>IF(stdProdLT(Main[[#This Row],[Comments]])=0.1,"N/A",IF(stdProdLT(Main[[#This Row],[Comments]])=0,"",stdProdLT(Main[[#This Row],[Comments]])))</f>
        <v/>
      </c>
      <c r="H330" s="76" t="str">
        <f>IF(AND(Main[[#This Row],[In Stock Date]]&lt;&gt;"",Main[[#This Row],[Revised Due Date]]&lt;&gt;""),Main[[#This Row],[In Stock Date]]-Main[[#This Row],[Revised Due Date]],"")</f>
        <v/>
      </c>
      <c r="I330" s="72" t="s">
        <v>4</v>
      </c>
      <c r="J330" s="72" t="s">
        <v>4</v>
      </c>
      <c r="K330" s="72" t="s">
        <v>4</v>
      </c>
      <c r="L330" s="74"/>
      <c r="M330" s="77" t="str">
        <f>IF(Main[[#This Row],[Tech Start Date]]&lt;1/1/1990,"",IF(Main[[#This Row],[Class]]="C",WORKDAY(Main[[#This Row],[Tech Start Date]],9),IF(Main[[#This Row],[Class]]="B", WORKDAY(Main[[#This Row],[Tech Start Date]],6),IF(Main[[#This Row],[Class]]="A",WORKDAY(Main[[#This Row],[Tech Start Date]],2),""))))</f>
        <v/>
      </c>
      <c r="N330" s="77" t="str">
        <f>IF(Main[[#This Row],[Tech Start Date]]&lt;1/1/1990,"",IF(Main[[#This Row],[Class]]="C",WORKDAY(Main[[#This Row],[Tech Start Date]],19),IF(Main[[#This Row],[Class]]="B", WORKDAY(Main[[#This Row],[Tech Start Date]],12),IF(Main[[#This Row],[Class]]="A",WORKDAY(Main[[#This Row],[Tech Start Date]],4),""))))</f>
        <v/>
      </c>
      <c r="O330" s="77" t="str">
        <f>IF(Main[[#This Row],[Tech Start Date]]&lt;1/1/1990,"",IF(Main[[#This Row],[Class]]="C",WORKDAY(Main[[#This Row],[Tech Start Date]],23),IF(Main[[#This Row],[Class]]="B", WORKDAY(Main[[#This Row],[Tech Start Date]],15),IF(Main[[#This Row],[Class]]="A",WORKDAY(Main[[#This Row],[Tech Start Date]],5),""))))</f>
        <v/>
      </c>
      <c r="P330" s="77" t="str">
        <f>IF(Main[[#This Row],[Tech Start Date]]&lt;1/1/1990,"",IF(Main[[#This Row],[Class]]="C",WORKDAY(Main[[#This Row],[Tech Start Date]],28),IF(Main[[#This Row],[Class]]="B", WORKDAY(Main[[#This Row],[Tech Start Date]],19),IF(Main[[#This Row],[Class]]="A",WORKDAY(Main[[#This Row],[Tech Start Date]],9),""))))</f>
        <v/>
      </c>
      <c r="Q330" s="74">
        <v>40269</v>
      </c>
      <c r="R330" s="74"/>
      <c r="S330" s="72" t="s">
        <v>11</v>
      </c>
      <c r="T330" s="80" t="s">
        <v>4</v>
      </c>
      <c r="U330" s="72" t="s">
        <v>14</v>
      </c>
      <c r="V330" s="72" t="s">
        <v>1935</v>
      </c>
      <c r="W330" s="72" t="s">
        <v>1934</v>
      </c>
      <c r="X330" s="72" t="s">
        <v>2953</v>
      </c>
      <c r="Y330" s="72" t="s">
        <v>4</v>
      </c>
      <c r="Z330" s="72" t="s">
        <v>4</v>
      </c>
      <c r="AA330" s="147" t="s">
        <v>2953</v>
      </c>
    </row>
    <row r="331" spans="1:27" ht="18.600000000000001" customHeight="1">
      <c r="A331" s="140" t="str">
        <f>IF(priority(Main[[#This Row],[Comments]])&lt;&gt;0, priority(Main[[#This Row],[Comments]]),"")</f>
        <v/>
      </c>
      <c r="B331" s="90" t="s">
        <v>1202</v>
      </c>
      <c r="C331" s="72" t="s">
        <v>252</v>
      </c>
      <c r="D331" s="73" t="s">
        <v>253</v>
      </c>
      <c r="E331" s="74"/>
      <c r="F331" s="74"/>
      <c r="G331" s="75" t="str">
        <f>IF(stdProdLT(Main[[#This Row],[Comments]])=0.1,"N/A",IF(stdProdLT(Main[[#This Row],[Comments]])=0,"",stdProdLT(Main[[#This Row],[Comments]])))</f>
        <v/>
      </c>
      <c r="H331" s="76" t="str">
        <f>IF(AND(Main[[#This Row],[In Stock Date]]&lt;&gt;"",Main[[#This Row],[Revised Due Date]]&lt;&gt;""),Main[[#This Row],[In Stock Date]]-Main[[#This Row],[Revised Due Date]],"")</f>
        <v/>
      </c>
      <c r="I331" s="72" t="s">
        <v>4</v>
      </c>
      <c r="J331" s="72" t="s">
        <v>28</v>
      </c>
      <c r="K331" s="72" t="s">
        <v>4</v>
      </c>
      <c r="L331" s="74"/>
      <c r="M331" s="77" t="str">
        <f>IF(Main[[#This Row],[Tech Start Date]]&lt;1/1/1990,"",IF(Main[[#This Row],[Class]]="C",WORKDAY(Main[[#This Row],[Tech Start Date]],9),IF(Main[[#This Row],[Class]]="B", WORKDAY(Main[[#This Row],[Tech Start Date]],6),IF(Main[[#This Row],[Class]]="A",WORKDAY(Main[[#This Row],[Tech Start Date]],2),""))))</f>
        <v/>
      </c>
      <c r="N331" s="77" t="str">
        <f>IF(Main[[#This Row],[Tech Start Date]]&lt;1/1/1990,"",IF(Main[[#This Row],[Class]]="C",WORKDAY(Main[[#This Row],[Tech Start Date]],19),IF(Main[[#This Row],[Class]]="B", WORKDAY(Main[[#This Row],[Tech Start Date]],12),IF(Main[[#This Row],[Class]]="A",WORKDAY(Main[[#This Row],[Tech Start Date]],4),""))))</f>
        <v/>
      </c>
      <c r="O331" s="77" t="str">
        <f>IF(Main[[#This Row],[Tech Start Date]]&lt;1/1/1990,"",IF(Main[[#This Row],[Class]]="C",WORKDAY(Main[[#This Row],[Tech Start Date]],23),IF(Main[[#This Row],[Class]]="B", WORKDAY(Main[[#This Row],[Tech Start Date]],15),IF(Main[[#This Row],[Class]]="A",WORKDAY(Main[[#This Row],[Tech Start Date]],5),""))))</f>
        <v/>
      </c>
      <c r="P331" s="77" t="str">
        <f>IF(Main[[#This Row],[Tech Start Date]]&lt;1/1/1990,"",IF(Main[[#This Row],[Class]]="C",WORKDAY(Main[[#This Row],[Tech Start Date]],28),IF(Main[[#This Row],[Class]]="B", WORKDAY(Main[[#This Row],[Tech Start Date]],19),IF(Main[[#This Row],[Class]]="A",WORKDAY(Main[[#This Row],[Tech Start Date]],9),""))))</f>
        <v/>
      </c>
      <c r="Q331" s="74"/>
      <c r="R331" s="155"/>
      <c r="S331" s="72" t="s">
        <v>6</v>
      </c>
      <c r="T331" s="80" t="s">
        <v>4</v>
      </c>
      <c r="U331" s="72" t="s">
        <v>14</v>
      </c>
      <c r="V331" s="72" t="s">
        <v>1932</v>
      </c>
      <c r="W331" s="72" t="s">
        <v>1940</v>
      </c>
      <c r="X331" s="72" t="s">
        <v>900</v>
      </c>
      <c r="Y331" s="72" t="s">
        <v>3101</v>
      </c>
      <c r="Z331" s="72" t="s">
        <v>129</v>
      </c>
      <c r="AA331" s="147" t="s">
        <v>3560</v>
      </c>
    </row>
    <row r="332" spans="1:27" ht="18.600000000000001" customHeight="1">
      <c r="A332" s="140" t="str">
        <f>IF(priority(Main[[#This Row],[Comments]])&lt;&gt;0, priority(Main[[#This Row],[Comments]]),"")</f>
        <v/>
      </c>
      <c r="B332" s="90" t="s">
        <v>1203</v>
      </c>
      <c r="C332" s="72" t="s">
        <v>4</v>
      </c>
      <c r="D332" s="73" t="s">
        <v>254</v>
      </c>
      <c r="E332" s="74"/>
      <c r="F332" s="74"/>
      <c r="G332" s="75" t="str">
        <f>IF(stdProdLT(Main[[#This Row],[Comments]])=0.1,"N/A",IF(stdProdLT(Main[[#This Row],[Comments]])=0,"",stdProdLT(Main[[#This Row],[Comments]])))</f>
        <v/>
      </c>
      <c r="H332" s="76" t="str">
        <f>IF(AND(Main[[#This Row],[In Stock Date]]&lt;&gt;"",Main[[#This Row],[Revised Due Date]]&lt;&gt;""),Main[[#This Row],[In Stock Date]]-Main[[#This Row],[Revised Due Date]],"")</f>
        <v/>
      </c>
      <c r="I332" s="72" t="s">
        <v>4</v>
      </c>
      <c r="J332" s="72" t="s">
        <v>4</v>
      </c>
      <c r="K332" s="72" t="s">
        <v>4</v>
      </c>
      <c r="L332" s="74"/>
      <c r="M332" s="77" t="str">
        <f>IF(Main[[#This Row],[Tech Start Date]]&lt;1/1/1990,"",IF(Main[[#This Row],[Class]]="C",WORKDAY(Main[[#This Row],[Tech Start Date]],9),IF(Main[[#This Row],[Class]]="B", WORKDAY(Main[[#This Row],[Tech Start Date]],6),IF(Main[[#This Row],[Class]]="A",WORKDAY(Main[[#This Row],[Tech Start Date]],2),""))))</f>
        <v/>
      </c>
      <c r="N332" s="77" t="str">
        <f>IF(Main[[#This Row],[Tech Start Date]]&lt;1/1/1990,"",IF(Main[[#This Row],[Class]]="C",WORKDAY(Main[[#This Row],[Tech Start Date]],19),IF(Main[[#This Row],[Class]]="B", WORKDAY(Main[[#This Row],[Tech Start Date]],12),IF(Main[[#This Row],[Class]]="A",WORKDAY(Main[[#This Row],[Tech Start Date]],4),""))))</f>
        <v/>
      </c>
      <c r="O332" s="77" t="str">
        <f>IF(Main[[#This Row],[Tech Start Date]]&lt;1/1/1990,"",IF(Main[[#This Row],[Class]]="C",WORKDAY(Main[[#This Row],[Tech Start Date]],23),IF(Main[[#This Row],[Class]]="B", WORKDAY(Main[[#This Row],[Tech Start Date]],15),IF(Main[[#This Row],[Class]]="A",WORKDAY(Main[[#This Row],[Tech Start Date]],5),""))))</f>
        <v/>
      </c>
      <c r="P332" s="77" t="str">
        <f>IF(Main[[#This Row],[Tech Start Date]]&lt;1/1/1990,"",IF(Main[[#This Row],[Class]]="C",WORKDAY(Main[[#This Row],[Tech Start Date]],28),IF(Main[[#This Row],[Class]]="B", WORKDAY(Main[[#This Row],[Tech Start Date]],19),IF(Main[[#This Row],[Class]]="A",WORKDAY(Main[[#This Row],[Tech Start Date]],9),""))))</f>
        <v/>
      </c>
      <c r="Q332" s="74"/>
      <c r="R332" s="155"/>
      <c r="S332" s="72" t="s">
        <v>6</v>
      </c>
      <c r="T332" s="80" t="s">
        <v>4</v>
      </c>
      <c r="U332" s="72" t="s">
        <v>14</v>
      </c>
      <c r="V332" s="72" t="s">
        <v>1935</v>
      </c>
      <c r="W332" s="72" t="s">
        <v>1936</v>
      </c>
      <c r="X332" s="72" t="s">
        <v>310</v>
      </c>
      <c r="Y332" s="72" t="s">
        <v>4</v>
      </c>
      <c r="Z332" s="72" t="s">
        <v>4</v>
      </c>
      <c r="AA332" s="147" t="s">
        <v>420</v>
      </c>
    </row>
    <row r="333" spans="1:27" ht="18.600000000000001" customHeight="1">
      <c r="A333" s="140" t="str">
        <f>IF(priority(Main[[#This Row],[Comments]])&lt;&gt;0, priority(Main[[#This Row],[Comments]]),"")</f>
        <v/>
      </c>
      <c r="B333" s="90" t="s">
        <v>1204</v>
      </c>
      <c r="C333" s="72" t="s">
        <v>113</v>
      </c>
      <c r="D333" s="73" t="s">
        <v>137</v>
      </c>
      <c r="E333" s="74"/>
      <c r="F333" s="74"/>
      <c r="G333" s="75" t="str">
        <f>IF(stdProdLT(Main[[#This Row],[Comments]])=0.1,"N/A",IF(stdProdLT(Main[[#This Row],[Comments]])=0,"",stdProdLT(Main[[#This Row],[Comments]])))</f>
        <v/>
      </c>
      <c r="H333" s="76" t="str">
        <f>IF(AND(Main[[#This Row],[In Stock Date]]&lt;&gt;"",Main[[#This Row],[Revised Due Date]]&lt;&gt;""),Main[[#This Row],[In Stock Date]]-Main[[#This Row],[Revised Due Date]],"")</f>
        <v/>
      </c>
      <c r="I333" s="72" t="s">
        <v>4</v>
      </c>
      <c r="J333" s="72" t="s">
        <v>4</v>
      </c>
      <c r="K333" s="72" t="s">
        <v>4</v>
      </c>
      <c r="L333" s="74"/>
      <c r="M333" s="77" t="str">
        <f>IF(Main[[#This Row],[Tech Start Date]]&lt;1/1/1990,"",IF(Main[[#This Row],[Class]]="C",WORKDAY(Main[[#This Row],[Tech Start Date]],9),IF(Main[[#This Row],[Class]]="B", WORKDAY(Main[[#This Row],[Tech Start Date]],6),IF(Main[[#This Row],[Class]]="A",WORKDAY(Main[[#This Row],[Tech Start Date]],2),""))))</f>
        <v/>
      </c>
      <c r="N333" s="77" t="str">
        <f>IF(Main[[#This Row],[Tech Start Date]]&lt;1/1/1990,"",IF(Main[[#This Row],[Class]]="C",WORKDAY(Main[[#This Row],[Tech Start Date]],19),IF(Main[[#This Row],[Class]]="B", WORKDAY(Main[[#This Row],[Tech Start Date]],12),IF(Main[[#This Row],[Class]]="A",WORKDAY(Main[[#This Row],[Tech Start Date]],4),""))))</f>
        <v/>
      </c>
      <c r="O333" s="77" t="str">
        <f>IF(Main[[#This Row],[Tech Start Date]]&lt;1/1/1990,"",IF(Main[[#This Row],[Class]]="C",WORKDAY(Main[[#This Row],[Tech Start Date]],23),IF(Main[[#This Row],[Class]]="B", WORKDAY(Main[[#This Row],[Tech Start Date]],15),IF(Main[[#This Row],[Class]]="A",WORKDAY(Main[[#This Row],[Tech Start Date]],5),""))))</f>
        <v/>
      </c>
      <c r="P333" s="77" t="str">
        <f>IF(Main[[#This Row],[Tech Start Date]]&lt;1/1/1990,"",IF(Main[[#This Row],[Class]]="C",WORKDAY(Main[[#This Row],[Tech Start Date]],28),IF(Main[[#This Row],[Class]]="B", WORKDAY(Main[[#This Row],[Tech Start Date]],19),IF(Main[[#This Row],[Class]]="A",WORKDAY(Main[[#This Row],[Tech Start Date]],9),""))))</f>
        <v/>
      </c>
      <c r="Q333" s="74">
        <v>40641</v>
      </c>
      <c r="R333" s="155"/>
      <c r="S333" s="72" t="s">
        <v>11</v>
      </c>
      <c r="T333" s="80" t="s">
        <v>4</v>
      </c>
      <c r="U333" s="72" t="s">
        <v>14</v>
      </c>
      <c r="V333" s="72" t="s">
        <v>1932</v>
      </c>
      <c r="W333" s="72" t="s">
        <v>1940</v>
      </c>
      <c r="X333" s="72" t="s">
        <v>2923</v>
      </c>
      <c r="Y333" s="72" t="s">
        <v>3068</v>
      </c>
      <c r="Z333" s="72" t="s">
        <v>4</v>
      </c>
      <c r="AA333" s="147" t="s">
        <v>2923</v>
      </c>
    </row>
    <row r="334" spans="1:27" ht="18.600000000000001" customHeight="1">
      <c r="A334" s="140" t="str">
        <f>IF(priority(Main[[#This Row],[Comments]])&lt;&gt;0, priority(Main[[#This Row],[Comments]]),"")</f>
        <v/>
      </c>
      <c r="B334" s="90" t="s">
        <v>1147</v>
      </c>
      <c r="C334" s="72" t="s">
        <v>4</v>
      </c>
      <c r="D334" s="73" t="s">
        <v>189</v>
      </c>
      <c r="E334" s="74">
        <v>40585.675416666665</v>
      </c>
      <c r="F334" s="74">
        <v>40606</v>
      </c>
      <c r="G334" s="75" t="str">
        <f>IF(stdProdLT(Main[[#This Row],[Comments]])=0.1,"N/A",IF(stdProdLT(Main[[#This Row],[Comments]])=0,"",stdProdLT(Main[[#This Row],[Comments]])))</f>
        <v/>
      </c>
      <c r="H334" s="76" t="str">
        <f>IF(AND(Main[[#This Row],[In Stock Date]]&lt;&gt;"",Main[[#This Row],[Revised Due Date]]&lt;&gt;""),Main[[#This Row],[In Stock Date]]-Main[[#This Row],[Revised Due Date]],"")</f>
        <v/>
      </c>
      <c r="I334" s="72" t="s">
        <v>4</v>
      </c>
      <c r="J334" s="72" t="s">
        <v>28</v>
      </c>
      <c r="K334" s="81" t="s">
        <v>1944</v>
      </c>
      <c r="L334" s="74"/>
      <c r="M334" s="77" t="str">
        <f>IF(Main[[#This Row],[Tech Start Date]]&lt;1/1/1990,"",IF(Main[[#This Row],[Class]]="C",WORKDAY(Main[[#This Row],[Tech Start Date]],9),IF(Main[[#This Row],[Class]]="B", WORKDAY(Main[[#This Row],[Tech Start Date]],6),IF(Main[[#This Row],[Class]]="A",WORKDAY(Main[[#This Row],[Tech Start Date]],2),""))))</f>
        <v/>
      </c>
      <c r="N334" s="77" t="str">
        <f>IF(Main[[#This Row],[Tech Start Date]]&lt;1/1/1990,"",IF(Main[[#This Row],[Class]]="C",WORKDAY(Main[[#This Row],[Tech Start Date]],19),IF(Main[[#This Row],[Class]]="B", WORKDAY(Main[[#This Row],[Tech Start Date]],12),IF(Main[[#This Row],[Class]]="A",WORKDAY(Main[[#This Row],[Tech Start Date]],4),""))))</f>
        <v/>
      </c>
      <c r="O334" s="77" t="str">
        <f>IF(Main[[#This Row],[Tech Start Date]]&lt;1/1/1990,"",IF(Main[[#This Row],[Class]]="C",WORKDAY(Main[[#This Row],[Tech Start Date]],23),IF(Main[[#This Row],[Class]]="B", WORKDAY(Main[[#This Row],[Tech Start Date]],15),IF(Main[[#This Row],[Class]]="A",WORKDAY(Main[[#This Row],[Tech Start Date]],5),""))))</f>
        <v/>
      </c>
      <c r="P334" s="77" t="str">
        <f>IF(Main[[#This Row],[Tech Start Date]]&lt;1/1/1990,"",IF(Main[[#This Row],[Class]]="C",WORKDAY(Main[[#This Row],[Tech Start Date]],28),IF(Main[[#This Row],[Class]]="B", WORKDAY(Main[[#This Row],[Tech Start Date]],19),IF(Main[[#This Row],[Class]]="A",WORKDAY(Main[[#This Row],[Tech Start Date]],9),""))))</f>
        <v/>
      </c>
      <c r="Q334" s="74">
        <v>40606</v>
      </c>
      <c r="R334" s="74"/>
      <c r="S334" s="72" t="s">
        <v>17</v>
      </c>
      <c r="T334" s="80" t="s">
        <v>4</v>
      </c>
      <c r="U334" s="72" t="s">
        <v>7</v>
      </c>
      <c r="V334" s="72" t="s">
        <v>1932</v>
      </c>
      <c r="W334" s="72" t="s">
        <v>1940</v>
      </c>
      <c r="X334" s="72" t="s">
        <v>2912</v>
      </c>
      <c r="Y334" s="72" t="s">
        <v>3037</v>
      </c>
      <c r="Z334" s="72" t="s">
        <v>129</v>
      </c>
      <c r="AA334" s="147" t="s">
        <v>2912</v>
      </c>
    </row>
    <row r="335" spans="1:27" ht="18.600000000000001" customHeight="1">
      <c r="A335" s="140" t="str">
        <f>IF(priority(Main[[#This Row],[Comments]])&lt;&gt;0, priority(Main[[#This Row],[Comments]]),"")</f>
        <v/>
      </c>
      <c r="B335" s="90" t="s">
        <v>1205</v>
      </c>
      <c r="C335" s="72" t="s">
        <v>4</v>
      </c>
      <c r="D335" s="73" t="s">
        <v>2388</v>
      </c>
      <c r="E335" s="74">
        <v>40620.555636574078</v>
      </c>
      <c r="F335" s="74"/>
      <c r="G335" s="75" t="str">
        <f>IF(stdProdLT(Main[[#This Row],[Comments]])=0.1,"N/A",IF(stdProdLT(Main[[#This Row],[Comments]])=0,"",stdProdLT(Main[[#This Row],[Comments]])))</f>
        <v/>
      </c>
      <c r="H335" s="76" t="str">
        <f>IF(AND(Main[[#This Row],[In Stock Date]]&lt;&gt;"",Main[[#This Row],[Revised Due Date]]&lt;&gt;""),Main[[#This Row],[In Stock Date]]-Main[[#This Row],[Revised Due Date]],"")</f>
        <v/>
      </c>
      <c r="I335" s="72" t="s">
        <v>30</v>
      </c>
      <c r="J335" s="72" t="s">
        <v>75</v>
      </c>
      <c r="K335" s="72" t="s">
        <v>1941</v>
      </c>
      <c r="L335" s="74"/>
      <c r="M335" s="77" t="str">
        <f>IF(Main[[#This Row],[Tech Start Date]]&lt;1/1/1990,"",IF(Main[[#This Row],[Class]]="C",WORKDAY(Main[[#This Row],[Tech Start Date]],9),IF(Main[[#This Row],[Class]]="B", WORKDAY(Main[[#This Row],[Tech Start Date]],6),IF(Main[[#This Row],[Class]]="A",WORKDAY(Main[[#This Row],[Tech Start Date]],2),""))))</f>
        <v/>
      </c>
      <c r="N335" s="77" t="str">
        <f>IF(Main[[#This Row],[Tech Start Date]]&lt;1/1/1990,"",IF(Main[[#This Row],[Class]]="C",WORKDAY(Main[[#This Row],[Tech Start Date]],19),IF(Main[[#This Row],[Class]]="B", WORKDAY(Main[[#This Row],[Tech Start Date]],12),IF(Main[[#This Row],[Class]]="A",WORKDAY(Main[[#This Row],[Tech Start Date]],4),""))))</f>
        <v/>
      </c>
      <c r="O335" s="77" t="str">
        <f>IF(Main[[#This Row],[Tech Start Date]]&lt;1/1/1990,"",IF(Main[[#This Row],[Class]]="C",WORKDAY(Main[[#This Row],[Tech Start Date]],23),IF(Main[[#This Row],[Class]]="B", WORKDAY(Main[[#This Row],[Tech Start Date]],15),IF(Main[[#This Row],[Class]]="A",WORKDAY(Main[[#This Row],[Tech Start Date]],5),""))))</f>
        <v/>
      </c>
      <c r="P335" s="77" t="str">
        <f>IF(Main[[#This Row],[Tech Start Date]]&lt;1/1/1990,"",IF(Main[[#This Row],[Class]]="C",WORKDAY(Main[[#This Row],[Tech Start Date]],28),IF(Main[[#This Row],[Class]]="B", WORKDAY(Main[[#This Row],[Tech Start Date]],19),IF(Main[[#This Row],[Class]]="A",WORKDAY(Main[[#This Row],[Tech Start Date]],9),""))))</f>
        <v/>
      </c>
      <c r="Q335" s="74">
        <v>40662</v>
      </c>
      <c r="R335" s="74"/>
      <c r="S335" s="72" t="s">
        <v>6</v>
      </c>
      <c r="T335" s="80" t="s">
        <v>4</v>
      </c>
      <c r="U335" s="72" t="s">
        <v>29</v>
      </c>
      <c r="V335" s="72" t="s">
        <v>1935</v>
      </c>
      <c r="W335" s="72" t="s">
        <v>1936</v>
      </c>
      <c r="X335" s="72" t="s">
        <v>30</v>
      </c>
      <c r="Y335" s="72" t="s">
        <v>3102</v>
      </c>
      <c r="Z335" s="72" t="s">
        <v>30</v>
      </c>
      <c r="AA335" s="147" t="s">
        <v>3588</v>
      </c>
    </row>
    <row r="336" spans="1:27" ht="18.600000000000001" customHeight="1">
      <c r="A336" s="140" t="str">
        <f>IF(priority(Main[[#This Row],[Comments]])&lt;&gt;0, priority(Main[[#This Row],[Comments]]),"")</f>
        <v/>
      </c>
      <c r="B336" s="90" t="s">
        <v>1133</v>
      </c>
      <c r="C336" s="72" t="s">
        <v>171</v>
      </c>
      <c r="D336" s="73" t="s">
        <v>172</v>
      </c>
      <c r="E336" s="74"/>
      <c r="F336" s="74">
        <v>40237</v>
      </c>
      <c r="G336" s="75" t="str">
        <f>IF(stdProdLT(Main[[#This Row],[Comments]])=0.1,"N/A",IF(stdProdLT(Main[[#This Row],[Comments]])=0,"",stdProdLT(Main[[#This Row],[Comments]])))</f>
        <v/>
      </c>
      <c r="H336" s="76" t="str">
        <f>IF(AND(Main[[#This Row],[In Stock Date]]&lt;&gt;"",Main[[#This Row],[Revised Due Date]]&lt;&gt;""),Main[[#This Row],[In Stock Date]]-Main[[#This Row],[Revised Due Date]],"")</f>
        <v/>
      </c>
      <c r="I336" s="72" t="s">
        <v>4</v>
      </c>
      <c r="J336" s="72" t="s">
        <v>4</v>
      </c>
      <c r="K336" s="72" t="s">
        <v>4</v>
      </c>
      <c r="L336" s="74"/>
      <c r="M336" s="77" t="str">
        <f>IF(Main[[#This Row],[Tech Start Date]]&lt;1/1/1990,"",IF(Main[[#This Row],[Class]]="C",WORKDAY(Main[[#This Row],[Tech Start Date]],9),IF(Main[[#This Row],[Class]]="B", WORKDAY(Main[[#This Row],[Tech Start Date]],6),IF(Main[[#This Row],[Class]]="A",WORKDAY(Main[[#This Row],[Tech Start Date]],2),""))))</f>
        <v/>
      </c>
      <c r="N336" s="77" t="str">
        <f>IF(Main[[#This Row],[Tech Start Date]]&lt;1/1/1990,"",IF(Main[[#This Row],[Class]]="C",WORKDAY(Main[[#This Row],[Tech Start Date]],19),IF(Main[[#This Row],[Class]]="B", WORKDAY(Main[[#This Row],[Tech Start Date]],12),IF(Main[[#This Row],[Class]]="A",WORKDAY(Main[[#This Row],[Tech Start Date]],4),""))))</f>
        <v/>
      </c>
      <c r="O336" s="77" t="str">
        <f>IF(Main[[#This Row],[Tech Start Date]]&lt;1/1/1990,"",IF(Main[[#This Row],[Class]]="C",WORKDAY(Main[[#This Row],[Tech Start Date]],23),IF(Main[[#This Row],[Class]]="B", WORKDAY(Main[[#This Row],[Tech Start Date]],15),IF(Main[[#This Row],[Class]]="A",WORKDAY(Main[[#This Row],[Tech Start Date]],5),""))))</f>
        <v/>
      </c>
      <c r="P336" s="77" t="str">
        <f>IF(Main[[#This Row],[Tech Start Date]]&lt;1/1/1990,"",IF(Main[[#This Row],[Class]]="C",WORKDAY(Main[[#This Row],[Tech Start Date]],28),IF(Main[[#This Row],[Class]]="B", WORKDAY(Main[[#This Row],[Tech Start Date]],19),IF(Main[[#This Row],[Class]]="A",WORKDAY(Main[[#This Row],[Tech Start Date]],9),""))))</f>
        <v/>
      </c>
      <c r="Q336" s="74">
        <v>40132</v>
      </c>
      <c r="R336" s="155"/>
      <c r="S336" s="72" t="s">
        <v>11</v>
      </c>
      <c r="T336" s="80" t="s">
        <v>4</v>
      </c>
      <c r="U336" s="72" t="s">
        <v>14</v>
      </c>
      <c r="V336" s="72" t="s">
        <v>1932</v>
      </c>
      <c r="W336" s="72" t="s">
        <v>1937</v>
      </c>
      <c r="X336" s="72" t="s">
        <v>2942</v>
      </c>
      <c r="Y336" s="72" t="s">
        <v>4</v>
      </c>
      <c r="Z336" s="72" t="s">
        <v>4</v>
      </c>
      <c r="AA336" s="147" t="s">
        <v>2942</v>
      </c>
    </row>
    <row r="337" spans="1:27" ht="18.600000000000001" customHeight="1">
      <c r="A337" s="140" t="str">
        <f>IF(priority(Main[[#This Row],[Comments]])&lt;&gt;0, priority(Main[[#This Row],[Comments]]),"")</f>
        <v/>
      </c>
      <c r="B337" s="90" t="s">
        <v>2389</v>
      </c>
      <c r="C337" s="72" t="s">
        <v>4</v>
      </c>
      <c r="D337" s="73" t="s">
        <v>2390</v>
      </c>
      <c r="E337" s="74">
        <v>40826.383356481485</v>
      </c>
      <c r="F337" s="74"/>
      <c r="G337" s="75" t="str">
        <f>IF(stdProdLT(Main[[#This Row],[Comments]])=0.1,"N/A",IF(stdProdLT(Main[[#This Row],[Comments]])=0,"",stdProdLT(Main[[#This Row],[Comments]])))</f>
        <v/>
      </c>
      <c r="H337" s="76" t="str">
        <f>IF(AND(Main[[#This Row],[In Stock Date]]&lt;&gt;"",Main[[#This Row],[Revised Due Date]]&lt;&gt;""),Main[[#This Row],[In Stock Date]]-Main[[#This Row],[Revised Due Date]],"")</f>
        <v/>
      </c>
      <c r="I337" s="72" t="s">
        <v>30</v>
      </c>
      <c r="J337" s="72" t="s">
        <v>2238</v>
      </c>
      <c r="K337" s="81" t="s">
        <v>4</v>
      </c>
      <c r="L337" s="74"/>
      <c r="M337" s="77" t="str">
        <f>IF(Main[[#This Row],[Tech Start Date]]&lt;1/1/1990,"",IF(Main[[#This Row],[Class]]="C",WORKDAY(Main[[#This Row],[Tech Start Date]],9),IF(Main[[#This Row],[Class]]="B", WORKDAY(Main[[#This Row],[Tech Start Date]],6),IF(Main[[#This Row],[Class]]="A",WORKDAY(Main[[#This Row],[Tech Start Date]],2),""))))</f>
        <v/>
      </c>
      <c r="N337" s="77" t="str">
        <f>IF(Main[[#This Row],[Tech Start Date]]&lt;1/1/1990,"",IF(Main[[#This Row],[Class]]="C",WORKDAY(Main[[#This Row],[Tech Start Date]],19),IF(Main[[#This Row],[Class]]="B", WORKDAY(Main[[#This Row],[Tech Start Date]],12),IF(Main[[#This Row],[Class]]="A",WORKDAY(Main[[#This Row],[Tech Start Date]],4),""))))</f>
        <v/>
      </c>
      <c r="O337" s="77" t="str">
        <f>IF(Main[[#This Row],[Tech Start Date]]&lt;1/1/1990,"",IF(Main[[#This Row],[Class]]="C",WORKDAY(Main[[#This Row],[Tech Start Date]],23),IF(Main[[#This Row],[Class]]="B", WORKDAY(Main[[#This Row],[Tech Start Date]],15),IF(Main[[#This Row],[Class]]="A",WORKDAY(Main[[#This Row],[Tech Start Date]],5),""))))</f>
        <v/>
      </c>
      <c r="P337" s="77" t="str">
        <f>IF(Main[[#This Row],[Tech Start Date]]&lt;1/1/1990,"",IF(Main[[#This Row],[Class]]="C",WORKDAY(Main[[#This Row],[Tech Start Date]],28),IF(Main[[#This Row],[Class]]="B", WORKDAY(Main[[#This Row],[Tech Start Date]],19),IF(Main[[#This Row],[Class]]="A",WORKDAY(Main[[#This Row],[Tech Start Date]],9),""))))</f>
        <v/>
      </c>
      <c r="Q337" s="74"/>
      <c r="R337" s="74"/>
      <c r="S337" s="72" t="s">
        <v>6</v>
      </c>
      <c r="T337" s="80" t="s">
        <v>4</v>
      </c>
      <c r="U337" s="72" t="s">
        <v>29</v>
      </c>
      <c r="V337" s="72" t="s">
        <v>1935</v>
      </c>
      <c r="W337" s="72" t="s">
        <v>1934</v>
      </c>
      <c r="X337" s="72" t="s">
        <v>310</v>
      </c>
      <c r="Y337" s="72" t="s">
        <v>4</v>
      </c>
      <c r="Z337" s="72" t="s">
        <v>81</v>
      </c>
      <c r="AA337" s="147" t="s">
        <v>3582</v>
      </c>
    </row>
    <row r="338" spans="1:27" ht="18.600000000000001" customHeight="1">
      <c r="A338" s="140" t="str">
        <f>IF(priority(Main[[#This Row],[Comments]])&lt;&gt;0, priority(Main[[#This Row],[Comments]]),"")</f>
        <v/>
      </c>
      <c r="B338" s="90" t="s">
        <v>1134</v>
      </c>
      <c r="C338" s="72" t="s">
        <v>174</v>
      </c>
      <c r="D338" s="73" t="s">
        <v>175</v>
      </c>
      <c r="E338" s="74"/>
      <c r="F338" s="74">
        <v>40848</v>
      </c>
      <c r="G338" s="75" t="str">
        <f>IF(stdProdLT(Main[[#This Row],[Comments]])=0.1,"N/A",IF(stdProdLT(Main[[#This Row],[Comments]])=0,"",stdProdLT(Main[[#This Row],[Comments]])))</f>
        <v/>
      </c>
      <c r="H338" s="76" t="str">
        <f>IF(AND(Main[[#This Row],[In Stock Date]]&lt;&gt;"",Main[[#This Row],[Revised Due Date]]&lt;&gt;""),Main[[#This Row],[In Stock Date]]-Main[[#This Row],[Revised Due Date]],"")</f>
        <v/>
      </c>
      <c r="I338" s="72" t="s">
        <v>4</v>
      </c>
      <c r="J338" s="72" t="s">
        <v>51</v>
      </c>
      <c r="K338" s="72" t="s">
        <v>4</v>
      </c>
      <c r="L338" s="74"/>
      <c r="M338" s="77" t="str">
        <f>IF(Main[[#This Row],[Tech Start Date]]&lt;1/1/1990,"",IF(Main[[#This Row],[Class]]="C",WORKDAY(Main[[#This Row],[Tech Start Date]],9),IF(Main[[#This Row],[Class]]="B", WORKDAY(Main[[#This Row],[Tech Start Date]],6),IF(Main[[#This Row],[Class]]="A",WORKDAY(Main[[#This Row],[Tech Start Date]],2),""))))</f>
        <v/>
      </c>
      <c r="N338" s="77" t="str">
        <f>IF(Main[[#This Row],[Tech Start Date]]&lt;1/1/1990,"",IF(Main[[#This Row],[Class]]="C",WORKDAY(Main[[#This Row],[Tech Start Date]],19),IF(Main[[#This Row],[Class]]="B", WORKDAY(Main[[#This Row],[Tech Start Date]],12),IF(Main[[#This Row],[Class]]="A",WORKDAY(Main[[#This Row],[Tech Start Date]],4),""))))</f>
        <v/>
      </c>
      <c r="O338" s="77" t="str">
        <f>IF(Main[[#This Row],[Tech Start Date]]&lt;1/1/1990,"",IF(Main[[#This Row],[Class]]="C",WORKDAY(Main[[#This Row],[Tech Start Date]],23),IF(Main[[#This Row],[Class]]="B", WORKDAY(Main[[#This Row],[Tech Start Date]],15),IF(Main[[#This Row],[Class]]="A",WORKDAY(Main[[#This Row],[Tech Start Date]],5),""))))</f>
        <v/>
      </c>
      <c r="P338" s="77" t="str">
        <f>IF(Main[[#This Row],[Tech Start Date]]&lt;1/1/1990,"",IF(Main[[#This Row],[Class]]="C",WORKDAY(Main[[#This Row],[Tech Start Date]],28),IF(Main[[#This Row],[Class]]="B", WORKDAY(Main[[#This Row],[Tech Start Date]],19),IF(Main[[#This Row],[Class]]="A",WORKDAY(Main[[#This Row],[Tech Start Date]],9),""))))</f>
        <v/>
      </c>
      <c r="Q338" s="74">
        <v>40648</v>
      </c>
      <c r="R338" s="74"/>
      <c r="S338" s="72" t="s">
        <v>11</v>
      </c>
      <c r="T338" s="80" t="s">
        <v>4</v>
      </c>
      <c r="U338" s="72" t="s">
        <v>12</v>
      </c>
      <c r="V338" s="72" t="s">
        <v>1932</v>
      </c>
      <c r="W338" s="72" t="s">
        <v>1938</v>
      </c>
      <c r="X338" s="72" t="s">
        <v>50</v>
      </c>
      <c r="Y338" s="72" t="s">
        <v>3030</v>
      </c>
      <c r="Z338" s="72" t="s">
        <v>3250</v>
      </c>
      <c r="AA338" s="147" t="s">
        <v>2908</v>
      </c>
    </row>
    <row r="339" spans="1:27" ht="18.600000000000001" customHeight="1">
      <c r="A339" s="140" t="str">
        <f>IF(priority(Main[[#This Row],[Comments]])&lt;&gt;0, priority(Main[[#This Row],[Comments]]),"")</f>
        <v/>
      </c>
      <c r="B339" s="90" t="s">
        <v>2575</v>
      </c>
      <c r="C339" s="72" t="s">
        <v>2384</v>
      </c>
      <c r="D339" s="73" t="s">
        <v>2576</v>
      </c>
      <c r="E339" s="74"/>
      <c r="F339" s="74">
        <v>41030</v>
      </c>
      <c r="G339" s="75" t="str">
        <f>IF(stdProdLT(Main[[#This Row],[Comments]])=0.1,"N/A",IF(stdProdLT(Main[[#This Row],[Comments]])=0,"",stdProdLT(Main[[#This Row],[Comments]])))</f>
        <v/>
      </c>
      <c r="H339" s="76" t="str">
        <f>IF(AND(Main[[#This Row],[In Stock Date]]&lt;&gt;"",Main[[#This Row],[Revised Due Date]]&lt;&gt;""),Main[[#This Row],[In Stock Date]]-Main[[#This Row],[Revised Due Date]],"")</f>
        <v/>
      </c>
      <c r="I339" s="72" t="s">
        <v>4</v>
      </c>
      <c r="J339" s="72" t="s">
        <v>75</v>
      </c>
      <c r="K339" s="72" t="s">
        <v>4</v>
      </c>
      <c r="L339" s="74"/>
      <c r="M339" s="77" t="str">
        <f>IF(Main[[#This Row],[Tech Start Date]]&lt;1/1/1990,"",IF(Main[[#This Row],[Class]]="C",WORKDAY(Main[[#This Row],[Tech Start Date]],9),IF(Main[[#This Row],[Class]]="B", WORKDAY(Main[[#This Row],[Tech Start Date]],6),IF(Main[[#This Row],[Class]]="A",WORKDAY(Main[[#This Row],[Tech Start Date]],2),""))))</f>
        <v/>
      </c>
      <c r="N339" s="77" t="str">
        <f>IF(Main[[#This Row],[Tech Start Date]]&lt;1/1/1990,"",IF(Main[[#This Row],[Class]]="C",WORKDAY(Main[[#This Row],[Tech Start Date]],19),IF(Main[[#This Row],[Class]]="B", WORKDAY(Main[[#This Row],[Tech Start Date]],12),IF(Main[[#This Row],[Class]]="A",WORKDAY(Main[[#This Row],[Tech Start Date]],4),""))))</f>
        <v/>
      </c>
      <c r="O339" s="77" t="str">
        <f>IF(Main[[#This Row],[Tech Start Date]]&lt;1/1/1990,"",IF(Main[[#This Row],[Class]]="C",WORKDAY(Main[[#This Row],[Tech Start Date]],23),IF(Main[[#This Row],[Class]]="B", WORKDAY(Main[[#This Row],[Tech Start Date]],15),IF(Main[[#This Row],[Class]]="A",WORKDAY(Main[[#This Row],[Tech Start Date]],5),""))))</f>
        <v/>
      </c>
      <c r="P339" s="77" t="str">
        <f>IF(Main[[#This Row],[Tech Start Date]]&lt;1/1/1990,"",IF(Main[[#This Row],[Class]]="C",WORKDAY(Main[[#This Row],[Tech Start Date]],28),IF(Main[[#This Row],[Class]]="B", WORKDAY(Main[[#This Row],[Tech Start Date]],19),IF(Main[[#This Row],[Class]]="A",WORKDAY(Main[[#This Row],[Tech Start Date]],9),""))))</f>
        <v/>
      </c>
      <c r="Q339" s="74">
        <v>40923</v>
      </c>
      <c r="R339" s="74"/>
      <c r="S339" s="72" t="s">
        <v>11</v>
      </c>
      <c r="T339" s="80" t="s">
        <v>4</v>
      </c>
      <c r="U339" s="72" t="s">
        <v>14</v>
      </c>
      <c r="V339" s="72" t="s">
        <v>1942</v>
      </c>
      <c r="W339" s="72" t="s">
        <v>1938</v>
      </c>
      <c r="X339" s="72" t="s">
        <v>2932</v>
      </c>
      <c r="Y339" s="72" t="s">
        <v>3066</v>
      </c>
      <c r="Z339" s="72" t="s">
        <v>535</v>
      </c>
      <c r="AA339" s="147" t="s">
        <v>2932</v>
      </c>
    </row>
    <row r="340" spans="1:27" ht="18.600000000000001" customHeight="1">
      <c r="A340" s="140" t="str">
        <f>IF(priority(Main[[#This Row],[Comments]])&lt;&gt;0, priority(Main[[#This Row],[Comments]]),"")</f>
        <v/>
      </c>
      <c r="B340" s="90" t="s">
        <v>1135</v>
      </c>
      <c r="C340" s="72" t="s">
        <v>4</v>
      </c>
      <c r="D340" s="73" t="s">
        <v>176</v>
      </c>
      <c r="E340" s="74">
        <v>40681.639328703706</v>
      </c>
      <c r="F340" s="74"/>
      <c r="G340" s="75" t="str">
        <f>IF(stdProdLT(Main[[#This Row],[Comments]])=0.1,"N/A",IF(stdProdLT(Main[[#This Row],[Comments]])=0,"",stdProdLT(Main[[#This Row],[Comments]])))</f>
        <v/>
      </c>
      <c r="H340" s="76" t="str">
        <f>IF(AND(Main[[#This Row],[In Stock Date]]&lt;&gt;"",Main[[#This Row],[Revised Due Date]]&lt;&gt;""),Main[[#This Row],[In Stock Date]]-Main[[#This Row],[Revised Due Date]],"")</f>
        <v/>
      </c>
      <c r="I340" s="72" t="s">
        <v>4</v>
      </c>
      <c r="J340" s="72" t="s">
        <v>4</v>
      </c>
      <c r="K340" s="81" t="s">
        <v>4</v>
      </c>
      <c r="L340" s="74"/>
      <c r="M340" s="77" t="str">
        <f>IF(Main[[#This Row],[Tech Start Date]]&lt;1/1/1990,"",IF(Main[[#This Row],[Class]]="C",WORKDAY(Main[[#This Row],[Tech Start Date]],9),IF(Main[[#This Row],[Class]]="B", WORKDAY(Main[[#This Row],[Tech Start Date]],6),IF(Main[[#This Row],[Class]]="A",WORKDAY(Main[[#This Row],[Tech Start Date]],2),""))))</f>
        <v/>
      </c>
      <c r="N340" s="77" t="str">
        <f>IF(Main[[#This Row],[Tech Start Date]]&lt;1/1/1990,"",IF(Main[[#This Row],[Class]]="C",WORKDAY(Main[[#This Row],[Tech Start Date]],19),IF(Main[[#This Row],[Class]]="B", WORKDAY(Main[[#This Row],[Tech Start Date]],12),IF(Main[[#This Row],[Class]]="A",WORKDAY(Main[[#This Row],[Tech Start Date]],4),""))))</f>
        <v/>
      </c>
      <c r="O340" s="77" t="str">
        <f>IF(Main[[#This Row],[Tech Start Date]]&lt;1/1/1990,"",IF(Main[[#This Row],[Class]]="C",WORKDAY(Main[[#This Row],[Tech Start Date]],23),IF(Main[[#This Row],[Class]]="B", WORKDAY(Main[[#This Row],[Tech Start Date]],15),IF(Main[[#This Row],[Class]]="A",WORKDAY(Main[[#This Row],[Tech Start Date]],5),""))))</f>
        <v/>
      </c>
      <c r="P340" s="77" t="str">
        <f>IF(Main[[#This Row],[Tech Start Date]]&lt;1/1/1990,"",IF(Main[[#This Row],[Class]]="C",WORKDAY(Main[[#This Row],[Tech Start Date]],28),IF(Main[[#This Row],[Class]]="B", WORKDAY(Main[[#This Row],[Tech Start Date]],19),IF(Main[[#This Row],[Class]]="A",WORKDAY(Main[[#This Row],[Tech Start Date]],9),""))))</f>
        <v/>
      </c>
      <c r="Q340" s="74">
        <v>40702</v>
      </c>
      <c r="R340" s="74"/>
      <c r="S340" s="72" t="s">
        <v>6</v>
      </c>
      <c r="T340" s="80" t="s">
        <v>4</v>
      </c>
      <c r="U340" s="72" t="s">
        <v>7</v>
      </c>
      <c r="V340" s="72" t="s">
        <v>1932</v>
      </c>
      <c r="W340" s="72" t="s">
        <v>1940</v>
      </c>
      <c r="X340" s="72" t="s">
        <v>2905</v>
      </c>
      <c r="Y340" s="72" t="s">
        <v>3023</v>
      </c>
      <c r="Z340" s="72" t="s">
        <v>4</v>
      </c>
      <c r="AA340" s="147" t="s">
        <v>2905</v>
      </c>
    </row>
    <row r="341" spans="1:27" ht="18.600000000000001" customHeight="1">
      <c r="A341" s="140" t="str">
        <f>IF(priority(Main[[#This Row],[Comments]])&lt;&gt;0, priority(Main[[#This Row],[Comments]]),"")</f>
        <v/>
      </c>
      <c r="B341" s="90" t="s">
        <v>1197</v>
      </c>
      <c r="C341" s="72" t="s">
        <v>246</v>
      </c>
      <c r="D341" s="73" t="s">
        <v>247</v>
      </c>
      <c r="E341" s="74"/>
      <c r="F341" s="74">
        <v>40299</v>
      </c>
      <c r="G341" s="75" t="str">
        <f>IF(stdProdLT(Main[[#This Row],[Comments]])=0.1,"N/A",IF(stdProdLT(Main[[#This Row],[Comments]])=0,"",stdProdLT(Main[[#This Row],[Comments]])))</f>
        <v/>
      </c>
      <c r="H341" s="76" t="str">
        <f>IF(AND(Main[[#This Row],[In Stock Date]]&lt;&gt;"",Main[[#This Row],[Revised Due Date]]&lt;&gt;""),Main[[#This Row],[In Stock Date]]-Main[[#This Row],[Revised Due Date]],"")</f>
        <v/>
      </c>
      <c r="I341" s="72" t="s">
        <v>4</v>
      </c>
      <c r="J341" s="72" t="s">
        <v>4</v>
      </c>
      <c r="K341" s="81" t="s">
        <v>4</v>
      </c>
      <c r="L341" s="74"/>
      <c r="M341" s="77" t="str">
        <f>IF(Main[[#This Row],[Tech Start Date]]&lt;1/1/1990,"",IF(Main[[#This Row],[Class]]="C",WORKDAY(Main[[#This Row],[Tech Start Date]],9),IF(Main[[#This Row],[Class]]="B", WORKDAY(Main[[#This Row],[Tech Start Date]],6),IF(Main[[#This Row],[Class]]="A",WORKDAY(Main[[#This Row],[Tech Start Date]],2),""))))</f>
        <v/>
      </c>
      <c r="N341" s="77" t="str">
        <f>IF(Main[[#This Row],[Tech Start Date]]&lt;1/1/1990,"",IF(Main[[#This Row],[Class]]="C",WORKDAY(Main[[#This Row],[Tech Start Date]],19),IF(Main[[#This Row],[Class]]="B", WORKDAY(Main[[#This Row],[Tech Start Date]],12),IF(Main[[#This Row],[Class]]="A",WORKDAY(Main[[#This Row],[Tech Start Date]],4),""))))</f>
        <v/>
      </c>
      <c r="O341" s="77" t="str">
        <f>IF(Main[[#This Row],[Tech Start Date]]&lt;1/1/1990,"",IF(Main[[#This Row],[Class]]="C",WORKDAY(Main[[#This Row],[Tech Start Date]],23),IF(Main[[#This Row],[Class]]="B", WORKDAY(Main[[#This Row],[Tech Start Date]],15),IF(Main[[#This Row],[Class]]="A",WORKDAY(Main[[#This Row],[Tech Start Date]],5),""))))</f>
        <v/>
      </c>
      <c r="P341" s="77" t="str">
        <f>IF(Main[[#This Row],[Tech Start Date]]&lt;1/1/1990,"",IF(Main[[#This Row],[Class]]="C",WORKDAY(Main[[#This Row],[Tech Start Date]],28),IF(Main[[#This Row],[Class]]="B", WORKDAY(Main[[#This Row],[Tech Start Date]],19),IF(Main[[#This Row],[Class]]="A",WORKDAY(Main[[#This Row],[Tech Start Date]],9),""))))</f>
        <v/>
      </c>
      <c r="Q341" s="74">
        <v>40241</v>
      </c>
      <c r="R341" s="74"/>
      <c r="S341" s="72" t="s">
        <v>11</v>
      </c>
      <c r="T341" s="80" t="s">
        <v>4</v>
      </c>
      <c r="U341" s="72" t="s">
        <v>14</v>
      </c>
      <c r="V341" s="72" t="s">
        <v>1942</v>
      </c>
      <c r="W341" s="72" t="s">
        <v>1940</v>
      </c>
      <c r="X341" s="72" t="s">
        <v>2952</v>
      </c>
      <c r="Y341" s="72" t="s">
        <v>3099</v>
      </c>
      <c r="Z341" s="72" t="s">
        <v>4</v>
      </c>
      <c r="AA341" s="147" t="s">
        <v>2952</v>
      </c>
    </row>
    <row r="342" spans="1:27" ht="18.600000000000001" customHeight="1">
      <c r="A342" s="140" t="str">
        <f>IF(priority(Main[[#This Row],[Comments]])&lt;&gt;0, priority(Main[[#This Row],[Comments]]),"")</f>
        <v/>
      </c>
      <c r="B342" s="90" t="s">
        <v>1206</v>
      </c>
      <c r="C342" s="72" t="s">
        <v>4</v>
      </c>
      <c r="D342" s="73" t="s">
        <v>255</v>
      </c>
      <c r="E342" s="74"/>
      <c r="F342" s="74"/>
      <c r="G342" s="75" t="str">
        <f>IF(stdProdLT(Main[[#This Row],[Comments]])=0.1,"N/A",IF(stdProdLT(Main[[#This Row],[Comments]])=0,"",stdProdLT(Main[[#This Row],[Comments]])))</f>
        <v/>
      </c>
      <c r="H342" s="76" t="str">
        <f>IF(AND(Main[[#This Row],[In Stock Date]]&lt;&gt;"",Main[[#This Row],[Revised Due Date]]&lt;&gt;""),Main[[#This Row],[In Stock Date]]-Main[[#This Row],[Revised Due Date]],"")</f>
        <v/>
      </c>
      <c r="I342" s="72" t="s">
        <v>4</v>
      </c>
      <c r="J342" s="72" t="s">
        <v>4</v>
      </c>
      <c r="K342" s="72" t="s">
        <v>4</v>
      </c>
      <c r="L342" s="74"/>
      <c r="M342" s="77" t="str">
        <f>IF(Main[[#This Row],[Tech Start Date]]&lt;1/1/1990,"",IF(Main[[#This Row],[Class]]="C",WORKDAY(Main[[#This Row],[Tech Start Date]],9),IF(Main[[#This Row],[Class]]="B", WORKDAY(Main[[#This Row],[Tech Start Date]],6),IF(Main[[#This Row],[Class]]="A",WORKDAY(Main[[#This Row],[Tech Start Date]],2),""))))</f>
        <v/>
      </c>
      <c r="N342" s="77" t="str">
        <f>IF(Main[[#This Row],[Tech Start Date]]&lt;1/1/1990,"",IF(Main[[#This Row],[Class]]="C",WORKDAY(Main[[#This Row],[Tech Start Date]],19),IF(Main[[#This Row],[Class]]="B", WORKDAY(Main[[#This Row],[Tech Start Date]],12),IF(Main[[#This Row],[Class]]="A",WORKDAY(Main[[#This Row],[Tech Start Date]],4),""))))</f>
        <v/>
      </c>
      <c r="O342" s="77" t="str">
        <f>IF(Main[[#This Row],[Tech Start Date]]&lt;1/1/1990,"",IF(Main[[#This Row],[Class]]="C",WORKDAY(Main[[#This Row],[Tech Start Date]],23),IF(Main[[#This Row],[Class]]="B", WORKDAY(Main[[#This Row],[Tech Start Date]],15),IF(Main[[#This Row],[Class]]="A",WORKDAY(Main[[#This Row],[Tech Start Date]],5),""))))</f>
        <v/>
      </c>
      <c r="P342" s="77" t="str">
        <f>IF(Main[[#This Row],[Tech Start Date]]&lt;1/1/1990,"",IF(Main[[#This Row],[Class]]="C",WORKDAY(Main[[#This Row],[Tech Start Date]],28),IF(Main[[#This Row],[Class]]="B", WORKDAY(Main[[#This Row],[Tech Start Date]],19),IF(Main[[#This Row],[Class]]="A",WORKDAY(Main[[#This Row],[Tech Start Date]],9),""))))</f>
        <v/>
      </c>
      <c r="Q342" s="74"/>
      <c r="R342" s="155"/>
      <c r="S342" s="72" t="s">
        <v>11</v>
      </c>
      <c r="T342" s="80" t="s">
        <v>4</v>
      </c>
      <c r="U342" s="72" t="s">
        <v>12</v>
      </c>
      <c r="V342" s="72" t="s">
        <v>1932</v>
      </c>
      <c r="W342" s="72" t="s">
        <v>1936</v>
      </c>
      <c r="X342" s="72" t="s">
        <v>888</v>
      </c>
      <c r="Y342" s="72" t="s">
        <v>3121</v>
      </c>
      <c r="Z342" s="72" t="s">
        <v>4</v>
      </c>
      <c r="AA342" s="147" t="s">
        <v>3589</v>
      </c>
    </row>
    <row r="343" spans="1:27" ht="18.600000000000001" customHeight="1">
      <c r="A343" s="140" t="str">
        <f>IF(priority(Main[[#This Row],[Comments]])&lt;&gt;0, priority(Main[[#This Row],[Comments]]),"")</f>
        <v/>
      </c>
      <c r="B343" s="90" t="s">
        <v>1207</v>
      </c>
      <c r="C343" s="72" t="s">
        <v>156</v>
      </c>
      <c r="D343" s="73" t="s">
        <v>256</v>
      </c>
      <c r="E343" s="74"/>
      <c r="F343" s="74"/>
      <c r="G343" s="75" t="str">
        <f>IF(stdProdLT(Main[[#This Row],[Comments]])=0.1,"N/A",IF(stdProdLT(Main[[#This Row],[Comments]])=0,"",stdProdLT(Main[[#This Row],[Comments]])))</f>
        <v/>
      </c>
      <c r="H343" s="76" t="str">
        <f>IF(AND(Main[[#This Row],[In Stock Date]]&lt;&gt;"",Main[[#This Row],[Revised Due Date]]&lt;&gt;""),Main[[#This Row],[In Stock Date]]-Main[[#This Row],[Revised Due Date]],"")</f>
        <v/>
      </c>
      <c r="I343" s="72" t="s">
        <v>4</v>
      </c>
      <c r="J343" s="72" t="s">
        <v>4</v>
      </c>
      <c r="K343" s="72" t="s">
        <v>4</v>
      </c>
      <c r="L343" s="74"/>
      <c r="M343" s="77" t="str">
        <f>IF(Main[[#This Row],[Tech Start Date]]&lt;1/1/1990,"",IF(Main[[#This Row],[Class]]="C",WORKDAY(Main[[#This Row],[Tech Start Date]],9),IF(Main[[#This Row],[Class]]="B", WORKDAY(Main[[#This Row],[Tech Start Date]],6),IF(Main[[#This Row],[Class]]="A",WORKDAY(Main[[#This Row],[Tech Start Date]],2),""))))</f>
        <v/>
      </c>
      <c r="N343" s="77" t="str">
        <f>IF(Main[[#This Row],[Tech Start Date]]&lt;1/1/1990,"",IF(Main[[#This Row],[Class]]="C",WORKDAY(Main[[#This Row],[Tech Start Date]],19),IF(Main[[#This Row],[Class]]="B", WORKDAY(Main[[#This Row],[Tech Start Date]],12),IF(Main[[#This Row],[Class]]="A",WORKDAY(Main[[#This Row],[Tech Start Date]],4),""))))</f>
        <v/>
      </c>
      <c r="O343" s="77" t="str">
        <f>IF(Main[[#This Row],[Tech Start Date]]&lt;1/1/1990,"",IF(Main[[#This Row],[Class]]="C",WORKDAY(Main[[#This Row],[Tech Start Date]],23),IF(Main[[#This Row],[Class]]="B", WORKDAY(Main[[#This Row],[Tech Start Date]],15),IF(Main[[#This Row],[Class]]="A",WORKDAY(Main[[#This Row],[Tech Start Date]],5),""))))</f>
        <v/>
      </c>
      <c r="P343" s="77" t="str">
        <f>IF(Main[[#This Row],[Tech Start Date]]&lt;1/1/1990,"",IF(Main[[#This Row],[Class]]="C",WORKDAY(Main[[#This Row],[Tech Start Date]],28),IF(Main[[#This Row],[Class]]="B", WORKDAY(Main[[#This Row],[Tech Start Date]],19),IF(Main[[#This Row],[Class]]="A",WORKDAY(Main[[#This Row],[Tech Start Date]],9),""))))</f>
        <v/>
      </c>
      <c r="Q343" s="74">
        <v>40144</v>
      </c>
      <c r="R343" s="74"/>
      <c r="S343" s="72" t="s">
        <v>11</v>
      </c>
      <c r="T343" s="80" t="s">
        <v>4</v>
      </c>
      <c r="U343" s="72" t="s">
        <v>14</v>
      </c>
      <c r="V343" s="72" t="s">
        <v>1932</v>
      </c>
      <c r="W343" s="72" t="s">
        <v>1934</v>
      </c>
      <c r="X343" s="72" t="s">
        <v>2938</v>
      </c>
      <c r="Y343" s="72" t="s">
        <v>4</v>
      </c>
      <c r="Z343" s="72" t="s">
        <v>4</v>
      </c>
      <c r="AA343" s="147" t="s">
        <v>2938</v>
      </c>
    </row>
    <row r="344" spans="1:27" ht="18.600000000000001" customHeight="1">
      <c r="A344" s="140" t="str">
        <f>IF(priority(Main[[#This Row],[Comments]])&lt;&gt;0, priority(Main[[#This Row],[Comments]]),"")</f>
        <v/>
      </c>
      <c r="B344" s="90" t="s">
        <v>1217</v>
      </c>
      <c r="C344" s="72" t="s">
        <v>4</v>
      </c>
      <c r="D344" s="73" t="s">
        <v>265</v>
      </c>
      <c r="E344" s="74"/>
      <c r="F344" s="74"/>
      <c r="G344" s="75" t="str">
        <f>IF(stdProdLT(Main[[#This Row],[Comments]])=0.1,"N/A",IF(stdProdLT(Main[[#This Row],[Comments]])=0,"",stdProdLT(Main[[#This Row],[Comments]])))</f>
        <v/>
      </c>
      <c r="H344" s="76" t="str">
        <f>IF(AND(Main[[#This Row],[In Stock Date]]&lt;&gt;"",Main[[#This Row],[Revised Due Date]]&lt;&gt;""),Main[[#This Row],[In Stock Date]]-Main[[#This Row],[Revised Due Date]],"")</f>
        <v/>
      </c>
      <c r="I344" s="72" t="s">
        <v>4</v>
      </c>
      <c r="J344" s="72" t="s">
        <v>4</v>
      </c>
      <c r="K344" s="72" t="s">
        <v>4</v>
      </c>
      <c r="L344" s="74"/>
      <c r="M344" s="77" t="str">
        <f>IF(Main[[#This Row],[Tech Start Date]]&lt;1/1/1990,"",IF(Main[[#This Row],[Class]]="C",WORKDAY(Main[[#This Row],[Tech Start Date]],9),IF(Main[[#This Row],[Class]]="B", WORKDAY(Main[[#This Row],[Tech Start Date]],6),IF(Main[[#This Row],[Class]]="A",WORKDAY(Main[[#This Row],[Tech Start Date]],2),""))))</f>
        <v/>
      </c>
      <c r="N344" s="77" t="str">
        <f>IF(Main[[#This Row],[Tech Start Date]]&lt;1/1/1990,"",IF(Main[[#This Row],[Class]]="C",WORKDAY(Main[[#This Row],[Tech Start Date]],19),IF(Main[[#This Row],[Class]]="B", WORKDAY(Main[[#This Row],[Tech Start Date]],12),IF(Main[[#This Row],[Class]]="A",WORKDAY(Main[[#This Row],[Tech Start Date]],4),""))))</f>
        <v/>
      </c>
      <c r="O344" s="77" t="str">
        <f>IF(Main[[#This Row],[Tech Start Date]]&lt;1/1/1990,"",IF(Main[[#This Row],[Class]]="C",WORKDAY(Main[[#This Row],[Tech Start Date]],23),IF(Main[[#This Row],[Class]]="B", WORKDAY(Main[[#This Row],[Tech Start Date]],15),IF(Main[[#This Row],[Class]]="A",WORKDAY(Main[[#This Row],[Tech Start Date]],5),""))))</f>
        <v/>
      </c>
      <c r="P344" s="77" t="str">
        <f>IF(Main[[#This Row],[Tech Start Date]]&lt;1/1/1990,"",IF(Main[[#This Row],[Class]]="C",WORKDAY(Main[[#This Row],[Tech Start Date]],28),IF(Main[[#This Row],[Class]]="B", WORKDAY(Main[[#This Row],[Tech Start Date]],19),IF(Main[[#This Row],[Class]]="A",WORKDAY(Main[[#This Row],[Tech Start Date]],9),""))))</f>
        <v/>
      </c>
      <c r="Q344" s="74">
        <v>40313</v>
      </c>
      <c r="R344" s="155"/>
      <c r="S344" s="72" t="s">
        <v>11</v>
      </c>
      <c r="T344" s="80" t="s">
        <v>4</v>
      </c>
      <c r="U344" s="72" t="s">
        <v>14</v>
      </c>
      <c r="V344" s="72" t="s">
        <v>1932</v>
      </c>
      <c r="W344" s="72" t="s">
        <v>1940</v>
      </c>
      <c r="X344" s="72" t="s">
        <v>129</v>
      </c>
      <c r="Y344" s="72" t="s">
        <v>3020</v>
      </c>
      <c r="Z344" s="72" t="s">
        <v>4</v>
      </c>
      <c r="AA344" s="147" t="s">
        <v>129</v>
      </c>
    </row>
    <row r="345" spans="1:27" ht="18.600000000000001" customHeight="1">
      <c r="A345" s="140" t="str">
        <f>IF(priority(Main[[#This Row],[Comments]])&lt;&gt;0, priority(Main[[#This Row],[Comments]]),"")</f>
        <v/>
      </c>
      <c r="B345" s="90" t="s">
        <v>1218</v>
      </c>
      <c r="C345" s="72" t="s">
        <v>4</v>
      </c>
      <c r="D345" s="73" t="s">
        <v>266</v>
      </c>
      <c r="E345" s="74"/>
      <c r="F345" s="74"/>
      <c r="G345" s="75" t="str">
        <f>IF(stdProdLT(Main[[#This Row],[Comments]])=0.1,"N/A",IF(stdProdLT(Main[[#This Row],[Comments]])=0,"",stdProdLT(Main[[#This Row],[Comments]])))</f>
        <v/>
      </c>
      <c r="H345" s="76" t="str">
        <f>IF(AND(Main[[#This Row],[In Stock Date]]&lt;&gt;"",Main[[#This Row],[Revised Due Date]]&lt;&gt;""),Main[[#This Row],[In Stock Date]]-Main[[#This Row],[Revised Due Date]],"")</f>
        <v/>
      </c>
      <c r="I345" s="72" t="s">
        <v>4</v>
      </c>
      <c r="J345" s="72" t="s">
        <v>4</v>
      </c>
      <c r="K345" s="72" t="s">
        <v>4</v>
      </c>
      <c r="L345" s="74"/>
      <c r="M345" s="77" t="str">
        <f>IF(Main[[#This Row],[Tech Start Date]]&lt;1/1/1990,"",IF(Main[[#This Row],[Class]]="C",WORKDAY(Main[[#This Row],[Tech Start Date]],9),IF(Main[[#This Row],[Class]]="B", WORKDAY(Main[[#This Row],[Tech Start Date]],6),IF(Main[[#This Row],[Class]]="A",WORKDAY(Main[[#This Row],[Tech Start Date]],2),""))))</f>
        <v/>
      </c>
      <c r="N345" s="77" t="str">
        <f>IF(Main[[#This Row],[Tech Start Date]]&lt;1/1/1990,"",IF(Main[[#This Row],[Class]]="C",WORKDAY(Main[[#This Row],[Tech Start Date]],19),IF(Main[[#This Row],[Class]]="B", WORKDAY(Main[[#This Row],[Tech Start Date]],12),IF(Main[[#This Row],[Class]]="A",WORKDAY(Main[[#This Row],[Tech Start Date]],4),""))))</f>
        <v/>
      </c>
      <c r="O345" s="77" t="str">
        <f>IF(Main[[#This Row],[Tech Start Date]]&lt;1/1/1990,"",IF(Main[[#This Row],[Class]]="C",WORKDAY(Main[[#This Row],[Tech Start Date]],23),IF(Main[[#This Row],[Class]]="B", WORKDAY(Main[[#This Row],[Tech Start Date]],15),IF(Main[[#This Row],[Class]]="A",WORKDAY(Main[[#This Row],[Tech Start Date]],5),""))))</f>
        <v/>
      </c>
      <c r="P345" s="77" t="str">
        <f>IF(Main[[#This Row],[Tech Start Date]]&lt;1/1/1990,"",IF(Main[[#This Row],[Class]]="C",WORKDAY(Main[[#This Row],[Tech Start Date]],28),IF(Main[[#This Row],[Class]]="B", WORKDAY(Main[[#This Row],[Tech Start Date]],19),IF(Main[[#This Row],[Class]]="A",WORKDAY(Main[[#This Row],[Tech Start Date]],9),""))))</f>
        <v/>
      </c>
      <c r="Q345" s="74"/>
      <c r="R345" s="74"/>
      <c r="S345" s="72" t="s">
        <v>11</v>
      </c>
      <c r="T345" s="80" t="s">
        <v>4</v>
      </c>
      <c r="U345" s="72" t="s">
        <v>12</v>
      </c>
      <c r="V345" s="72" t="s">
        <v>1933</v>
      </c>
      <c r="W345" s="72" t="s">
        <v>1936</v>
      </c>
      <c r="X345" s="72" t="s">
        <v>933</v>
      </c>
      <c r="Y345" s="72" t="s">
        <v>3069</v>
      </c>
      <c r="Z345" s="72" t="s">
        <v>4</v>
      </c>
      <c r="AA345" s="147" t="s">
        <v>933</v>
      </c>
    </row>
    <row r="346" spans="1:27" ht="18.600000000000001" customHeight="1">
      <c r="A346" s="140" t="str">
        <f>IF(priority(Main[[#This Row],[Comments]])&lt;&gt;0, priority(Main[[#This Row],[Comments]]),"")</f>
        <v/>
      </c>
      <c r="B346" s="90" t="s">
        <v>1993</v>
      </c>
      <c r="C346" s="72" t="s">
        <v>4</v>
      </c>
      <c r="D346" s="73" t="s">
        <v>1994</v>
      </c>
      <c r="E346" s="74">
        <v>40732.708599537036</v>
      </c>
      <c r="F346" s="74"/>
      <c r="G346" s="75" t="str">
        <f>IF(stdProdLT(Main[[#This Row],[Comments]])=0.1,"N/A",IF(stdProdLT(Main[[#This Row],[Comments]])=0,"",stdProdLT(Main[[#This Row],[Comments]])))</f>
        <v/>
      </c>
      <c r="H346" s="76" t="str">
        <f>IF(AND(Main[[#This Row],[In Stock Date]]&lt;&gt;"",Main[[#This Row],[Revised Due Date]]&lt;&gt;""),Main[[#This Row],[In Stock Date]]-Main[[#This Row],[Revised Due Date]],"")</f>
        <v/>
      </c>
      <c r="I346" s="72" t="s">
        <v>4</v>
      </c>
      <c r="J346" s="72" t="s">
        <v>4</v>
      </c>
      <c r="K346" s="72" t="s">
        <v>4</v>
      </c>
      <c r="L346" s="74"/>
      <c r="M346" s="77" t="str">
        <f>IF(Main[[#This Row],[Tech Start Date]]&lt;1/1/1990,"",IF(Main[[#This Row],[Class]]="C",WORKDAY(Main[[#This Row],[Tech Start Date]],9),IF(Main[[#This Row],[Class]]="B", WORKDAY(Main[[#This Row],[Tech Start Date]],6),IF(Main[[#This Row],[Class]]="A",WORKDAY(Main[[#This Row],[Tech Start Date]],2),""))))</f>
        <v/>
      </c>
      <c r="N346" s="77" t="str">
        <f>IF(Main[[#This Row],[Tech Start Date]]&lt;1/1/1990,"",IF(Main[[#This Row],[Class]]="C",WORKDAY(Main[[#This Row],[Tech Start Date]],19),IF(Main[[#This Row],[Class]]="B", WORKDAY(Main[[#This Row],[Tech Start Date]],12),IF(Main[[#This Row],[Class]]="A",WORKDAY(Main[[#This Row],[Tech Start Date]],4),""))))</f>
        <v/>
      </c>
      <c r="O346" s="77" t="str">
        <f>IF(Main[[#This Row],[Tech Start Date]]&lt;1/1/1990,"",IF(Main[[#This Row],[Class]]="C",WORKDAY(Main[[#This Row],[Tech Start Date]],23),IF(Main[[#This Row],[Class]]="B", WORKDAY(Main[[#This Row],[Tech Start Date]],15),IF(Main[[#This Row],[Class]]="A",WORKDAY(Main[[#This Row],[Tech Start Date]],5),""))))</f>
        <v/>
      </c>
      <c r="P346" s="77" t="str">
        <f>IF(Main[[#This Row],[Tech Start Date]]&lt;1/1/1990,"",IF(Main[[#This Row],[Class]]="C",WORKDAY(Main[[#This Row],[Tech Start Date]],28),IF(Main[[#This Row],[Class]]="B", WORKDAY(Main[[#This Row],[Tech Start Date]],19),IF(Main[[#This Row],[Class]]="A",WORKDAY(Main[[#This Row],[Tech Start Date]],9),""))))</f>
        <v/>
      </c>
      <c r="Q346" s="74">
        <v>40908</v>
      </c>
      <c r="R346" s="74"/>
      <c r="S346" s="72" t="s">
        <v>17</v>
      </c>
      <c r="T346" s="80" t="s">
        <v>4</v>
      </c>
      <c r="U346" s="72" t="s">
        <v>7</v>
      </c>
      <c r="V346" s="72" t="s">
        <v>1935</v>
      </c>
      <c r="W346" s="72" t="s">
        <v>1946</v>
      </c>
      <c r="X346" s="72" t="s">
        <v>559</v>
      </c>
      <c r="Y346" s="72" t="s">
        <v>3039</v>
      </c>
      <c r="Z346" s="72" t="s">
        <v>4</v>
      </c>
      <c r="AA346" s="147" t="s">
        <v>559</v>
      </c>
    </row>
    <row r="347" spans="1:27" ht="18.600000000000001" customHeight="1">
      <c r="A347" s="140" t="str">
        <f>IF(priority(Main[[#This Row],[Comments]])&lt;&gt;0, priority(Main[[#This Row],[Comments]]),"")</f>
        <v/>
      </c>
      <c r="B347" s="90" t="s">
        <v>1220</v>
      </c>
      <c r="C347" s="72" t="s">
        <v>4</v>
      </c>
      <c r="D347" s="73" t="s">
        <v>268</v>
      </c>
      <c r="E347" s="74">
        <v>40609.588946759257</v>
      </c>
      <c r="F347" s="74"/>
      <c r="G347" s="75" t="str">
        <f>IF(stdProdLT(Main[[#This Row],[Comments]])=0.1,"N/A",IF(stdProdLT(Main[[#This Row],[Comments]])=0,"",stdProdLT(Main[[#This Row],[Comments]])))</f>
        <v/>
      </c>
      <c r="H347" s="76" t="str">
        <f>IF(AND(Main[[#This Row],[In Stock Date]]&lt;&gt;"",Main[[#This Row],[Revised Due Date]]&lt;&gt;""),Main[[#This Row],[In Stock Date]]-Main[[#This Row],[Revised Due Date]],"")</f>
        <v/>
      </c>
      <c r="I347" s="72" t="s">
        <v>4</v>
      </c>
      <c r="J347" s="72" t="s">
        <v>28</v>
      </c>
      <c r="K347" s="81" t="s">
        <v>1941</v>
      </c>
      <c r="L347" s="74"/>
      <c r="M347" s="77" t="str">
        <f>IF(Main[[#This Row],[Tech Start Date]]&lt;1/1/1990,"",IF(Main[[#This Row],[Class]]="C",WORKDAY(Main[[#This Row],[Tech Start Date]],9),IF(Main[[#This Row],[Class]]="B", WORKDAY(Main[[#This Row],[Tech Start Date]],6),IF(Main[[#This Row],[Class]]="A",WORKDAY(Main[[#This Row],[Tech Start Date]],2),""))))</f>
        <v/>
      </c>
      <c r="N347" s="77" t="str">
        <f>IF(Main[[#This Row],[Tech Start Date]]&lt;1/1/1990,"",IF(Main[[#This Row],[Class]]="C",WORKDAY(Main[[#This Row],[Tech Start Date]],19),IF(Main[[#This Row],[Class]]="B", WORKDAY(Main[[#This Row],[Tech Start Date]],12),IF(Main[[#This Row],[Class]]="A",WORKDAY(Main[[#This Row],[Tech Start Date]],4),""))))</f>
        <v/>
      </c>
      <c r="O347" s="77" t="str">
        <f>IF(Main[[#This Row],[Tech Start Date]]&lt;1/1/1990,"",IF(Main[[#This Row],[Class]]="C",WORKDAY(Main[[#This Row],[Tech Start Date]],23),IF(Main[[#This Row],[Class]]="B", WORKDAY(Main[[#This Row],[Tech Start Date]],15),IF(Main[[#This Row],[Class]]="A",WORKDAY(Main[[#This Row],[Tech Start Date]],5),""))))</f>
        <v/>
      </c>
      <c r="P347" s="77" t="str">
        <f>IF(Main[[#This Row],[Tech Start Date]]&lt;1/1/1990,"",IF(Main[[#This Row],[Class]]="C",WORKDAY(Main[[#This Row],[Tech Start Date]],28),IF(Main[[#This Row],[Class]]="B", WORKDAY(Main[[#This Row],[Tech Start Date]],19),IF(Main[[#This Row],[Class]]="A",WORKDAY(Main[[#This Row],[Tech Start Date]],9),""))))</f>
        <v/>
      </c>
      <c r="Q347" s="74">
        <v>40640</v>
      </c>
      <c r="R347" s="155"/>
      <c r="S347" s="72" t="s">
        <v>6</v>
      </c>
      <c r="T347" s="80" t="s">
        <v>4</v>
      </c>
      <c r="U347" s="72" t="s">
        <v>7</v>
      </c>
      <c r="V347" s="72" t="s">
        <v>1932</v>
      </c>
      <c r="W347" s="72" t="s">
        <v>1934</v>
      </c>
      <c r="X347" s="72" t="s">
        <v>2903</v>
      </c>
      <c r="Y347" s="72" t="s">
        <v>3019</v>
      </c>
      <c r="Z347" s="72" t="s">
        <v>129</v>
      </c>
      <c r="AA347" s="147" t="s">
        <v>2903</v>
      </c>
    </row>
    <row r="348" spans="1:27" ht="18.600000000000001" customHeight="1">
      <c r="A348" s="140" t="str">
        <f>IF(priority(Main[[#This Row],[Comments]])&lt;&gt;0, priority(Main[[#This Row],[Comments]]),"")</f>
        <v/>
      </c>
      <c r="B348" s="90" t="s">
        <v>1221</v>
      </c>
      <c r="C348" s="72" t="s">
        <v>269</v>
      </c>
      <c r="D348" s="73" t="s">
        <v>270</v>
      </c>
      <c r="E348" s="74"/>
      <c r="F348" s="74"/>
      <c r="G348" s="75" t="str">
        <f>IF(stdProdLT(Main[[#This Row],[Comments]])=0.1,"N/A",IF(stdProdLT(Main[[#This Row],[Comments]])=0,"",stdProdLT(Main[[#This Row],[Comments]])))</f>
        <v/>
      </c>
      <c r="H348" s="76" t="str">
        <f>IF(AND(Main[[#This Row],[In Stock Date]]&lt;&gt;"",Main[[#This Row],[Revised Due Date]]&lt;&gt;""),Main[[#This Row],[In Stock Date]]-Main[[#This Row],[Revised Due Date]],"")</f>
        <v/>
      </c>
      <c r="I348" s="72" t="s">
        <v>4</v>
      </c>
      <c r="J348" s="72" t="s">
        <v>4</v>
      </c>
      <c r="K348" s="72" t="s">
        <v>4</v>
      </c>
      <c r="L348" s="74"/>
      <c r="M348" s="77" t="str">
        <f>IF(Main[[#This Row],[Tech Start Date]]&lt;1/1/1990,"",IF(Main[[#This Row],[Class]]="C",WORKDAY(Main[[#This Row],[Tech Start Date]],9),IF(Main[[#This Row],[Class]]="B", WORKDAY(Main[[#This Row],[Tech Start Date]],6),IF(Main[[#This Row],[Class]]="A",WORKDAY(Main[[#This Row],[Tech Start Date]],2),""))))</f>
        <v/>
      </c>
      <c r="N348" s="77" t="str">
        <f>IF(Main[[#This Row],[Tech Start Date]]&lt;1/1/1990,"",IF(Main[[#This Row],[Class]]="C",WORKDAY(Main[[#This Row],[Tech Start Date]],19),IF(Main[[#This Row],[Class]]="B", WORKDAY(Main[[#This Row],[Tech Start Date]],12),IF(Main[[#This Row],[Class]]="A",WORKDAY(Main[[#This Row],[Tech Start Date]],4),""))))</f>
        <v/>
      </c>
      <c r="O348" s="77" t="str">
        <f>IF(Main[[#This Row],[Tech Start Date]]&lt;1/1/1990,"",IF(Main[[#This Row],[Class]]="C",WORKDAY(Main[[#This Row],[Tech Start Date]],23),IF(Main[[#This Row],[Class]]="B", WORKDAY(Main[[#This Row],[Tech Start Date]],15),IF(Main[[#This Row],[Class]]="A",WORKDAY(Main[[#This Row],[Tech Start Date]],5),""))))</f>
        <v/>
      </c>
      <c r="P348" s="77" t="str">
        <f>IF(Main[[#This Row],[Tech Start Date]]&lt;1/1/1990,"",IF(Main[[#This Row],[Class]]="C",WORKDAY(Main[[#This Row],[Tech Start Date]],28),IF(Main[[#This Row],[Class]]="B", WORKDAY(Main[[#This Row],[Tech Start Date]],19),IF(Main[[#This Row],[Class]]="A",WORKDAY(Main[[#This Row],[Tech Start Date]],9),""))))</f>
        <v/>
      </c>
      <c r="Q348" s="74">
        <v>40497</v>
      </c>
      <c r="R348" s="74"/>
      <c r="S348" s="72" t="s">
        <v>11</v>
      </c>
      <c r="T348" s="80" t="s">
        <v>4</v>
      </c>
      <c r="U348" s="72" t="s">
        <v>12</v>
      </c>
      <c r="V348" s="72" t="s">
        <v>1932</v>
      </c>
      <c r="W348" s="72" t="s">
        <v>1934</v>
      </c>
      <c r="X348" s="72" t="s">
        <v>2939</v>
      </c>
      <c r="Y348" s="72" t="s">
        <v>4</v>
      </c>
      <c r="Z348" s="72" t="s">
        <v>4</v>
      </c>
      <c r="AA348" s="147" t="s">
        <v>2939</v>
      </c>
    </row>
    <row r="349" spans="1:27" ht="18.600000000000001" customHeight="1">
      <c r="A349" s="140" t="str">
        <f>IF(priority(Main[[#This Row],[Comments]])&lt;&gt;0, priority(Main[[#This Row],[Comments]]),"")</f>
        <v/>
      </c>
      <c r="B349" s="90" t="s">
        <v>1223</v>
      </c>
      <c r="C349" s="72" t="s">
        <v>272</v>
      </c>
      <c r="D349" s="73" t="s">
        <v>273</v>
      </c>
      <c r="E349" s="74"/>
      <c r="F349" s="74">
        <v>40399</v>
      </c>
      <c r="G349" s="75" t="str">
        <f>IF(stdProdLT(Main[[#This Row],[Comments]])=0.1,"N/A",IF(stdProdLT(Main[[#This Row],[Comments]])=0,"",stdProdLT(Main[[#This Row],[Comments]])))</f>
        <v/>
      </c>
      <c r="H349" s="76" t="str">
        <f>IF(AND(Main[[#This Row],[In Stock Date]]&lt;&gt;"",Main[[#This Row],[Revised Due Date]]&lt;&gt;""),Main[[#This Row],[In Stock Date]]-Main[[#This Row],[Revised Due Date]],"")</f>
        <v/>
      </c>
      <c r="I349" s="72" t="s">
        <v>129</v>
      </c>
      <c r="J349" s="72" t="s">
        <v>4</v>
      </c>
      <c r="K349" s="72" t="s">
        <v>4</v>
      </c>
      <c r="L349" s="74"/>
      <c r="M349" s="77" t="str">
        <f>IF(Main[[#This Row],[Tech Start Date]]&lt;1/1/1990,"",IF(Main[[#This Row],[Class]]="C",WORKDAY(Main[[#This Row],[Tech Start Date]],9),IF(Main[[#This Row],[Class]]="B", WORKDAY(Main[[#This Row],[Tech Start Date]],6),IF(Main[[#This Row],[Class]]="A",WORKDAY(Main[[#This Row],[Tech Start Date]],2),""))))</f>
        <v/>
      </c>
      <c r="N349" s="77" t="str">
        <f>IF(Main[[#This Row],[Tech Start Date]]&lt;1/1/1990,"",IF(Main[[#This Row],[Class]]="C",WORKDAY(Main[[#This Row],[Tech Start Date]],19),IF(Main[[#This Row],[Class]]="B", WORKDAY(Main[[#This Row],[Tech Start Date]],12),IF(Main[[#This Row],[Class]]="A",WORKDAY(Main[[#This Row],[Tech Start Date]],4),""))))</f>
        <v/>
      </c>
      <c r="O349" s="77" t="str">
        <f>IF(Main[[#This Row],[Tech Start Date]]&lt;1/1/1990,"",IF(Main[[#This Row],[Class]]="C",WORKDAY(Main[[#This Row],[Tech Start Date]],23),IF(Main[[#This Row],[Class]]="B", WORKDAY(Main[[#This Row],[Tech Start Date]],15),IF(Main[[#This Row],[Class]]="A",WORKDAY(Main[[#This Row],[Tech Start Date]],5),""))))</f>
        <v/>
      </c>
      <c r="P349" s="77" t="str">
        <f>IF(Main[[#This Row],[Tech Start Date]]&lt;1/1/1990,"",IF(Main[[#This Row],[Class]]="C",WORKDAY(Main[[#This Row],[Tech Start Date]],28),IF(Main[[#This Row],[Class]]="B", WORKDAY(Main[[#This Row],[Tech Start Date]],19),IF(Main[[#This Row],[Class]]="A",WORKDAY(Main[[#This Row],[Tech Start Date]],9),""))))</f>
        <v/>
      </c>
      <c r="Q349" s="74">
        <v>40344</v>
      </c>
      <c r="R349" s="155"/>
      <c r="S349" s="72" t="s">
        <v>11</v>
      </c>
      <c r="T349" s="80" t="s">
        <v>4</v>
      </c>
      <c r="U349" s="72" t="s">
        <v>14</v>
      </c>
      <c r="V349" s="72" t="s">
        <v>1932</v>
      </c>
      <c r="W349" s="72" t="s">
        <v>1937</v>
      </c>
      <c r="X349" s="72" t="s">
        <v>2938</v>
      </c>
      <c r="Y349" s="72" t="s">
        <v>4</v>
      </c>
      <c r="Z349" s="72" t="s">
        <v>4</v>
      </c>
      <c r="AA349" s="147" t="s">
        <v>2938</v>
      </c>
    </row>
    <row r="350" spans="1:27" ht="18.600000000000001" customHeight="1">
      <c r="A350" s="140" t="str">
        <f>IF(priority(Main[[#This Row],[Comments]])&lt;&gt;0, priority(Main[[#This Row],[Comments]]),"")</f>
        <v/>
      </c>
      <c r="B350" s="90" t="s">
        <v>1399</v>
      </c>
      <c r="C350" s="72" t="s">
        <v>4</v>
      </c>
      <c r="D350" s="73" t="s">
        <v>2391</v>
      </c>
      <c r="E350" s="74">
        <v>40407.653564814813</v>
      </c>
      <c r="F350" s="74"/>
      <c r="G350" s="75" t="str">
        <f>IF(stdProdLT(Main[[#This Row],[Comments]])=0.1,"N/A",IF(stdProdLT(Main[[#This Row],[Comments]])=0,"",stdProdLT(Main[[#This Row],[Comments]])))</f>
        <v/>
      </c>
      <c r="H350" s="76" t="str">
        <f>IF(AND(Main[[#This Row],[In Stock Date]]&lt;&gt;"",Main[[#This Row],[Revised Due Date]]&lt;&gt;""),Main[[#This Row],[In Stock Date]]-Main[[#This Row],[Revised Due Date]],"")</f>
        <v/>
      </c>
      <c r="I350" s="72" t="s">
        <v>4</v>
      </c>
      <c r="J350" s="72" t="s">
        <v>28</v>
      </c>
      <c r="K350" s="81" t="s">
        <v>4</v>
      </c>
      <c r="L350" s="74"/>
      <c r="M350" s="77" t="str">
        <f>IF(Main[[#This Row],[Tech Start Date]]&lt;1/1/1990,"",IF(Main[[#This Row],[Class]]="C",WORKDAY(Main[[#This Row],[Tech Start Date]],9),IF(Main[[#This Row],[Class]]="B", WORKDAY(Main[[#This Row],[Tech Start Date]],6),IF(Main[[#This Row],[Class]]="A",WORKDAY(Main[[#This Row],[Tech Start Date]],2),""))))</f>
        <v/>
      </c>
      <c r="N350" s="77" t="str">
        <f>IF(Main[[#This Row],[Tech Start Date]]&lt;1/1/1990,"",IF(Main[[#This Row],[Class]]="C",WORKDAY(Main[[#This Row],[Tech Start Date]],19),IF(Main[[#This Row],[Class]]="B", WORKDAY(Main[[#This Row],[Tech Start Date]],12),IF(Main[[#This Row],[Class]]="A",WORKDAY(Main[[#This Row],[Tech Start Date]],4),""))))</f>
        <v/>
      </c>
      <c r="O350" s="77" t="str">
        <f>IF(Main[[#This Row],[Tech Start Date]]&lt;1/1/1990,"",IF(Main[[#This Row],[Class]]="C",WORKDAY(Main[[#This Row],[Tech Start Date]],23),IF(Main[[#This Row],[Class]]="B", WORKDAY(Main[[#This Row],[Tech Start Date]],15),IF(Main[[#This Row],[Class]]="A",WORKDAY(Main[[#This Row],[Tech Start Date]],5),""))))</f>
        <v/>
      </c>
      <c r="P350" s="77" t="str">
        <f>IF(Main[[#This Row],[Tech Start Date]]&lt;1/1/1990,"",IF(Main[[#This Row],[Class]]="C",WORKDAY(Main[[#This Row],[Tech Start Date]],28),IF(Main[[#This Row],[Class]]="B", WORKDAY(Main[[#This Row],[Tech Start Date]],19),IF(Main[[#This Row],[Class]]="A",WORKDAY(Main[[#This Row],[Tech Start Date]],9),""))))</f>
        <v/>
      </c>
      <c r="Q350" s="74"/>
      <c r="R350" s="74"/>
      <c r="S350" s="72" t="s">
        <v>6</v>
      </c>
      <c r="T350" s="80" t="s">
        <v>4</v>
      </c>
      <c r="U350" s="72" t="s">
        <v>7</v>
      </c>
      <c r="V350" s="72" t="s">
        <v>1932</v>
      </c>
      <c r="W350" s="72" t="s">
        <v>1934</v>
      </c>
      <c r="X350" s="72" t="s">
        <v>888</v>
      </c>
      <c r="Y350" s="72" t="s">
        <v>3105</v>
      </c>
      <c r="Z350" s="72" t="s">
        <v>129</v>
      </c>
      <c r="AA350" s="147" t="s">
        <v>3590</v>
      </c>
    </row>
    <row r="351" spans="1:27" ht="18.600000000000001" customHeight="1">
      <c r="A351" s="140" t="str">
        <f>IF(priority(Main[[#This Row],[Comments]])&lt;&gt;0, priority(Main[[#This Row],[Comments]]),"")</f>
        <v/>
      </c>
      <c r="B351" s="90" t="s">
        <v>1224</v>
      </c>
      <c r="C351" s="72" t="s">
        <v>183</v>
      </c>
      <c r="D351" s="73" t="s">
        <v>274</v>
      </c>
      <c r="E351" s="74"/>
      <c r="F351" s="74">
        <v>40389</v>
      </c>
      <c r="G351" s="75" t="str">
        <f>IF(stdProdLT(Main[[#This Row],[Comments]])=0.1,"N/A",IF(stdProdLT(Main[[#This Row],[Comments]])=0,"",stdProdLT(Main[[#This Row],[Comments]])))</f>
        <v/>
      </c>
      <c r="H351" s="76" t="str">
        <f>IF(AND(Main[[#This Row],[In Stock Date]]&lt;&gt;"",Main[[#This Row],[Revised Due Date]]&lt;&gt;""),Main[[#This Row],[In Stock Date]]-Main[[#This Row],[Revised Due Date]],"")</f>
        <v/>
      </c>
      <c r="I351" s="72" t="s">
        <v>4</v>
      </c>
      <c r="J351" s="72" t="s">
        <v>4</v>
      </c>
      <c r="K351" s="72" t="s">
        <v>4</v>
      </c>
      <c r="L351" s="74"/>
      <c r="M351" s="77" t="str">
        <f>IF(Main[[#This Row],[Tech Start Date]]&lt;1/1/1990,"",IF(Main[[#This Row],[Class]]="C",WORKDAY(Main[[#This Row],[Tech Start Date]],9),IF(Main[[#This Row],[Class]]="B", WORKDAY(Main[[#This Row],[Tech Start Date]],6),IF(Main[[#This Row],[Class]]="A",WORKDAY(Main[[#This Row],[Tech Start Date]],2),""))))</f>
        <v/>
      </c>
      <c r="N351" s="77" t="str">
        <f>IF(Main[[#This Row],[Tech Start Date]]&lt;1/1/1990,"",IF(Main[[#This Row],[Class]]="C",WORKDAY(Main[[#This Row],[Tech Start Date]],19),IF(Main[[#This Row],[Class]]="B", WORKDAY(Main[[#This Row],[Tech Start Date]],12),IF(Main[[#This Row],[Class]]="A",WORKDAY(Main[[#This Row],[Tech Start Date]],4),""))))</f>
        <v/>
      </c>
      <c r="O351" s="77" t="str">
        <f>IF(Main[[#This Row],[Tech Start Date]]&lt;1/1/1990,"",IF(Main[[#This Row],[Class]]="C",WORKDAY(Main[[#This Row],[Tech Start Date]],23),IF(Main[[#This Row],[Class]]="B", WORKDAY(Main[[#This Row],[Tech Start Date]],15),IF(Main[[#This Row],[Class]]="A",WORKDAY(Main[[#This Row],[Tech Start Date]],5),""))))</f>
        <v/>
      </c>
      <c r="P351" s="77" t="str">
        <f>IF(Main[[#This Row],[Tech Start Date]]&lt;1/1/1990,"",IF(Main[[#This Row],[Class]]="C",WORKDAY(Main[[#This Row],[Tech Start Date]],28),IF(Main[[#This Row],[Class]]="B", WORKDAY(Main[[#This Row],[Tech Start Date]],19),IF(Main[[#This Row],[Class]]="A",WORKDAY(Main[[#This Row],[Tech Start Date]],9),""))))</f>
        <v/>
      </c>
      <c r="Q351" s="74">
        <v>40298</v>
      </c>
      <c r="R351" s="74"/>
      <c r="S351" s="72" t="s">
        <v>11</v>
      </c>
      <c r="T351" s="80" t="s">
        <v>4</v>
      </c>
      <c r="U351" s="72" t="s">
        <v>14</v>
      </c>
      <c r="V351" s="72" t="s">
        <v>1932</v>
      </c>
      <c r="W351" s="72" t="s">
        <v>1938</v>
      </c>
      <c r="X351" s="72" t="s">
        <v>2908</v>
      </c>
      <c r="Y351" s="72" t="s">
        <v>3030</v>
      </c>
      <c r="Z351" s="72" t="s">
        <v>4</v>
      </c>
      <c r="AA351" s="147" t="s">
        <v>2908</v>
      </c>
    </row>
    <row r="352" spans="1:27" ht="18.600000000000001" customHeight="1">
      <c r="A352" s="140" t="str">
        <f>IF(priority(Main[[#This Row],[Comments]])&lt;&gt;0, priority(Main[[#This Row],[Comments]]),"")</f>
        <v/>
      </c>
      <c r="B352" s="90" t="s">
        <v>1226</v>
      </c>
      <c r="C352" s="72" t="s">
        <v>277</v>
      </c>
      <c r="D352" s="73" t="s">
        <v>278</v>
      </c>
      <c r="E352" s="74"/>
      <c r="F352" s="74">
        <v>40262</v>
      </c>
      <c r="G352" s="75" t="str">
        <f>IF(stdProdLT(Main[[#This Row],[Comments]])=0.1,"N/A",IF(stdProdLT(Main[[#This Row],[Comments]])=0,"",stdProdLT(Main[[#This Row],[Comments]])))</f>
        <v/>
      </c>
      <c r="H352" s="76" t="str">
        <f>IF(AND(Main[[#This Row],[In Stock Date]]&lt;&gt;"",Main[[#This Row],[Revised Due Date]]&lt;&gt;""),Main[[#This Row],[In Stock Date]]-Main[[#This Row],[Revised Due Date]],"")</f>
        <v/>
      </c>
      <c r="I352" s="72" t="s">
        <v>4</v>
      </c>
      <c r="J352" s="72" t="s">
        <v>4</v>
      </c>
      <c r="K352" s="72" t="s">
        <v>4</v>
      </c>
      <c r="L352" s="74"/>
      <c r="M352" s="77" t="str">
        <f>IF(Main[[#This Row],[Tech Start Date]]&lt;1/1/1990,"",IF(Main[[#This Row],[Class]]="C",WORKDAY(Main[[#This Row],[Tech Start Date]],9),IF(Main[[#This Row],[Class]]="B", WORKDAY(Main[[#This Row],[Tech Start Date]],6),IF(Main[[#This Row],[Class]]="A",WORKDAY(Main[[#This Row],[Tech Start Date]],2),""))))</f>
        <v/>
      </c>
      <c r="N352" s="77" t="str">
        <f>IF(Main[[#This Row],[Tech Start Date]]&lt;1/1/1990,"",IF(Main[[#This Row],[Class]]="C",WORKDAY(Main[[#This Row],[Tech Start Date]],19),IF(Main[[#This Row],[Class]]="B", WORKDAY(Main[[#This Row],[Tech Start Date]],12),IF(Main[[#This Row],[Class]]="A",WORKDAY(Main[[#This Row],[Tech Start Date]],4),""))))</f>
        <v/>
      </c>
      <c r="O352" s="77" t="str">
        <f>IF(Main[[#This Row],[Tech Start Date]]&lt;1/1/1990,"",IF(Main[[#This Row],[Class]]="C",WORKDAY(Main[[#This Row],[Tech Start Date]],23),IF(Main[[#This Row],[Class]]="B", WORKDAY(Main[[#This Row],[Tech Start Date]],15),IF(Main[[#This Row],[Class]]="A",WORKDAY(Main[[#This Row],[Tech Start Date]],5),""))))</f>
        <v/>
      </c>
      <c r="P352" s="77" t="str">
        <f>IF(Main[[#This Row],[Tech Start Date]]&lt;1/1/1990,"",IF(Main[[#This Row],[Class]]="C",WORKDAY(Main[[#This Row],[Tech Start Date]],28),IF(Main[[#This Row],[Class]]="B", WORKDAY(Main[[#This Row],[Tech Start Date]],19),IF(Main[[#This Row],[Class]]="A",WORKDAY(Main[[#This Row],[Tech Start Date]],9),""))))</f>
        <v/>
      </c>
      <c r="Q352" s="74">
        <v>40242</v>
      </c>
      <c r="R352" s="74"/>
      <c r="S352" s="72" t="s">
        <v>11</v>
      </c>
      <c r="T352" s="80" t="s">
        <v>4</v>
      </c>
      <c r="U352" s="72" t="s">
        <v>14</v>
      </c>
      <c r="V352" s="72" t="s">
        <v>1942</v>
      </c>
      <c r="W352" s="72" t="s">
        <v>1936</v>
      </c>
      <c r="X352" s="72" t="s">
        <v>2952</v>
      </c>
      <c r="Y352" s="72" t="s">
        <v>3099</v>
      </c>
      <c r="Z352" s="72" t="s">
        <v>4</v>
      </c>
      <c r="AA352" s="147" t="s">
        <v>2952</v>
      </c>
    </row>
    <row r="353" spans="1:27" ht="18.600000000000001" customHeight="1">
      <c r="A353" s="140" t="str">
        <f>IF(priority(Main[[#This Row],[Comments]])&lt;&gt;0, priority(Main[[#This Row],[Comments]]),"")</f>
        <v/>
      </c>
      <c r="B353" s="90" t="s">
        <v>1227</v>
      </c>
      <c r="C353" s="72" t="s">
        <v>279</v>
      </c>
      <c r="D353" s="73" t="s">
        <v>280</v>
      </c>
      <c r="E353" s="74"/>
      <c r="F353" s="74">
        <v>40186</v>
      </c>
      <c r="G353" s="75" t="str">
        <f>IF(stdProdLT(Main[[#This Row],[Comments]])=0.1,"N/A",IF(stdProdLT(Main[[#This Row],[Comments]])=0,"",stdProdLT(Main[[#This Row],[Comments]])))</f>
        <v/>
      </c>
      <c r="H353" s="76" t="str">
        <f>IF(AND(Main[[#This Row],[In Stock Date]]&lt;&gt;"",Main[[#This Row],[Revised Due Date]]&lt;&gt;""),Main[[#This Row],[In Stock Date]]-Main[[#This Row],[Revised Due Date]],"")</f>
        <v/>
      </c>
      <c r="I353" s="72" t="s">
        <v>4</v>
      </c>
      <c r="J353" s="72" t="s">
        <v>4</v>
      </c>
      <c r="K353" s="72" t="s">
        <v>4</v>
      </c>
      <c r="L353" s="74"/>
      <c r="M353" s="77" t="str">
        <f>IF(Main[[#This Row],[Tech Start Date]]&lt;1/1/1990,"",IF(Main[[#This Row],[Class]]="C",WORKDAY(Main[[#This Row],[Tech Start Date]],9),IF(Main[[#This Row],[Class]]="B", WORKDAY(Main[[#This Row],[Tech Start Date]],6),IF(Main[[#This Row],[Class]]="A",WORKDAY(Main[[#This Row],[Tech Start Date]],2),""))))</f>
        <v/>
      </c>
      <c r="N353" s="77" t="str">
        <f>IF(Main[[#This Row],[Tech Start Date]]&lt;1/1/1990,"",IF(Main[[#This Row],[Class]]="C",WORKDAY(Main[[#This Row],[Tech Start Date]],19),IF(Main[[#This Row],[Class]]="B", WORKDAY(Main[[#This Row],[Tech Start Date]],12),IF(Main[[#This Row],[Class]]="A",WORKDAY(Main[[#This Row],[Tech Start Date]],4),""))))</f>
        <v/>
      </c>
      <c r="O353" s="77" t="str">
        <f>IF(Main[[#This Row],[Tech Start Date]]&lt;1/1/1990,"",IF(Main[[#This Row],[Class]]="C",WORKDAY(Main[[#This Row],[Tech Start Date]],23),IF(Main[[#This Row],[Class]]="B", WORKDAY(Main[[#This Row],[Tech Start Date]],15),IF(Main[[#This Row],[Class]]="A",WORKDAY(Main[[#This Row],[Tech Start Date]],5),""))))</f>
        <v/>
      </c>
      <c r="P353" s="77" t="str">
        <f>IF(Main[[#This Row],[Tech Start Date]]&lt;1/1/1990,"",IF(Main[[#This Row],[Class]]="C",WORKDAY(Main[[#This Row],[Tech Start Date]],28),IF(Main[[#This Row],[Class]]="B", WORKDAY(Main[[#This Row],[Tech Start Date]],19),IF(Main[[#This Row],[Class]]="A",WORKDAY(Main[[#This Row],[Tech Start Date]],9),""))))</f>
        <v/>
      </c>
      <c r="Q353" s="74">
        <v>40196</v>
      </c>
      <c r="R353" s="74"/>
      <c r="S353" s="72" t="s">
        <v>11</v>
      </c>
      <c r="T353" s="80" t="s">
        <v>4</v>
      </c>
      <c r="U353" s="72" t="s">
        <v>14</v>
      </c>
      <c r="V353" s="72" t="s">
        <v>1935</v>
      </c>
      <c r="W353" s="72" t="s">
        <v>1940</v>
      </c>
      <c r="X353" s="72" t="s">
        <v>2926</v>
      </c>
      <c r="Y353" s="72" t="s">
        <v>4</v>
      </c>
      <c r="Z353" s="72" t="s">
        <v>4</v>
      </c>
      <c r="AA353" s="147" t="s">
        <v>2926</v>
      </c>
    </row>
    <row r="354" spans="1:27" ht="18.600000000000001" customHeight="1">
      <c r="A354" s="140" t="str">
        <f>IF(priority(Main[[#This Row],[Comments]])&lt;&gt;0, priority(Main[[#This Row],[Comments]]),"")</f>
        <v/>
      </c>
      <c r="B354" s="90" t="s">
        <v>2249</v>
      </c>
      <c r="C354" s="72" t="s">
        <v>4</v>
      </c>
      <c r="D354" s="73" t="s">
        <v>2250</v>
      </c>
      <c r="E354" s="74"/>
      <c r="F354" s="74"/>
      <c r="G354" s="75" t="str">
        <f>IF(stdProdLT(Main[[#This Row],[Comments]])=0.1,"N/A",IF(stdProdLT(Main[[#This Row],[Comments]])=0,"",stdProdLT(Main[[#This Row],[Comments]])))</f>
        <v/>
      </c>
      <c r="H354" s="76" t="str">
        <f>IF(AND(Main[[#This Row],[In Stock Date]]&lt;&gt;"",Main[[#This Row],[Revised Due Date]]&lt;&gt;""),Main[[#This Row],[In Stock Date]]-Main[[#This Row],[Revised Due Date]],"")</f>
        <v/>
      </c>
      <c r="I354" s="72" t="s">
        <v>4</v>
      </c>
      <c r="J354" s="72" t="s">
        <v>4</v>
      </c>
      <c r="K354" s="72" t="s">
        <v>4</v>
      </c>
      <c r="L354" s="74"/>
      <c r="M354" s="77" t="str">
        <f>IF(Main[[#This Row],[Tech Start Date]]&lt;1/1/1990,"",IF(Main[[#This Row],[Class]]="C",WORKDAY(Main[[#This Row],[Tech Start Date]],9),IF(Main[[#This Row],[Class]]="B", WORKDAY(Main[[#This Row],[Tech Start Date]],6),IF(Main[[#This Row],[Class]]="A",WORKDAY(Main[[#This Row],[Tech Start Date]],2),""))))</f>
        <v/>
      </c>
      <c r="N354" s="77" t="str">
        <f>IF(Main[[#This Row],[Tech Start Date]]&lt;1/1/1990,"",IF(Main[[#This Row],[Class]]="C",WORKDAY(Main[[#This Row],[Tech Start Date]],19),IF(Main[[#This Row],[Class]]="B", WORKDAY(Main[[#This Row],[Tech Start Date]],12),IF(Main[[#This Row],[Class]]="A",WORKDAY(Main[[#This Row],[Tech Start Date]],4),""))))</f>
        <v/>
      </c>
      <c r="O354" s="77" t="str">
        <f>IF(Main[[#This Row],[Tech Start Date]]&lt;1/1/1990,"",IF(Main[[#This Row],[Class]]="C",WORKDAY(Main[[#This Row],[Tech Start Date]],23),IF(Main[[#This Row],[Class]]="B", WORKDAY(Main[[#This Row],[Tech Start Date]],15),IF(Main[[#This Row],[Class]]="A",WORKDAY(Main[[#This Row],[Tech Start Date]],5),""))))</f>
        <v/>
      </c>
      <c r="P354" s="77" t="str">
        <f>IF(Main[[#This Row],[Tech Start Date]]&lt;1/1/1990,"",IF(Main[[#This Row],[Class]]="C",WORKDAY(Main[[#This Row],[Tech Start Date]],28),IF(Main[[#This Row],[Class]]="B", WORKDAY(Main[[#This Row],[Tech Start Date]],19),IF(Main[[#This Row],[Class]]="A",WORKDAY(Main[[#This Row],[Tech Start Date]],9),""))))</f>
        <v/>
      </c>
      <c r="Q354" s="74">
        <v>40837</v>
      </c>
      <c r="R354" s="155"/>
      <c r="S354" s="72" t="s">
        <v>6</v>
      </c>
      <c r="T354" s="80" t="s">
        <v>4</v>
      </c>
      <c r="U354" s="72" t="s">
        <v>14</v>
      </c>
      <c r="V354" s="72" t="s">
        <v>1935</v>
      </c>
      <c r="W354" s="72" t="s">
        <v>4</v>
      </c>
      <c r="X354" s="72" t="s">
        <v>2902</v>
      </c>
      <c r="Y354" s="72" t="s">
        <v>3016</v>
      </c>
      <c r="Z354" s="72" t="s">
        <v>4</v>
      </c>
      <c r="AA354" s="147" t="s">
        <v>2902</v>
      </c>
    </row>
    <row r="355" spans="1:27" ht="18.600000000000001" customHeight="1">
      <c r="A355" s="140" t="str">
        <f>IF(priority(Main[[#This Row],[Comments]])&lt;&gt;0, priority(Main[[#This Row],[Comments]]),"")</f>
        <v/>
      </c>
      <c r="B355" s="90" t="s">
        <v>1419</v>
      </c>
      <c r="C355" s="72" t="s">
        <v>4</v>
      </c>
      <c r="D355" s="73" t="s">
        <v>492</v>
      </c>
      <c r="E355" s="74">
        <v>40704.65116898148</v>
      </c>
      <c r="F355" s="74"/>
      <c r="G355" s="75" t="str">
        <f>IF(stdProdLT(Main[[#This Row],[Comments]])=0.1,"N/A",IF(stdProdLT(Main[[#This Row],[Comments]])=0,"",stdProdLT(Main[[#This Row],[Comments]])))</f>
        <v/>
      </c>
      <c r="H355" s="76" t="str">
        <f>IF(AND(Main[[#This Row],[In Stock Date]]&lt;&gt;"",Main[[#This Row],[Revised Due Date]]&lt;&gt;""),Main[[#This Row],[In Stock Date]]-Main[[#This Row],[Revised Due Date]],"")</f>
        <v/>
      </c>
      <c r="I355" s="72" t="s">
        <v>4</v>
      </c>
      <c r="J355" s="72" t="s">
        <v>4</v>
      </c>
      <c r="K355" s="72" t="s">
        <v>4</v>
      </c>
      <c r="L355" s="74"/>
      <c r="M355" s="77" t="str">
        <f>IF(Main[[#This Row],[Tech Start Date]]&lt;1/1/1990,"",IF(Main[[#This Row],[Class]]="C",WORKDAY(Main[[#This Row],[Tech Start Date]],9),IF(Main[[#This Row],[Class]]="B", WORKDAY(Main[[#This Row],[Tech Start Date]],6),IF(Main[[#This Row],[Class]]="A",WORKDAY(Main[[#This Row],[Tech Start Date]],2),""))))</f>
        <v/>
      </c>
      <c r="N355" s="77" t="str">
        <f>IF(Main[[#This Row],[Tech Start Date]]&lt;1/1/1990,"",IF(Main[[#This Row],[Class]]="C",WORKDAY(Main[[#This Row],[Tech Start Date]],19),IF(Main[[#This Row],[Class]]="B", WORKDAY(Main[[#This Row],[Tech Start Date]],12),IF(Main[[#This Row],[Class]]="A",WORKDAY(Main[[#This Row],[Tech Start Date]],4),""))))</f>
        <v/>
      </c>
      <c r="O355" s="77" t="str">
        <f>IF(Main[[#This Row],[Tech Start Date]]&lt;1/1/1990,"",IF(Main[[#This Row],[Class]]="C",WORKDAY(Main[[#This Row],[Tech Start Date]],23),IF(Main[[#This Row],[Class]]="B", WORKDAY(Main[[#This Row],[Tech Start Date]],15),IF(Main[[#This Row],[Class]]="A",WORKDAY(Main[[#This Row],[Tech Start Date]],5),""))))</f>
        <v/>
      </c>
      <c r="P355" s="77" t="str">
        <f>IF(Main[[#This Row],[Tech Start Date]]&lt;1/1/1990,"",IF(Main[[#This Row],[Class]]="C",WORKDAY(Main[[#This Row],[Tech Start Date]],28),IF(Main[[#This Row],[Class]]="B", WORKDAY(Main[[#This Row],[Tech Start Date]],19),IF(Main[[#This Row],[Class]]="A",WORKDAY(Main[[#This Row],[Tech Start Date]],9),""))))</f>
        <v/>
      </c>
      <c r="Q355" s="74"/>
      <c r="R355" s="155"/>
      <c r="S355" s="72" t="s">
        <v>6</v>
      </c>
      <c r="T355" s="80" t="s">
        <v>4</v>
      </c>
      <c r="U355" s="72" t="s">
        <v>29</v>
      </c>
      <c r="V355" s="72" t="s">
        <v>1932</v>
      </c>
      <c r="W355" s="72" t="s">
        <v>1936</v>
      </c>
      <c r="X355" s="72" t="s">
        <v>403</v>
      </c>
      <c r="Y355" s="72" t="s">
        <v>4</v>
      </c>
      <c r="Z355" s="72" t="s">
        <v>4</v>
      </c>
      <c r="AA355" s="147" t="s">
        <v>3566</v>
      </c>
    </row>
    <row r="356" spans="1:27" ht="18.600000000000001" customHeight="1">
      <c r="A356" s="140" t="str">
        <f>IF(priority(Main[[#This Row],[Comments]])&lt;&gt;0, priority(Main[[#This Row],[Comments]]),"")</f>
        <v/>
      </c>
      <c r="B356" s="90" t="s">
        <v>1228</v>
      </c>
      <c r="C356" s="72" t="s">
        <v>4</v>
      </c>
      <c r="D356" s="73" t="s">
        <v>285</v>
      </c>
      <c r="E356" s="74">
        <v>40297.413148148145</v>
      </c>
      <c r="F356" s="74"/>
      <c r="G356" s="75" t="str">
        <f>IF(stdProdLT(Main[[#This Row],[Comments]])=0.1,"N/A",IF(stdProdLT(Main[[#This Row],[Comments]])=0,"",stdProdLT(Main[[#This Row],[Comments]])))</f>
        <v/>
      </c>
      <c r="H356" s="76" t="str">
        <f>IF(AND(Main[[#This Row],[In Stock Date]]&lt;&gt;"",Main[[#This Row],[Revised Due Date]]&lt;&gt;""),Main[[#This Row],[In Stock Date]]-Main[[#This Row],[Revised Due Date]],"")</f>
        <v/>
      </c>
      <c r="I356" s="72" t="s">
        <v>4</v>
      </c>
      <c r="J356" s="72" t="s">
        <v>4</v>
      </c>
      <c r="K356" s="81" t="s">
        <v>4</v>
      </c>
      <c r="L356" s="74"/>
      <c r="M356" s="77" t="str">
        <f>IF(Main[[#This Row],[Tech Start Date]]&lt;1/1/1990,"",IF(Main[[#This Row],[Class]]="C",WORKDAY(Main[[#This Row],[Tech Start Date]],9),IF(Main[[#This Row],[Class]]="B", WORKDAY(Main[[#This Row],[Tech Start Date]],6),IF(Main[[#This Row],[Class]]="A",WORKDAY(Main[[#This Row],[Tech Start Date]],2),""))))</f>
        <v/>
      </c>
      <c r="N356" s="77" t="str">
        <f>IF(Main[[#This Row],[Tech Start Date]]&lt;1/1/1990,"",IF(Main[[#This Row],[Class]]="C",WORKDAY(Main[[#This Row],[Tech Start Date]],19),IF(Main[[#This Row],[Class]]="B", WORKDAY(Main[[#This Row],[Tech Start Date]],12),IF(Main[[#This Row],[Class]]="A",WORKDAY(Main[[#This Row],[Tech Start Date]],4),""))))</f>
        <v/>
      </c>
      <c r="O356" s="77" t="str">
        <f>IF(Main[[#This Row],[Tech Start Date]]&lt;1/1/1990,"",IF(Main[[#This Row],[Class]]="C",WORKDAY(Main[[#This Row],[Tech Start Date]],23),IF(Main[[#This Row],[Class]]="B", WORKDAY(Main[[#This Row],[Tech Start Date]],15),IF(Main[[#This Row],[Class]]="A",WORKDAY(Main[[#This Row],[Tech Start Date]],5),""))))</f>
        <v/>
      </c>
      <c r="P356" s="77" t="str">
        <f>IF(Main[[#This Row],[Tech Start Date]]&lt;1/1/1990,"",IF(Main[[#This Row],[Class]]="C",WORKDAY(Main[[#This Row],[Tech Start Date]],28),IF(Main[[#This Row],[Class]]="B", WORKDAY(Main[[#This Row],[Tech Start Date]],19),IF(Main[[#This Row],[Class]]="A",WORKDAY(Main[[#This Row],[Tech Start Date]],9),""))))</f>
        <v/>
      </c>
      <c r="Q356" s="74">
        <v>40319</v>
      </c>
      <c r="R356" s="74"/>
      <c r="S356" s="72" t="s">
        <v>17</v>
      </c>
      <c r="T356" s="80" t="s">
        <v>4</v>
      </c>
      <c r="U356" s="72" t="s">
        <v>29</v>
      </c>
      <c r="V356" s="72" t="s">
        <v>1933</v>
      </c>
      <c r="W356" s="72" t="s">
        <v>1936</v>
      </c>
      <c r="X356" s="72" t="s">
        <v>2946</v>
      </c>
      <c r="Y356" s="72" t="s">
        <v>4</v>
      </c>
      <c r="Z356" s="72" t="s">
        <v>4</v>
      </c>
      <c r="AA356" s="147" t="s">
        <v>2919</v>
      </c>
    </row>
    <row r="357" spans="1:27" ht="18.600000000000001" customHeight="1">
      <c r="A357" s="140" t="str">
        <f>IF(priority(Main[[#This Row],[Comments]])&lt;&gt;0, priority(Main[[#This Row],[Comments]]),"")</f>
        <v/>
      </c>
      <c r="B357" s="90" t="s">
        <v>1229</v>
      </c>
      <c r="C357" s="72" t="s">
        <v>286</v>
      </c>
      <c r="D357" s="73" t="s">
        <v>287</v>
      </c>
      <c r="E357" s="74"/>
      <c r="F357" s="74">
        <v>40391</v>
      </c>
      <c r="G357" s="75" t="str">
        <f>IF(stdProdLT(Main[[#This Row],[Comments]])=0.1,"N/A",IF(stdProdLT(Main[[#This Row],[Comments]])=0,"",stdProdLT(Main[[#This Row],[Comments]])))</f>
        <v/>
      </c>
      <c r="H357" s="76" t="str">
        <f>IF(AND(Main[[#This Row],[In Stock Date]]&lt;&gt;"",Main[[#This Row],[Revised Due Date]]&lt;&gt;""),Main[[#This Row],[In Stock Date]]-Main[[#This Row],[Revised Due Date]],"")</f>
        <v/>
      </c>
      <c r="I357" s="72" t="s">
        <v>4</v>
      </c>
      <c r="J357" s="72" t="s">
        <v>4</v>
      </c>
      <c r="K357" s="72" t="s">
        <v>4</v>
      </c>
      <c r="L357" s="74"/>
      <c r="M357" s="77" t="str">
        <f>IF(Main[[#This Row],[Tech Start Date]]&lt;1/1/1990,"",IF(Main[[#This Row],[Class]]="C",WORKDAY(Main[[#This Row],[Tech Start Date]],9),IF(Main[[#This Row],[Class]]="B", WORKDAY(Main[[#This Row],[Tech Start Date]],6),IF(Main[[#This Row],[Class]]="A",WORKDAY(Main[[#This Row],[Tech Start Date]],2),""))))</f>
        <v/>
      </c>
      <c r="N357" s="77" t="str">
        <f>IF(Main[[#This Row],[Tech Start Date]]&lt;1/1/1990,"",IF(Main[[#This Row],[Class]]="C",WORKDAY(Main[[#This Row],[Tech Start Date]],19),IF(Main[[#This Row],[Class]]="B", WORKDAY(Main[[#This Row],[Tech Start Date]],12),IF(Main[[#This Row],[Class]]="A",WORKDAY(Main[[#This Row],[Tech Start Date]],4),""))))</f>
        <v/>
      </c>
      <c r="O357" s="77" t="str">
        <f>IF(Main[[#This Row],[Tech Start Date]]&lt;1/1/1990,"",IF(Main[[#This Row],[Class]]="C",WORKDAY(Main[[#This Row],[Tech Start Date]],23),IF(Main[[#This Row],[Class]]="B", WORKDAY(Main[[#This Row],[Tech Start Date]],15),IF(Main[[#This Row],[Class]]="A",WORKDAY(Main[[#This Row],[Tech Start Date]],5),""))))</f>
        <v/>
      </c>
      <c r="P357" s="77" t="str">
        <f>IF(Main[[#This Row],[Tech Start Date]]&lt;1/1/1990,"",IF(Main[[#This Row],[Class]]="C",WORKDAY(Main[[#This Row],[Tech Start Date]],28),IF(Main[[#This Row],[Class]]="B", WORKDAY(Main[[#This Row],[Tech Start Date]],19),IF(Main[[#This Row],[Class]]="A",WORKDAY(Main[[#This Row],[Tech Start Date]],9),""))))</f>
        <v/>
      </c>
      <c r="Q357" s="74">
        <v>40314</v>
      </c>
      <c r="R357" s="155"/>
      <c r="S357" s="72" t="s">
        <v>11</v>
      </c>
      <c r="T357" s="80" t="s">
        <v>4</v>
      </c>
      <c r="U357" s="72" t="s">
        <v>14</v>
      </c>
      <c r="V357" s="72" t="s">
        <v>1935</v>
      </c>
      <c r="W357" s="72" t="s">
        <v>1938</v>
      </c>
      <c r="X357" s="72" t="s">
        <v>2942</v>
      </c>
      <c r="Y357" s="72" t="s">
        <v>4</v>
      </c>
      <c r="Z357" s="72" t="s">
        <v>4</v>
      </c>
      <c r="AA357" s="147" t="s">
        <v>2942</v>
      </c>
    </row>
    <row r="358" spans="1:27" ht="18.600000000000001" customHeight="1">
      <c r="A358" s="140" t="str">
        <f>IF(priority(Main[[#This Row],[Comments]])&lt;&gt;0, priority(Main[[#This Row],[Comments]]),"")</f>
        <v/>
      </c>
      <c r="B358" s="90" t="s">
        <v>1230</v>
      </c>
      <c r="C358" s="72" t="s">
        <v>288</v>
      </c>
      <c r="D358" s="73" t="s">
        <v>289</v>
      </c>
      <c r="E358" s="74"/>
      <c r="F358" s="74"/>
      <c r="G358" s="75" t="str">
        <f>IF(stdProdLT(Main[[#This Row],[Comments]])=0.1,"N/A",IF(stdProdLT(Main[[#This Row],[Comments]])=0,"",stdProdLT(Main[[#This Row],[Comments]])))</f>
        <v/>
      </c>
      <c r="H358" s="76" t="str">
        <f>IF(AND(Main[[#This Row],[In Stock Date]]&lt;&gt;"",Main[[#This Row],[Revised Due Date]]&lt;&gt;""),Main[[#This Row],[In Stock Date]]-Main[[#This Row],[Revised Due Date]],"")</f>
        <v/>
      </c>
      <c r="I358" s="72" t="s">
        <v>4</v>
      </c>
      <c r="J358" s="72" t="s">
        <v>4</v>
      </c>
      <c r="K358" s="72" t="s">
        <v>4</v>
      </c>
      <c r="L358" s="74"/>
      <c r="M358" s="77" t="str">
        <f>IF(Main[[#This Row],[Tech Start Date]]&lt;1/1/1990,"",IF(Main[[#This Row],[Class]]="C",WORKDAY(Main[[#This Row],[Tech Start Date]],9),IF(Main[[#This Row],[Class]]="B", WORKDAY(Main[[#This Row],[Tech Start Date]],6),IF(Main[[#This Row],[Class]]="A",WORKDAY(Main[[#This Row],[Tech Start Date]],2),""))))</f>
        <v/>
      </c>
      <c r="N358" s="77" t="str">
        <f>IF(Main[[#This Row],[Tech Start Date]]&lt;1/1/1990,"",IF(Main[[#This Row],[Class]]="C",WORKDAY(Main[[#This Row],[Tech Start Date]],19),IF(Main[[#This Row],[Class]]="B", WORKDAY(Main[[#This Row],[Tech Start Date]],12),IF(Main[[#This Row],[Class]]="A",WORKDAY(Main[[#This Row],[Tech Start Date]],4),""))))</f>
        <v/>
      </c>
      <c r="O358" s="77" t="str">
        <f>IF(Main[[#This Row],[Tech Start Date]]&lt;1/1/1990,"",IF(Main[[#This Row],[Class]]="C",WORKDAY(Main[[#This Row],[Tech Start Date]],23),IF(Main[[#This Row],[Class]]="B", WORKDAY(Main[[#This Row],[Tech Start Date]],15),IF(Main[[#This Row],[Class]]="A",WORKDAY(Main[[#This Row],[Tech Start Date]],5),""))))</f>
        <v/>
      </c>
      <c r="P358" s="77" t="str">
        <f>IF(Main[[#This Row],[Tech Start Date]]&lt;1/1/1990,"",IF(Main[[#This Row],[Class]]="C",WORKDAY(Main[[#This Row],[Tech Start Date]],28),IF(Main[[#This Row],[Class]]="B", WORKDAY(Main[[#This Row],[Tech Start Date]],19),IF(Main[[#This Row],[Class]]="A",WORKDAY(Main[[#This Row],[Tech Start Date]],9),""))))</f>
        <v/>
      </c>
      <c r="Q358" s="74">
        <v>40147</v>
      </c>
      <c r="R358" s="74"/>
      <c r="S358" s="72" t="s">
        <v>11</v>
      </c>
      <c r="T358" s="80" t="s">
        <v>4</v>
      </c>
      <c r="U358" s="72" t="s">
        <v>14</v>
      </c>
      <c r="V358" s="72" t="s">
        <v>1942</v>
      </c>
      <c r="W358" s="72" t="s">
        <v>1940</v>
      </c>
      <c r="X358" s="72" t="s">
        <v>2901</v>
      </c>
      <c r="Y358" s="72" t="s">
        <v>4</v>
      </c>
      <c r="Z358" s="72" t="s">
        <v>4</v>
      </c>
      <c r="AA358" s="147" t="s">
        <v>2901</v>
      </c>
    </row>
    <row r="359" spans="1:27" ht="18.600000000000001" customHeight="1">
      <c r="A359" s="140" t="str">
        <f>IF(priority(Main[[#This Row],[Comments]])&lt;&gt;0, priority(Main[[#This Row],[Comments]]),"")</f>
        <v/>
      </c>
      <c r="B359" s="90" t="s">
        <v>2098</v>
      </c>
      <c r="C359" s="72" t="s">
        <v>4</v>
      </c>
      <c r="D359" s="73" t="s">
        <v>2088</v>
      </c>
      <c r="E359" s="74"/>
      <c r="F359" s="74"/>
      <c r="G359" s="75" t="str">
        <f>IF(stdProdLT(Main[[#This Row],[Comments]])=0.1,"N/A",IF(stdProdLT(Main[[#This Row],[Comments]])=0,"",stdProdLT(Main[[#This Row],[Comments]])))</f>
        <v/>
      </c>
      <c r="H359" s="76" t="str">
        <f>IF(AND(Main[[#This Row],[In Stock Date]]&lt;&gt;"",Main[[#This Row],[Revised Due Date]]&lt;&gt;""),Main[[#This Row],[In Stock Date]]-Main[[#This Row],[Revised Due Date]],"")</f>
        <v/>
      </c>
      <c r="I359" s="72" t="s">
        <v>4</v>
      </c>
      <c r="J359" s="72" t="s">
        <v>4</v>
      </c>
      <c r="K359" s="72" t="s">
        <v>4</v>
      </c>
      <c r="L359" s="74"/>
      <c r="M359" s="77" t="str">
        <f>IF(Main[[#This Row],[Tech Start Date]]&lt;1/1/1990,"",IF(Main[[#This Row],[Class]]="C",WORKDAY(Main[[#This Row],[Tech Start Date]],9),IF(Main[[#This Row],[Class]]="B", WORKDAY(Main[[#This Row],[Tech Start Date]],6),IF(Main[[#This Row],[Class]]="A",WORKDAY(Main[[#This Row],[Tech Start Date]],2),""))))</f>
        <v/>
      </c>
      <c r="N359" s="77" t="str">
        <f>IF(Main[[#This Row],[Tech Start Date]]&lt;1/1/1990,"",IF(Main[[#This Row],[Class]]="C",WORKDAY(Main[[#This Row],[Tech Start Date]],19),IF(Main[[#This Row],[Class]]="B", WORKDAY(Main[[#This Row],[Tech Start Date]],12),IF(Main[[#This Row],[Class]]="A",WORKDAY(Main[[#This Row],[Tech Start Date]],4),""))))</f>
        <v/>
      </c>
      <c r="O359" s="77" t="str">
        <f>IF(Main[[#This Row],[Tech Start Date]]&lt;1/1/1990,"",IF(Main[[#This Row],[Class]]="C",WORKDAY(Main[[#This Row],[Tech Start Date]],23),IF(Main[[#This Row],[Class]]="B", WORKDAY(Main[[#This Row],[Tech Start Date]],15),IF(Main[[#This Row],[Class]]="A",WORKDAY(Main[[#This Row],[Tech Start Date]],5),""))))</f>
        <v/>
      </c>
      <c r="P359" s="77" t="str">
        <f>IF(Main[[#This Row],[Tech Start Date]]&lt;1/1/1990,"",IF(Main[[#This Row],[Class]]="C",WORKDAY(Main[[#This Row],[Tech Start Date]],28),IF(Main[[#This Row],[Class]]="B", WORKDAY(Main[[#This Row],[Tech Start Date]],19),IF(Main[[#This Row],[Class]]="A",WORKDAY(Main[[#This Row],[Tech Start Date]],9),""))))</f>
        <v/>
      </c>
      <c r="Q359" s="74">
        <v>40798</v>
      </c>
      <c r="R359" s="74"/>
      <c r="S359" s="72" t="s">
        <v>6</v>
      </c>
      <c r="T359" s="80" t="s">
        <v>4</v>
      </c>
      <c r="U359" s="72" t="s">
        <v>12</v>
      </c>
      <c r="V359" s="72" t="s">
        <v>1935</v>
      </c>
      <c r="W359" s="72" t="s">
        <v>4</v>
      </c>
      <c r="X359" s="72" t="s">
        <v>2903</v>
      </c>
      <c r="Y359" s="72" t="s">
        <v>3019</v>
      </c>
      <c r="Z359" s="72" t="s">
        <v>4</v>
      </c>
      <c r="AA359" s="147" t="s">
        <v>2903</v>
      </c>
    </row>
    <row r="360" spans="1:27" ht="18.600000000000001" customHeight="1">
      <c r="A360" s="140" t="str">
        <f>IF(priority(Main[[#This Row],[Comments]])&lt;&gt;0, priority(Main[[#This Row],[Comments]]),"")</f>
        <v/>
      </c>
      <c r="B360" s="90" t="s">
        <v>1231</v>
      </c>
      <c r="C360" s="72" t="s">
        <v>290</v>
      </c>
      <c r="D360" s="73" t="s">
        <v>291</v>
      </c>
      <c r="E360" s="74"/>
      <c r="F360" s="74">
        <v>40421</v>
      </c>
      <c r="G360" s="75" t="str">
        <f>IF(stdProdLT(Main[[#This Row],[Comments]])=0.1,"N/A",IF(stdProdLT(Main[[#This Row],[Comments]])=0,"",stdProdLT(Main[[#This Row],[Comments]])))</f>
        <v/>
      </c>
      <c r="H360" s="76" t="str">
        <f>IF(AND(Main[[#This Row],[In Stock Date]]&lt;&gt;"",Main[[#This Row],[Revised Due Date]]&lt;&gt;""),Main[[#This Row],[In Stock Date]]-Main[[#This Row],[Revised Due Date]],"")</f>
        <v/>
      </c>
      <c r="I360" s="72" t="s">
        <v>4</v>
      </c>
      <c r="J360" s="72" t="s">
        <v>4</v>
      </c>
      <c r="K360" s="72" t="s">
        <v>4</v>
      </c>
      <c r="L360" s="74"/>
      <c r="M360" s="77" t="str">
        <f>IF(Main[[#This Row],[Tech Start Date]]&lt;1/1/1990,"",IF(Main[[#This Row],[Class]]="C",WORKDAY(Main[[#This Row],[Tech Start Date]],9),IF(Main[[#This Row],[Class]]="B", WORKDAY(Main[[#This Row],[Tech Start Date]],6),IF(Main[[#This Row],[Class]]="A",WORKDAY(Main[[#This Row],[Tech Start Date]],2),""))))</f>
        <v/>
      </c>
      <c r="N360" s="77" t="str">
        <f>IF(Main[[#This Row],[Tech Start Date]]&lt;1/1/1990,"",IF(Main[[#This Row],[Class]]="C",WORKDAY(Main[[#This Row],[Tech Start Date]],19),IF(Main[[#This Row],[Class]]="B", WORKDAY(Main[[#This Row],[Tech Start Date]],12),IF(Main[[#This Row],[Class]]="A",WORKDAY(Main[[#This Row],[Tech Start Date]],4),""))))</f>
        <v/>
      </c>
      <c r="O360" s="77" t="str">
        <f>IF(Main[[#This Row],[Tech Start Date]]&lt;1/1/1990,"",IF(Main[[#This Row],[Class]]="C",WORKDAY(Main[[#This Row],[Tech Start Date]],23),IF(Main[[#This Row],[Class]]="B", WORKDAY(Main[[#This Row],[Tech Start Date]],15),IF(Main[[#This Row],[Class]]="A",WORKDAY(Main[[#This Row],[Tech Start Date]],5),""))))</f>
        <v/>
      </c>
      <c r="P360" s="77" t="str">
        <f>IF(Main[[#This Row],[Tech Start Date]]&lt;1/1/1990,"",IF(Main[[#This Row],[Class]]="C",WORKDAY(Main[[#This Row],[Tech Start Date]],28),IF(Main[[#This Row],[Class]]="B", WORKDAY(Main[[#This Row],[Tech Start Date]],19),IF(Main[[#This Row],[Class]]="A",WORKDAY(Main[[#This Row],[Tech Start Date]],9),""))))</f>
        <v/>
      </c>
      <c r="Q360" s="74">
        <v>40360</v>
      </c>
      <c r="R360" s="74"/>
      <c r="S360" s="72" t="s">
        <v>11</v>
      </c>
      <c r="T360" s="80" t="s">
        <v>4</v>
      </c>
      <c r="U360" s="72" t="s">
        <v>12</v>
      </c>
      <c r="V360" s="72" t="s">
        <v>1933</v>
      </c>
      <c r="W360" s="72" t="s">
        <v>1937</v>
      </c>
      <c r="X360" s="72" t="s">
        <v>2958</v>
      </c>
      <c r="Y360" s="72" t="s">
        <v>3106</v>
      </c>
      <c r="Z360" s="72" t="s">
        <v>4</v>
      </c>
      <c r="AA360" s="147" t="s">
        <v>2958</v>
      </c>
    </row>
    <row r="361" spans="1:27" ht="18.600000000000001" customHeight="1">
      <c r="A361" s="140" t="str">
        <f>IF(priority(Main[[#This Row],[Comments]])&lt;&gt;0, priority(Main[[#This Row],[Comments]]),"")</f>
        <v/>
      </c>
      <c r="B361" s="90" t="s">
        <v>1439</v>
      </c>
      <c r="C361" s="72" t="s">
        <v>4</v>
      </c>
      <c r="D361" s="73" t="s">
        <v>1971</v>
      </c>
      <c r="E361" s="74"/>
      <c r="F361" s="74"/>
      <c r="G361" s="75" t="str">
        <f>IF(stdProdLT(Main[[#This Row],[Comments]])=0.1,"N/A",IF(stdProdLT(Main[[#This Row],[Comments]])=0,"",stdProdLT(Main[[#This Row],[Comments]])))</f>
        <v/>
      </c>
      <c r="H361" s="76" t="str">
        <f>IF(AND(Main[[#This Row],[In Stock Date]]&lt;&gt;"",Main[[#This Row],[Revised Due Date]]&lt;&gt;""),Main[[#This Row],[In Stock Date]]-Main[[#This Row],[Revised Due Date]],"")</f>
        <v/>
      </c>
      <c r="I361" s="72" t="s">
        <v>4</v>
      </c>
      <c r="J361" s="72" t="s">
        <v>4</v>
      </c>
      <c r="K361" s="72" t="s">
        <v>4</v>
      </c>
      <c r="L361" s="74"/>
      <c r="M361" s="77" t="str">
        <f>IF(Main[[#This Row],[Tech Start Date]]&lt;1/1/1990,"",IF(Main[[#This Row],[Class]]="C",WORKDAY(Main[[#This Row],[Tech Start Date]],9),IF(Main[[#This Row],[Class]]="B", WORKDAY(Main[[#This Row],[Tech Start Date]],6),IF(Main[[#This Row],[Class]]="A",WORKDAY(Main[[#This Row],[Tech Start Date]],2),""))))</f>
        <v/>
      </c>
      <c r="N361" s="77" t="str">
        <f>IF(Main[[#This Row],[Tech Start Date]]&lt;1/1/1990,"",IF(Main[[#This Row],[Class]]="C",WORKDAY(Main[[#This Row],[Tech Start Date]],19),IF(Main[[#This Row],[Class]]="B", WORKDAY(Main[[#This Row],[Tech Start Date]],12),IF(Main[[#This Row],[Class]]="A",WORKDAY(Main[[#This Row],[Tech Start Date]],4),""))))</f>
        <v/>
      </c>
      <c r="O361" s="77" t="str">
        <f>IF(Main[[#This Row],[Tech Start Date]]&lt;1/1/1990,"",IF(Main[[#This Row],[Class]]="C",WORKDAY(Main[[#This Row],[Tech Start Date]],23),IF(Main[[#This Row],[Class]]="B", WORKDAY(Main[[#This Row],[Tech Start Date]],15),IF(Main[[#This Row],[Class]]="A",WORKDAY(Main[[#This Row],[Tech Start Date]],5),""))))</f>
        <v/>
      </c>
      <c r="P361" s="77" t="str">
        <f>IF(Main[[#This Row],[Tech Start Date]]&lt;1/1/1990,"",IF(Main[[#This Row],[Class]]="C",WORKDAY(Main[[#This Row],[Tech Start Date]],28),IF(Main[[#This Row],[Class]]="B", WORKDAY(Main[[#This Row],[Tech Start Date]],19),IF(Main[[#This Row],[Class]]="A",WORKDAY(Main[[#This Row],[Tech Start Date]],9),""))))</f>
        <v/>
      </c>
      <c r="Q361" s="74"/>
      <c r="R361" s="155"/>
      <c r="S361" s="72" t="s">
        <v>6</v>
      </c>
      <c r="T361" s="80" t="s">
        <v>4</v>
      </c>
      <c r="U361" s="72" t="s">
        <v>14</v>
      </c>
      <c r="V361" s="72" t="s">
        <v>1933</v>
      </c>
      <c r="W361" s="72" t="s">
        <v>1934</v>
      </c>
      <c r="X361" s="72" t="s">
        <v>933</v>
      </c>
      <c r="Y361" s="72" t="s">
        <v>3107</v>
      </c>
      <c r="Z361" s="72" t="s">
        <v>4</v>
      </c>
      <c r="AA361" s="147" t="s">
        <v>3591</v>
      </c>
    </row>
    <row r="362" spans="1:27" ht="18.600000000000001" customHeight="1">
      <c r="A362" s="140" t="str">
        <f>IF(priority(Main[[#This Row],[Comments]])&lt;&gt;0, priority(Main[[#This Row],[Comments]]),"")</f>
        <v/>
      </c>
      <c r="B362" s="90" t="s">
        <v>1143</v>
      </c>
      <c r="C362" s="72" t="s">
        <v>4</v>
      </c>
      <c r="D362" s="73" t="s">
        <v>2392</v>
      </c>
      <c r="E362" s="74">
        <v>40574.415509259263</v>
      </c>
      <c r="F362" s="74">
        <v>40613</v>
      </c>
      <c r="G362" s="75" t="str">
        <f>IF(stdProdLT(Main[[#This Row],[Comments]])=0.1,"N/A",IF(stdProdLT(Main[[#This Row],[Comments]])=0,"",stdProdLT(Main[[#This Row],[Comments]])))</f>
        <v/>
      </c>
      <c r="H362" s="76" t="str">
        <f>IF(AND(Main[[#This Row],[In Stock Date]]&lt;&gt;"",Main[[#This Row],[Revised Due Date]]&lt;&gt;""),Main[[#This Row],[In Stock Date]]-Main[[#This Row],[Revised Due Date]],"")</f>
        <v/>
      </c>
      <c r="I362" s="72" t="s">
        <v>923</v>
      </c>
      <c r="J362" s="72" t="s">
        <v>52</v>
      </c>
      <c r="K362" s="72" t="s">
        <v>1941</v>
      </c>
      <c r="L362" s="74"/>
      <c r="M362" s="77" t="str">
        <f>IF(Main[[#This Row],[Tech Start Date]]&lt;1/1/1990,"",IF(Main[[#This Row],[Class]]="C",WORKDAY(Main[[#This Row],[Tech Start Date]],9),IF(Main[[#This Row],[Class]]="B", WORKDAY(Main[[#This Row],[Tech Start Date]],6),IF(Main[[#This Row],[Class]]="A",WORKDAY(Main[[#This Row],[Tech Start Date]],2),""))))</f>
        <v/>
      </c>
      <c r="N362" s="77" t="str">
        <f>IF(Main[[#This Row],[Tech Start Date]]&lt;1/1/1990,"",IF(Main[[#This Row],[Class]]="C",WORKDAY(Main[[#This Row],[Tech Start Date]],19),IF(Main[[#This Row],[Class]]="B", WORKDAY(Main[[#This Row],[Tech Start Date]],12),IF(Main[[#This Row],[Class]]="A",WORKDAY(Main[[#This Row],[Tech Start Date]],4),""))))</f>
        <v/>
      </c>
      <c r="O362" s="77" t="str">
        <f>IF(Main[[#This Row],[Tech Start Date]]&lt;1/1/1990,"",IF(Main[[#This Row],[Class]]="C",WORKDAY(Main[[#This Row],[Tech Start Date]],23),IF(Main[[#This Row],[Class]]="B", WORKDAY(Main[[#This Row],[Tech Start Date]],15),IF(Main[[#This Row],[Class]]="A",WORKDAY(Main[[#This Row],[Tech Start Date]],5),""))))</f>
        <v/>
      </c>
      <c r="P362" s="77" t="str">
        <f>IF(Main[[#This Row],[Tech Start Date]]&lt;1/1/1990,"",IF(Main[[#This Row],[Class]]="C",WORKDAY(Main[[#This Row],[Tech Start Date]],28),IF(Main[[#This Row],[Class]]="B", WORKDAY(Main[[#This Row],[Tech Start Date]],19),IF(Main[[#This Row],[Class]]="A",WORKDAY(Main[[#This Row],[Tech Start Date]],9),""))))</f>
        <v/>
      </c>
      <c r="Q362" s="74">
        <v>40613</v>
      </c>
      <c r="R362" s="74"/>
      <c r="S362" s="72" t="s">
        <v>6</v>
      </c>
      <c r="T362" s="80" t="s">
        <v>4</v>
      </c>
      <c r="U362" s="72" t="s">
        <v>29</v>
      </c>
      <c r="V362" s="72" t="s">
        <v>1932</v>
      </c>
      <c r="W362" s="72" t="s">
        <v>1934</v>
      </c>
      <c r="X362" s="72" t="s">
        <v>2902</v>
      </c>
      <c r="Y362" s="72" t="s">
        <v>3016</v>
      </c>
      <c r="Z362" s="72" t="s">
        <v>129</v>
      </c>
      <c r="AA362" s="147" t="s">
        <v>2902</v>
      </c>
    </row>
    <row r="363" spans="1:27" ht="18.600000000000001" customHeight="1">
      <c r="A363" s="140" t="str">
        <f>IF(priority(Main[[#This Row],[Comments]])&lt;&gt;0, priority(Main[[#This Row],[Comments]]),"")</f>
        <v/>
      </c>
      <c r="B363" s="90" t="s">
        <v>1242</v>
      </c>
      <c r="C363" s="72" t="s">
        <v>4</v>
      </c>
      <c r="D363" s="73" t="s">
        <v>293</v>
      </c>
      <c r="E363" s="74">
        <v>40379.350532407407</v>
      </c>
      <c r="F363" s="74"/>
      <c r="G363" s="75" t="str">
        <f>IF(stdProdLT(Main[[#This Row],[Comments]])=0.1,"N/A",IF(stdProdLT(Main[[#This Row],[Comments]])=0,"",stdProdLT(Main[[#This Row],[Comments]])))</f>
        <v/>
      </c>
      <c r="H363" s="76" t="str">
        <f>IF(AND(Main[[#This Row],[In Stock Date]]&lt;&gt;"",Main[[#This Row],[Revised Due Date]]&lt;&gt;""),Main[[#This Row],[In Stock Date]]-Main[[#This Row],[Revised Due Date]],"")</f>
        <v/>
      </c>
      <c r="I363" s="72" t="s">
        <v>4</v>
      </c>
      <c r="J363" s="72" t="s">
        <v>28</v>
      </c>
      <c r="K363" s="81" t="s">
        <v>4</v>
      </c>
      <c r="L363" s="74"/>
      <c r="M363" s="77" t="str">
        <f>IF(Main[[#This Row],[Tech Start Date]]&lt;1/1/1990,"",IF(Main[[#This Row],[Class]]="C",WORKDAY(Main[[#This Row],[Tech Start Date]],9),IF(Main[[#This Row],[Class]]="B", WORKDAY(Main[[#This Row],[Tech Start Date]],6),IF(Main[[#This Row],[Class]]="A",WORKDAY(Main[[#This Row],[Tech Start Date]],2),""))))</f>
        <v/>
      </c>
      <c r="N363" s="77" t="str">
        <f>IF(Main[[#This Row],[Tech Start Date]]&lt;1/1/1990,"",IF(Main[[#This Row],[Class]]="C",WORKDAY(Main[[#This Row],[Tech Start Date]],19),IF(Main[[#This Row],[Class]]="B", WORKDAY(Main[[#This Row],[Tech Start Date]],12),IF(Main[[#This Row],[Class]]="A",WORKDAY(Main[[#This Row],[Tech Start Date]],4),""))))</f>
        <v/>
      </c>
      <c r="O363" s="77" t="str">
        <f>IF(Main[[#This Row],[Tech Start Date]]&lt;1/1/1990,"",IF(Main[[#This Row],[Class]]="C",WORKDAY(Main[[#This Row],[Tech Start Date]],23),IF(Main[[#This Row],[Class]]="B", WORKDAY(Main[[#This Row],[Tech Start Date]],15),IF(Main[[#This Row],[Class]]="A",WORKDAY(Main[[#This Row],[Tech Start Date]],5),""))))</f>
        <v/>
      </c>
      <c r="P363" s="77" t="str">
        <f>IF(Main[[#This Row],[Tech Start Date]]&lt;1/1/1990,"",IF(Main[[#This Row],[Class]]="C",WORKDAY(Main[[#This Row],[Tech Start Date]],28),IF(Main[[#This Row],[Class]]="B", WORKDAY(Main[[#This Row],[Tech Start Date]],19),IF(Main[[#This Row],[Class]]="A",WORKDAY(Main[[#This Row],[Tech Start Date]],9),""))))</f>
        <v/>
      </c>
      <c r="Q363" s="74">
        <v>40413</v>
      </c>
      <c r="R363" s="74"/>
      <c r="S363" s="72" t="s">
        <v>6</v>
      </c>
      <c r="T363" s="80" t="s">
        <v>4</v>
      </c>
      <c r="U363" s="72" t="s">
        <v>7</v>
      </c>
      <c r="V363" s="72" t="s">
        <v>1932</v>
      </c>
      <c r="W363" s="72" t="s">
        <v>1934</v>
      </c>
      <c r="X363" s="72" t="s">
        <v>2902</v>
      </c>
      <c r="Y363" s="72" t="s">
        <v>3016</v>
      </c>
      <c r="Z363" s="72" t="s">
        <v>129</v>
      </c>
      <c r="AA363" s="147" t="s">
        <v>2902</v>
      </c>
    </row>
    <row r="364" spans="1:27" ht="18.600000000000001" customHeight="1">
      <c r="A364" s="140" t="str">
        <f>IF(priority(Main[[#This Row],[Comments]])&lt;&gt;0, priority(Main[[#This Row],[Comments]]),"")</f>
        <v/>
      </c>
      <c r="B364" s="90" t="s">
        <v>1243</v>
      </c>
      <c r="C364" s="72" t="s">
        <v>294</v>
      </c>
      <c r="D364" s="73" t="s">
        <v>295</v>
      </c>
      <c r="E364" s="74"/>
      <c r="F364" s="74"/>
      <c r="G364" s="75" t="str">
        <f>IF(stdProdLT(Main[[#This Row],[Comments]])=0.1,"N/A",IF(stdProdLT(Main[[#This Row],[Comments]])=0,"",stdProdLT(Main[[#This Row],[Comments]])))</f>
        <v/>
      </c>
      <c r="H364" s="76" t="str">
        <f>IF(AND(Main[[#This Row],[In Stock Date]]&lt;&gt;"",Main[[#This Row],[Revised Due Date]]&lt;&gt;""),Main[[#This Row],[In Stock Date]]-Main[[#This Row],[Revised Due Date]],"")</f>
        <v/>
      </c>
      <c r="I364" s="72" t="s">
        <v>4</v>
      </c>
      <c r="J364" s="72" t="s">
        <v>4</v>
      </c>
      <c r="K364" s="72" t="s">
        <v>4</v>
      </c>
      <c r="L364" s="74"/>
      <c r="M364" s="77" t="str">
        <f>IF(Main[[#This Row],[Tech Start Date]]&lt;1/1/1990,"",IF(Main[[#This Row],[Class]]="C",WORKDAY(Main[[#This Row],[Tech Start Date]],9),IF(Main[[#This Row],[Class]]="B", WORKDAY(Main[[#This Row],[Tech Start Date]],6),IF(Main[[#This Row],[Class]]="A",WORKDAY(Main[[#This Row],[Tech Start Date]],2),""))))</f>
        <v/>
      </c>
      <c r="N364" s="77" t="str">
        <f>IF(Main[[#This Row],[Tech Start Date]]&lt;1/1/1990,"",IF(Main[[#This Row],[Class]]="C",WORKDAY(Main[[#This Row],[Tech Start Date]],19),IF(Main[[#This Row],[Class]]="B", WORKDAY(Main[[#This Row],[Tech Start Date]],12),IF(Main[[#This Row],[Class]]="A",WORKDAY(Main[[#This Row],[Tech Start Date]],4),""))))</f>
        <v/>
      </c>
      <c r="O364" s="77" t="str">
        <f>IF(Main[[#This Row],[Tech Start Date]]&lt;1/1/1990,"",IF(Main[[#This Row],[Class]]="C",WORKDAY(Main[[#This Row],[Tech Start Date]],23),IF(Main[[#This Row],[Class]]="B", WORKDAY(Main[[#This Row],[Tech Start Date]],15),IF(Main[[#This Row],[Class]]="A",WORKDAY(Main[[#This Row],[Tech Start Date]],5),""))))</f>
        <v/>
      </c>
      <c r="P364" s="77" t="str">
        <f>IF(Main[[#This Row],[Tech Start Date]]&lt;1/1/1990,"",IF(Main[[#This Row],[Class]]="C",WORKDAY(Main[[#This Row],[Tech Start Date]],28),IF(Main[[#This Row],[Class]]="B", WORKDAY(Main[[#This Row],[Tech Start Date]],19),IF(Main[[#This Row],[Class]]="A",WORKDAY(Main[[#This Row],[Tech Start Date]],9),""))))</f>
        <v/>
      </c>
      <c r="Q364" s="74">
        <v>40052</v>
      </c>
      <c r="R364" s="74"/>
      <c r="S364" s="72" t="s">
        <v>11</v>
      </c>
      <c r="T364" s="80" t="s">
        <v>4</v>
      </c>
      <c r="U364" s="72" t="s">
        <v>14</v>
      </c>
      <c r="V364" s="72" t="s">
        <v>1935</v>
      </c>
      <c r="W364" s="72" t="s">
        <v>1934</v>
      </c>
      <c r="X364" s="72" t="s">
        <v>2918</v>
      </c>
      <c r="Y364" s="72" t="s">
        <v>4</v>
      </c>
      <c r="Z364" s="72" t="s">
        <v>4</v>
      </c>
      <c r="AA364" s="147" t="s">
        <v>2918</v>
      </c>
    </row>
    <row r="365" spans="1:27" ht="18.600000000000001" customHeight="1">
      <c r="A365" s="140" t="str">
        <f>IF(priority(Main[[#This Row],[Comments]])&lt;&gt;0, priority(Main[[#This Row],[Comments]]),"")</f>
        <v/>
      </c>
      <c r="B365" s="90" t="s">
        <v>2760</v>
      </c>
      <c r="C365" s="72" t="s">
        <v>2761</v>
      </c>
      <c r="D365" s="73" t="s">
        <v>2762</v>
      </c>
      <c r="E365" s="74"/>
      <c r="F365" s="74">
        <v>40900</v>
      </c>
      <c r="G365" s="75" t="str">
        <f>IF(stdProdLT(Main[[#This Row],[Comments]])=0.1,"N/A",IF(stdProdLT(Main[[#This Row],[Comments]])=0,"",stdProdLT(Main[[#This Row],[Comments]])))</f>
        <v/>
      </c>
      <c r="H365" s="76" t="str">
        <f>IF(AND(Main[[#This Row],[In Stock Date]]&lt;&gt;"",Main[[#This Row],[Revised Due Date]]&lt;&gt;""),Main[[#This Row],[In Stock Date]]-Main[[#This Row],[Revised Due Date]],"")</f>
        <v/>
      </c>
      <c r="I365" s="72" t="s">
        <v>4</v>
      </c>
      <c r="J365" s="72" t="s">
        <v>4</v>
      </c>
      <c r="K365" s="72" t="s">
        <v>4</v>
      </c>
      <c r="L365" s="74"/>
      <c r="M365" s="77" t="str">
        <f>IF(Main[[#This Row],[Tech Start Date]]&lt;1/1/1990,"",IF(Main[[#This Row],[Class]]="C",WORKDAY(Main[[#This Row],[Tech Start Date]],9),IF(Main[[#This Row],[Class]]="B", WORKDAY(Main[[#This Row],[Tech Start Date]],6),IF(Main[[#This Row],[Class]]="A",WORKDAY(Main[[#This Row],[Tech Start Date]],2),""))))</f>
        <v/>
      </c>
      <c r="N365" s="77" t="str">
        <f>IF(Main[[#This Row],[Tech Start Date]]&lt;1/1/1990,"",IF(Main[[#This Row],[Class]]="C",WORKDAY(Main[[#This Row],[Tech Start Date]],19),IF(Main[[#This Row],[Class]]="B", WORKDAY(Main[[#This Row],[Tech Start Date]],12),IF(Main[[#This Row],[Class]]="A",WORKDAY(Main[[#This Row],[Tech Start Date]],4),""))))</f>
        <v/>
      </c>
      <c r="O365" s="77" t="str">
        <f>IF(Main[[#This Row],[Tech Start Date]]&lt;1/1/1990,"",IF(Main[[#This Row],[Class]]="C",WORKDAY(Main[[#This Row],[Tech Start Date]],23),IF(Main[[#This Row],[Class]]="B", WORKDAY(Main[[#This Row],[Tech Start Date]],15),IF(Main[[#This Row],[Class]]="A",WORKDAY(Main[[#This Row],[Tech Start Date]],5),""))))</f>
        <v/>
      </c>
      <c r="P365" s="77" t="str">
        <f>IF(Main[[#This Row],[Tech Start Date]]&lt;1/1/1990,"",IF(Main[[#This Row],[Class]]="C",WORKDAY(Main[[#This Row],[Tech Start Date]],28),IF(Main[[#This Row],[Class]]="B", WORKDAY(Main[[#This Row],[Tech Start Date]],19),IF(Main[[#This Row],[Class]]="A",WORKDAY(Main[[#This Row],[Tech Start Date]],9),""))))</f>
        <v/>
      </c>
      <c r="Q365" s="74">
        <v>40899</v>
      </c>
      <c r="R365" s="74"/>
      <c r="S365" s="72" t="s">
        <v>11</v>
      </c>
      <c r="T365" s="80" t="s">
        <v>4</v>
      </c>
      <c r="U365" s="72" t="s">
        <v>14</v>
      </c>
      <c r="V365" s="72" t="s">
        <v>1935</v>
      </c>
      <c r="W365" s="72" t="s">
        <v>1938</v>
      </c>
      <c r="X365" s="72" t="s">
        <v>2954</v>
      </c>
      <c r="Y365" s="72" t="s">
        <v>3103</v>
      </c>
      <c r="Z365" s="72" t="s">
        <v>4</v>
      </c>
      <c r="AA365" s="147" t="s">
        <v>2954</v>
      </c>
    </row>
    <row r="366" spans="1:27" ht="18.600000000000001" customHeight="1">
      <c r="A366" s="140" t="str">
        <f>IF(priority(Main[[#This Row],[Comments]])&lt;&gt;0, priority(Main[[#This Row],[Comments]]),"")</f>
        <v/>
      </c>
      <c r="B366" s="90" t="s">
        <v>3492</v>
      </c>
      <c r="C366" s="72" t="s">
        <v>4</v>
      </c>
      <c r="D366" s="73" t="s">
        <v>3493</v>
      </c>
      <c r="E366" s="74">
        <v>40939.635509259257</v>
      </c>
      <c r="F366" s="74"/>
      <c r="G366" s="75" t="str">
        <f>IF(stdProdLT(Main[[#This Row],[Comments]])=0.1,"N/A",IF(stdProdLT(Main[[#This Row],[Comments]])=0,"",stdProdLT(Main[[#This Row],[Comments]])))</f>
        <v/>
      </c>
      <c r="H366" s="76" t="str">
        <f>IF(AND(Main[[#This Row],[In Stock Date]]&lt;&gt;"",Main[[#This Row],[Revised Due Date]]&lt;&gt;""),Main[[#This Row],[In Stock Date]]-Main[[#This Row],[Revised Due Date]],"")</f>
        <v/>
      </c>
      <c r="I366" s="72" t="s">
        <v>4</v>
      </c>
      <c r="J366" s="72" t="s">
        <v>4</v>
      </c>
      <c r="K366" s="72" t="s">
        <v>4</v>
      </c>
      <c r="L366" s="74"/>
      <c r="M366" s="77" t="str">
        <f>IF(Main[[#This Row],[Tech Start Date]]&lt;1/1/1990,"",IF(Main[[#This Row],[Class]]="C",WORKDAY(Main[[#This Row],[Tech Start Date]],9),IF(Main[[#This Row],[Class]]="B", WORKDAY(Main[[#This Row],[Tech Start Date]],6),IF(Main[[#This Row],[Class]]="A",WORKDAY(Main[[#This Row],[Tech Start Date]],2),""))))</f>
        <v/>
      </c>
      <c r="N366" s="77" t="str">
        <f>IF(Main[[#This Row],[Tech Start Date]]&lt;1/1/1990,"",IF(Main[[#This Row],[Class]]="C",WORKDAY(Main[[#This Row],[Tech Start Date]],19),IF(Main[[#This Row],[Class]]="B", WORKDAY(Main[[#This Row],[Tech Start Date]],12),IF(Main[[#This Row],[Class]]="A",WORKDAY(Main[[#This Row],[Tech Start Date]],4),""))))</f>
        <v/>
      </c>
      <c r="O366" s="77" t="str">
        <f>IF(Main[[#This Row],[Tech Start Date]]&lt;1/1/1990,"",IF(Main[[#This Row],[Class]]="C",WORKDAY(Main[[#This Row],[Tech Start Date]],23),IF(Main[[#This Row],[Class]]="B", WORKDAY(Main[[#This Row],[Tech Start Date]],15),IF(Main[[#This Row],[Class]]="A",WORKDAY(Main[[#This Row],[Tech Start Date]],5),""))))</f>
        <v/>
      </c>
      <c r="P366" s="77" t="str">
        <f>IF(Main[[#This Row],[Tech Start Date]]&lt;1/1/1990,"",IF(Main[[#This Row],[Class]]="C",WORKDAY(Main[[#This Row],[Tech Start Date]],28),IF(Main[[#This Row],[Class]]="B", WORKDAY(Main[[#This Row],[Tech Start Date]],19),IF(Main[[#This Row],[Class]]="A",WORKDAY(Main[[#This Row],[Tech Start Date]],9),""))))</f>
        <v/>
      </c>
      <c r="Q366" s="74"/>
      <c r="R366" s="155"/>
      <c r="S366" s="72" t="s">
        <v>6</v>
      </c>
      <c r="T366" s="80" t="s">
        <v>4</v>
      </c>
      <c r="U366" s="72" t="s">
        <v>7</v>
      </c>
      <c r="V366" s="72" t="s">
        <v>1947</v>
      </c>
      <c r="W366" s="72" t="s">
        <v>1936</v>
      </c>
      <c r="X366" s="72" t="s">
        <v>310</v>
      </c>
      <c r="Y366" s="72" t="s">
        <v>4</v>
      </c>
      <c r="Z366" s="72" t="s">
        <v>4</v>
      </c>
      <c r="AA366" s="147" t="s">
        <v>4</v>
      </c>
    </row>
    <row r="367" spans="1:27" ht="18.600000000000001" customHeight="1">
      <c r="A367" s="140" t="str">
        <f>IF(priority(Main[[#This Row],[Comments]])&lt;&gt;0, priority(Main[[#This Row],[Comments]]),"")</f>
        <v/>
      </c>
      <c r="B367" s="90" t="s">
        <v>2394</v>
      </c>
      <c r="C367" s="72" t="s">
        <v>4</v>
      </c>
      <c r="D367" s="73" t="s">
        <v>2395</v>
      </c>
      <c r="E367" s="74"/>
      <c r="F367" s="74"/>
      <c r="G367" s="75" t="str">
        <f>IF(stdProdLT(Main[[#This Row],[Comments]])=0.1,"N/A",IF(stdProdLT(Main[[#This Row],[Comments]])=0,"",stdProdLT(Main[[#This Row],[Comments]])))</f>
        <v/>
      </c>
      <c r="H367" s="76" t="str">
        <f>IF(AND(Main[[#This Row],[In Stock Date]]&lt;&gt;"",Main[[#This Row],[Revised Due Date]]&lt;&gt;""),Main[[#This Row],[In Stock Date]]-Main[[#This Row],[Revised Due Date]],"")</f>
        <v/>
      </c>
      <c r="I367" s="72" t="s">
        <v>4</v>
      </c>
      <c r="J367" s="72" t="s">
        <v>4</v>
      </c>
      <c r="K367" s="81" t="s">
        <v>4</v>
      </c>
      <c r="L367" s="74"/>
      <c r="M367" s="77" t="str">
        <f>IF(Main[[#This Row],[Tech Start Date]]&lt;1/1/1990,"",IF(Main[[#This Row],[Class]]="C",WORKDAY(Main[[#This Row],[Tech Start Date]],9),IF(Main[[#This Row],[Class]]="B", WORKDAY(Main[[#This Row],[Tech Start Date]],6),IF(Main[[#This Row],[Class]]="A",WORKDAY(Main[[#This Row],[Tech Start Date]],2),""))))</f>
        <v/>
      </c>
      <c r="N367" s="77" t="str">
        <f>IF(Main[[#This Row],[Tech Start Date]]&lt;1/1/1990,"",IF(Main[[#This Row],[Class]]="C",WORKDAY(Main[[#This Row],[Tech Start Date]],19),IF(Main[[#This Row],[Class]]="B", WORKDAY(Main[[#This Row],[Tech Start Date]],12),IF(Main[[#This Row],[Class]]="A",WORKDAY(Main[[#This Row],[Tech Start Date]],4),""))))</f>
        <v/>
      </c>
      <c r="O367" s="77" t="str">
        <f>IF(Main[[#This Row],[Tech Start Date]]&lt;1/1/1990,"",IF(Main[[#This Row],[Class]]="C",WORKDAY(Main[[#This Row],[Tech Start Date]],23),IF(Main[[#This Row],[Class]]="B", WORKDAY(Main[[#This Row],[Tech Start Date]],15),IF(Main[[#This Row],[Class]]="A",WORKDAY(Main[[#This Row],[Tech Start Date]],5),""))))</f>
        <v/>
      </c>
      <c r="P367" s="77" t="str">
        <f>IF(Main[[#This Row],[Tech Start Date]]&lt;1/1/1990,"",IF(Main[[#This Row],[Class]]="C",WORKDAY(Main[[#This Row],[Tech Start Date]],28),IF(Main[[#This Row],[Class]]="B", WORKDAY(Main[[#This Row],[Tech Start Date]],19),IF(Main[[#This Row],[Class]]="A",WORKDAY(Main[[#This Row],[Tech Start Date]],9),""))))</f>
        <v/>
      </c>
      <c r="Q367" s="74"/>
      <c r="R367" s="74"/>
      <c r="S367" s="72" t="s">
        <v>11</v>
      </c>
      <c r="T367" s="80" t="s">
        <v>4</v>
      </c>
      <c r="U367" s="72" t="s">
        <v>14</v>
      </c>
      <c r="V367" s="72" t="s">
        <v>1933</v>
      </c>
      <c r="W367" s="72" t="s">
        <v>4</v>
      </c>
      <c r="X367" s="72" t="s">
        <v>2278</v>
      </c>
      <c r="Y367" s="72" t="s">
        <v>4</v>
      </c>
      <c r="Z367" s="72" t="s">
        <v>4</v>
      </c>
      <c r="AA367" s="147" t="s">
        <v>4</v>
      </c>
    </row>
    <row r="368" spans="1:27" ht="18.600000000000001" customHeight="1">
      <c r="A368" s="140" t="str">
        <f>IF(priority(Main[[#This Row],[Comments]])&lt;&gt;0, priority(Main[[#This Row],[Comments]]),"")</f>
        <v/>
      </c>
      <c r="B368" s="90" t="s">
        <v>3494</v>
      </c>
      <c r="C368" s="72" t="s">
        <v>4</v>
      </c>
      <c r="D368" s="73" t="s">
        <v>3495</v>
      </c>
      <c r="E368" s="74">
        <v>40938.460057870368</v>
      </c>
      <c r="F368" s="74"/>
      <c r="G368" s="75" t="str">
        <f>IF(stdProdLT(Main[[#This Row],[Comments]])=0.1,"N/A",IF(stdProdLT(Main[[#This Row],[Comments]])=0,"",stdProdLT(Main[[#This Row],[Comments]])))</f>
        <v/>
      </c>
      <c r="H368" s="76" t="str">
        <f>IF(AND(Main[[#This Row],[In Stock Date]]&lt;&gt;"",Main[[#This Row],[Revised Due Date]]&lt;&gt;""),Main[[#This Row],[In Stock Date]]-Main[[#This Row],[Revised Due Date]],"")</f>
        <v/>
      </c>
      <c r="I368" s="72" t="s">
        <v>4</v>
      </c>
      <c r="J368" s="72" t="s">
        <v>4</v>
      </c>
      <c r="K368" s="72" t="s">
        <v>4</v>
      </c>
      <c r="L368" s="74"/>
      <c r="M368" s="77" t="str">
        <f>IF(Main[[#This Row],[Tech Start Date]]&lt;1/1/1990,"",IF(Main[[#This Row],[Class]]="C",WORKDAY(Main[[#This Row],[Tech Start Date]],9),IF(Main[[#This Row],[Class]]="B", WORKDAY(Main[[#This Row],[Tech Start Date]],6),IF(Main[[#This Row],[Class]]="A",WORKDAY(Main[[#This Row],[Tech Start Date]],2),""))))</f>
        <v/>
      </c>
      <c r="N368" s="77" t="str">
        <f>IF(Main[[#This Row],[Tech Start Date]]&lt;1/1/1990,"",IF(Main[[#This Row],[Class]]="C",WORKDAY(Main[[#This Row],[Tech Start Date]],19),IF(Main[[#This Row],[Class]]="B", WORKDAY(Main[[#This Row],[Tech Start Date]],12),IF(Main[[#This Row],[Class]]="A",WORKDAY(Main[[#This Row],[Tech Start Date]],4),""))))</f>
        <v/>
      </c>
      <c r="O368" s="77" t="str">
        <f>IF(Main[[#This Row],[Tech Start Date]]&lt;1/1/1990,"",IF(Main[[#This Row],[Class]]="C",WORKDAY(Main[[#This Row],[Tech Start Date]],23),IF(Main[[#This Row],[Class]]="B", WORKDAY(Main[[#This Row],[Tech Start Date]],15),IF(Main[[#This Row],[Class]]="A",WORKDAY(Main[[#This Row],[Tech Start Date]],5),""))))</f>
        <v/>
      </c>
      <c r="P368" s="77" t="str">
        <f>IF(Main[[#This Row],[Tech Start Date]]&lt;1/1/1990,"",IF(Main[[#This Row],[Class]]="C",WORKDAY(Main[[#This Row],[Tech Start Date]],28),IF(Main[[#This Row],[Class]]="B", WORKDAY(Main[[#This Row],[Tech Start Date]],19),IF(Main[[#This Row],[Class]]="A",WORKDAY(Main[[#This Row],[Tech Start Date]],9),""))))</f>
        <v/>
      </c>
      <c r="Q368" s="74"/>
      <c r="R368" s="74"/>
      <c r="S368" s="72" t="s">
        <v>6</v>
      </c>
      <c r="T368" s="80" t="s">
        <v>4</v>
      </c>
      <c r="U368" s="72" t="s">
        <v>7</v>
      </c>
      <c r="V368" s="72" t="s">
        <v>1947</v>
      </c>
      <c r="W368" s="72" t="s">
        <v>1936</v>
      </c>
      <c r="X368" s="72" t="s">
        <v>933</v>
      </c>
      <c r="Y368" s="72" t="s">
        <v>3069</v>
      </c>
      <c r="Z368" s="72" t="s">
        <v>4</v>
      </c>
      <c r="AA368" s="147" t="s">
        <v>933</v>
      </c>
    </row>
    <row r="369" spans="1:27" ht="18.600000000000001" customHeight="1">
      <c r="A369" s="140" t="str">
        <f>IF(priority(Main[[#This Row],[Comments]])&lt;&gt;0, priority(Main[[#This Row],[Comments]]),"")</f>
        <v/>
      </c>
      <c r="B369" s="90" t="s">
        <v>1854</v>
      </c>
      <c r="C369" s="72" t="s">
        <v>902</v>
      </c>
      <c r="D369" s="73" t="s">
        <v>903</v>
      </c>
      <c r="E369" s="74"/>
      <c r="F369" s="74"/>
      <c r="G369" s="75" t="str">
        <f>IF(stdProdLT(Main[[#This Row],[Comments]])=0.1,"N/A",IF(stdProdLT(Main[[#This Row],[Comments]])=0,"",stdProdLT(Main[[#This Row],[Comments]])))</f>
        <v/>
      </c>
      <c r="H369" s="76" t="str">
        <f>IF(AND(Main[[#This Row],[In Stock Date]]&lt;&gt;"",Main[[#This Row],[Revised Due Date]]&lt;&gt;""),Main[[#This Row],[In Stock Date]]-Main[[#This Row],[Revised Due Date]],"")</f>
        <v/>
      </c>
      <c r="I369" s="72" t="s">
        <v>4</v>
      </c>
      <c r="J369" s="72" t="s">
        <v>4</v>
      </c>
      <c r="K369" s="72" t="s">
        <v>1945</v>
      </c>
      <c r="L369" s="74"/>
      <c r="M369" s="77" t="str">
        <f>IF(Main[[#This Row],[Tech Start Date]]&lt;1/1/1990,"",IF(Main[[#This Row],[Class]]="C",WORKDAY(Main[[#This Row],[Tech Start Date]],9),IF(Main[[#This Row],[Class]]="B", WORKDAY(Main[[#This Row],[Tech Start Date]],6),IF(Main[[#This Row],[Class]]="A",WORKDAY(Main[[#This Row],[Tech Start Date]],2),""))))</f>
        <v/>
      </c>
      <c r="N369" s="77" t="str">
        <f>IF(Main[[#This Row],[Tech Start Date]]&lt;1/1/1990,"",IF(Main[[#This Row],[Class]]="C",WORKDAY(Main[[#This Row],[Tech Start Date]],19),IF(Main[[#This Row],[Class]]="B", WORKDAY(Main[[#This Row],[Tech Start Date]],12),IF(Main[[#This Row],[Class]]="A",WORKDAY(Main[[#This Row],[Tech Start Date]],4),""))))</f>
        <v/>
      </c>
      <c r="O369" s="77" t="str">
        <f>IF(Main[[#This Row],[Tech Start Date]]&lt;1/1/1990,"",IF(Main[[#This Row],[Class]]="C",WORKDAY(Main[[#This Row],[Tech Start Date]],23),IF(Main[[#This Row],[Class]]="B", WORKDAY(Main[[#This Row],[Tech Start Date]],15),IF(Main[[#This Row],[Class]]="A",WORKDAY(Main[[#This Row],[Tech Start Date]],5),""))))</f>
        <v/>
      </c>
      <c r="P369" s="77" t="str">
        <f>IF(Main[[#This Row],[Tech Start Date]]&lt;1/1/1990,"",IF(Main[[#This Row],[Class]]="C",WORKDAY(Main[[#This Row],[Tech Start Date]],28),IF(Main[[#This Row],[Class]]="B", WORKDAY(Main[[#This Row],[Tech Start Date]],19),IF(Main[[#This Row],[Class]]="A",WORKDAY(Main[[#This Row],[Tech Start Date]],9),""))))</f>
        <v/>
      </c>
      <c r="Q369" s="74">
        <v>40436</v>
      </c>
      <c r="R369" s="74">
        <v>40436</v>
      </c>
      <c r="S369" s="72" t="s">
        <v>11</v>
      </c>
      <c r="T369" s="80" t="s">
        <v>4</v>
      </c>
      <c r="U369" s="72" t="s">
        <v>14</v>
      </c>
      <c r="V369" s="72" t="s">
        <v>1933</v>
      </c>
      <c r="W369" s="72" t="s">
        <v>1934</v>
      </c>
      <c r="X369" s="72" t="s">
        <v>2938</v>
      </c>
      <c r="Y369" s="72" t="s">
        <v>4</v>
      </c>
      <c r="Z369" s="72" t="s">
        <v>4</v>
      </c>
      <c r="AA369" s="147" t="s">
        <v>2938</v>
      </c>
    </row>
    <row r="370" spans="1:27" ht="18.600000000000001" customHeight="1">
      <c r="A370" s="140" t="str">
        <f>IF(priority(Main[[#This Row],[Comments]])&lt;&gt;0, priority(Main[[#This Row],[Comments]]),"")</f>
        <v/>
      </c>
      <c r="B370" s="90" t="s">
        <v>1244</v>
      </c>
      <c r="C370" s="72" t="s">
        <v>113</v>
      </c>
      <c r="D370" s="73" t="s">
        <v>296</v>
      </c>
      <c r="E370" s="74"/>
      <c r="F370" s="74">
        <v>40193</v>
      </c>
      <c r="G370" s="75" t="str">
        <f>IF(stdProdLT(Main[[#This Row],[Comments]])=0.1,"N/A",IF(stdProdLT(Main[[#This Row],[Comments]])=0,"",stdProdLT(Main[[#This Row],[Comments]])))</f>
        <v/>
      </c>
      <c r="H370" s="76" t="str">
        <f>IF(AND(Main[[#This Row],[In Stock Date]]&lt;&gt;"",Main[[#This Row],[Revised Due Date]]&lt;&gt;""),Main[[#This Row],[In Stock Date]]-Main[[#This Row],[Revised Due Date]],"")</f>
        <v/>
      </c>
      <c r="I370" s="72" t="s">
        <v>4</v>
      </c>
      <c r="J370" s="72" t="s">
        <v>4</v>
      </c>
      <c r="K370" s="72" t="s">
        <v>4</v>
      </c>
      <c r="L370" s="74"/>
      <c r="M370" s="77" t="str">
        <f>IF(Main[[#This Row],[Tech Start Date]]&lt;1/1/1990,"",IF(Main[[#This Row],[Class]]="C",WORKDAY(Main[[#This Row],[Tech Start Date]],9),IF(Main[[#This Row],[Class]]="B", WORKDAY(Main[[#This Row],[Tech Start Date]],6),IF(Main[[#This Row],[Class]]="A",WORKDAY(Main[[#This Row],[Tech Start Date]],2),""))))</f>
        <v/>
      </c>
      <c r="N370" s="77" t="str">
        <f>IF(Main[[#This Row],[Tech Start Date]]&lt;1/1/1990,"",IF(Main[[#This Row],[Class]]="C",WORKDAY(Main[[#This Row],[Tech Start Date]],19),IF(Main[[#This Row],[Class]]="B", WORKDAY(Main[[#This Row],[Tech Start Date]],12),IF(Main[[#This Row],[Class]]="A",WORKDAY(Main[[#This Row],[Tech Start Date]],4),""))))</f>
        <v/>
      </c>
      <c r="O370" s="77" t="str">
        <f>IF(Main[[#This Row],[Tech Start Date]]&lt;1/1/1990,"",IF(Main[[#This Row],[Class]]="C",WORKDAY(Main[[#This Row],[Tech Start Date]],23),IF(Main[[#This Row],[Class]]="B", WORKDAY(Main[[#This Row],[Tech Start Date]],15),IF(Main[[#This Row],[Class]]="A",WORKDAY(Main[[#This Row],[Tech Start Date]],5),""))))</f>
        <v/>
      </c>
      <c r="P370" s="77" t="str">
        <f>IF(Main[[#This Row],[Tech Start Date]]&lt;1/1/1990,"",IF(Main[[#This Row],[Class]]="C",WORKDAY(Main[[#This Row],[Tech Start Date]],28),IF(Main[[#This Row],[Class]]="B", WORKDAY(Main[[#This Row],[Tech Start Date]],19),IF(Main[[#This Row],[Class]]="A",WORKDAY(Main[[#This Row],[Tech Start Date]],9),""))))</f>
        <v/>
      </c>
      <c r="Q370" s="74"/>
      <c r="R370" s="155"/>
      <c r="S370" s="72" t="s">
        <v>11</v>
      </c>
      <c r="T370" s="80" t="s">
        <v>4</v>
      </c>
      <c r="U370" s="72" t="s">
        <v>14</v>
      </c>
      <c r="V370" s="72" t="s">
        <v>1942</v>
      </c>
      <c r="W370" s="72" t="s">
        <v>1938</v>
      </c>
      <c r="X370" s="72" t="s">
        <v>2928</v>
      </c>
      <c r="Y370" s="72" t="s">
        <v>3064</v>
      </c>
      <c r="Z370" s="72" t="s">
        <v>4</v>
      </c>
      <c r="AA370" s="147" t="s">
        <v>2928</v>
      </c>
    </row>
    <row r="371" spans="1:27" ht="18.600000000000001" customHeight="1">
      <c r="A371" s="140" t="str">
        <f>IF(priority(Main[[#This Row],[Comments]])&lt;&gt;0, priority(Main[[#This Row],[Comments]]),"")</f>
        <v/>
      </c>
      <c r="B371" s="90" t="s">
        <v>1245</v>
      </c>
      <c r="C371" s="72" t="s">
        <v>4</v>
      </c>
      <c r="D371" s="73" t="s">
        <v>297</v>
      </c>
      <c r="E371" s="74"/>
      <c r="F371" s="74"/>
      <c r="G371" s="75" t="str">
        <f>IF(stdProdLT(Main[[#This Row],[Comments]])=0.1,"N/A",IF(stdProdLT(Main[[#This Row],[Comments]])=0,"",stdProdLT(Main[[#This Row],[Comments]])))</f>
        <v/>
      </c>
      <c r="H371" s="76" t="str">
        <f>IF(AND(Main[[#This Row],[In Stock Date]]&lt;&gt;"",Main[[#This Row],[Revised Due Date]]&lt;&gt;""),Main[[#This Row],[In Stock Date]]-Main[[#This Row],[Revised Due Date]],"")</f>
        <v/>
      </c>
      <c r="I371" s="72" t="s">
        <v>4</v>
      </c>
      <c r="J371" s="72" t="s">
        <v>28</v>
      </c>
      <c r="K371" s="72" t="s">
        <v>4</v>
      </c>
      <c r="L371" s="74"/>
      <c r="M371" s="77" t="str">
        <f>IF(Main[[#This Row],[Tech Start Date]]&lt;1/1/1990,"",IF(Main[[#This Row],[Class]]="C",WORKDAY(Main[[#This Row],[Tech Start Date]],9),IF(Main[[#This Row],[Class]]="B", WORKDAY(Main[[#This Row],[Tech Start Date]],6),IF(Main[[#This Row],[Class]]="A",WORKDAY(Main[[#This Row],[Tech Start Date]],2),""))))</f>
        <v/>
      </c>
      <c r="N371" s="77" t="str">
        <f>IF(Main[[#This Row],[Tech Start Date]]&lt;1/1/1990,"",IF(Main[[#This Row],[Class]]="C",WORKDAY(Main[[#This Row],[Tech Start Date]],19),IF(Main[[#This Row],[Class]]="B", WORKDAY(Main[[#This Row],[Tech Start Date]],12),IF(Main[[#This Row],[Class]]="A",WORKDAY(Main[[#This Row],[Tech Start Date]],4),""))))</f>
        <v/>
      </c>
      <c r="O371" s="77" t="str">
        <f>IF(Main[[#This Row],[Tech Start Date]]&lt;1/1/1990,"",IF(Main[[#This Row],[Class]]="C",WORKDAY(Main[[#This Row],[Tech Start Date]],23),IF(Main[[#This Row],[Class]]="B", WORKDAY(Main[[#This Row],[Tech Start Date]],15),IF(Main[[#This Row],[Class]]="A",WORKDAY(Main[[#This Row],[Tech Start Date]],5),""))))</f>
        <v/>
      </c>
      <c r="P371" s="77" t="str">
        <f>IF(Main[[#This Row],[Tech Start Date]]&lt;1/1/1990,"",IF(Main[[#This Row],[Class]]="C",WORKDAY(Main[[#This Row],[Tech Start Date]],28),IF(Main[[#This Row],[Class]]="B", WORKDAY(Main[[#This Row],[Tech Start Date]],19),IF(Main[[#This Row],[Class]]="A",WORKDAY(Main[[#This Row],[Tech Start Date]],9),""))))</f>
        <v/>
      </c>
      <c r="Q371" s="74">
        <v>40471</v>
      </c>
      <c r="R371" s="74"/>
      <c r="S371" s="72" t="s">
        <v>6</v>
      </c>
      <c r="T371" s="80" t="s">
        <v>4</v>
      </c>
      <c r="U371" s="72" t="s">
        <v>14</v>
      </c>
      <c r="V371" s="72" t="s">
        <v>1942</v>
      </c>
      <c r="W371" s="72" t="s">
        <v>1934</v>
      </c>
      <c r="X371" s="72" t="s">
        <v>2931</v>
      </c>
      <c r="Y371" s="72" t="s">
        <v>3065</v>
      </c>
      <c r="Z371" s="72" t="s">
        <v>535</v>
      </c>
      <c r="AA371" s="147" t="s">
        <v>2931</v>
      </c>
    </row>
    <row r="372" spans="1:27" ht="18.600000000000001" customHeight="1">
      <c r="A372" s="140" t="str">
        <f>IF(priority(Main[[#This Row],[Comments]])&lt;&gt;0, priority(Main[[#This Row],[Comments]]),"")</f>
        <v/>
      </c>
      <c r="B372" s="90" t="s">
        <v>1246</v>
      </c>
      <c r="C372" s="72" t="s">
        <v>4</v>
      </c>
      <c r="D372" s="73" t="s">
        <v>97</v>
      </c>
      <c r="E372" s="74"/>
      <c r="F372" s="74"/>
      <c r="G372" s="75" t="str">
        <f>IF(stdProdLT(Main[[#This Row],[Comments]])=0.1,"N/A",IF(stdProdLT(Main[[#This Row],[Comments]])=0,"",stdProdLT(Main[[#This Row],[Comments]])))</f>
        <v/>
      </c>
      <c r="H372" s="76" t="str">
        <f>IF(AND(Main[[#This Row],[In Stock Date]]&lt;&gt;"",Main[[#This Row],[Revised Due Date]]&lt;&gt;""),Main[[#This Row],[In Stock Date]]-Main[[#This Row],[Revised Due Date]],"")</f>
        <v/>
      </c>
      <c r="I372" s="72" t="s">
        <v>4</v>
      </c>
      <c r="J372" s="72" t="s">
        <v>4</v>
      </c>
      <c r="K372" s="72" t="s">
        <v>4</v>
      </c>
      <c r="L372" s="74"/>
      <c r="M372" s="77" t="str">
        <f>IF(Main[[#This Row],[Tech Start Date]]&lt;1/1/1990,"",IF(Main[[#This Row],[Class]]="C",WORKDAY(Main[[#This Row],[Tech Start Date]],9),IF(Main[[#This Row],[Class]]="B", WORKDAY(Main[[#This Row],[Tech Start Date]],6),IF(Main[[#This Row],[Class]]="A",WORKDAY(Main[[#This Row],[Tech Start Date]],2),""))))</f>
        <v/>
      </c>
      <c r="N372" s="77" t="str">
        <f>IF(Main[[#This Row],[Tech Start Date]]&lt;1/1/1990,"",IF(Main[[#This Row],[Class]]="C",WORKDAY(Main[[#This Row],[Tech Start Date]],19),IF(Main[[#This Row],[Class]]="B", WORKDAY(Main[[#This Row],[Tech Start Date]],12),IF(Main[[#This Row],[Class]]="A",WORKDAY(Main[[#This Row],[Tech Start Date]],4),""))))</f>
        <v/>
      </c>
      <c r="O372" s="77" t="str">
        <f>IF(Main[[#This Row],[Tech Start Date]]&lt;1/1/1990,"",IF(Main[[#This Row],[Class]]="C",WORKDAY(Main[[#This Row],[Tech Start Date]],23),IF(Main[[#This Row],[Class]]="B", WORKDAY(Main[[#This Row],[Tech Start Date]],15),IF(Main[[#This Row],[Class]]="A",WORKDAY(Main[[#This Row],[Tech Start Date]],5),""))))</f>
        <v/>
      </c>
      <c r="P372" s="77" t="str">
        <f>IF(Main[[#This Row],[Tech Start Date]]&lt;1/1/1990,"",IF(Main[[#This Row],[Class]]="C",WORKDAY(Main[[#This Row],[Tech Start Date]],28),IF(Main[[#This Row],[Class]]="B", WORKDAY(Main[[#This Row],[Tech Start Date]],19),IF(Main[[#This Row],[Class]]="A",WORKDAY(Main[[#This Row],[Tech Start Date]],9),""))))</f>
        <v/>
      </c>
      <c r="Q372" s="74">
        <v>40858</v>
      </c>
      <c r="R372" s="74"/>
      <c r="S372" s="72" t="s">
        <v>17</v>
      </c>
      <c r="T372" s="80" t="s">
        <v>4</v>
      </c>
      <c r="U372" s="72" t="s">
        <v>14</v>
      </c>
      <c r="V372" s="72" t="s">
        <v>1932</v>
      </c>
      <c r="W372" s="72" t="s">
        <v>1937</v>
      </c>
      <c r="X372" s="72" t="s">
        <v>50</v>
      </c>
      <c r="Y372" s="72" t="s">
        <v>3046</v>
      </c>
      <c r="Z372" s="72" t="s">
        <v>4</v>
      </c>
      <c r="AA372" s="147" t="s">
        <v>2912</v>
      </c>
    </row>
    <row r="373" spans="1:27" ht="18.600000000000001" customHeight="1">
      <c r="A373" s="140" t="str">
        <f>IF(priority(Main[[#This Row],[Comments]])&lt;&gt;0, priority(Main[[#This Row],[Comments]]),"")</f>
        <v/>
      </c>
      <c r="B373" s="90" t="s">
        <v>1248</v>
      </c>
      <c r="C373" s="72" t="s">
        <v>4</v>
      </c>
      <c r="D373" s="73" t="s">
        <v>299</v>
      </c>
      <c r="E373" s="74"/>
      <c r="F373" s="74"/>
      <c r="G373" s="75" t="str">
        <f>IF(stdProdLT(Main[[#This Row],[Comments]])=0.1,"N/A",IF(stdProdLT(Main[[#This Row],[Comments]])=0,"",stdProdLT(Main[[#This Row],[Comments]])))</f>
        <v/>
      </c>
      <c r="H373" s="76" t="str">
        <f>IF(AND(Main[[#This Row],[In Stock Date]]&lt;&gt;"",Main[[#This Row],[Revised Due Date]]&lt;&gt;""),Main[[#This Row],[In Stock Date]]-Main[[#This Row],[Revised Due Date]],"")</f>
        <v/>
      </c>
      <c r="I373" s="72" t="s">
        <v>4</v>
      </c>
      <c r="J373" s="72" t="s">
        <v>28</v>
      </c>
      <c r="K373" s="72" t="s">
        <v>4</v>
      </c>
      <c r="L373" s="74"/>
      <c r="M373" s="77" t="str">
        <f>IF(Main[[#This Row],[Tech Start Date]]&lt;1/1/1990,"",IF(Main[[#This Row],[Class]]="C",WORKDAY(Main[[#This Row],[Tech Start Date]],9),IF(Main[[#This Row],[Class]]="B", WORKDAY(Main[[#This Row],[Tech Start Date]],6),IF(Main[[#This Row],[Class]]="A",WORKDAY(Main[[#This Row],[Tech Start Date]],2),""))))</f>
        <v/>
      </c>
      <c r="N373" s="77" t="str">
        <f>IF(Main[[#This Row],[Tech Start Date]]&lt;1/1/1990,"",IF(Main[[#This Row],[Class]]="C",WORKDAY(Main[[#This Row],[Tech Start Date]],19),IF(Main[[#This Row],[Class]]="B", WORKDAY(Main[[#This Row],[Tech Start Date]],12),IF(Main[[#This Row],[Class]]="A",WORKDAY(Main[[#This Row],[Tech Start Date]],4),""))))</f>
        <v/>
      </c>
      <c r="O373" s="77" t="str">
        <f>IF(Main[[#This Row],[Tech Start Date]]&lt;1/1/1990,"",IF(Main[[#This Row],[Class]]="C",WORKDAY(Main[[#This Row],[Tech Start Date]],23),IF(Main[[#This Row],[Class]]="B", WORKDAY(Main[[#This Row],[Tech Start Date]],15),IF(Main[[#This Row],[Class]]="A",WORKDAY(Main[[#This Row],[Tech Start Date]],5),""))))</f>
        <v/>
      </c>
      <c r="P373" s="77" t="str">
        <f>IF(Main[[#This Row],[Tech Start Date]]&lt;1/1/1990,"",IF(Main[[#This Row],[Class]]="C",WORKDAY(Main[[#This Row],[Tech Start Date]],28),IF(Main[[#This Row],[Class]]="B", WORKDAY(Main[[#This Row],[Tech Start Date]],19),IF(Main[[#This Row],[Class]]="A",WORKDAY(Main[[#This Row],[Tech Start Date]],9),""))))</f>
        <v/>
      </c>
      <c r="Q373" s="74">
        <v>40471</v>
      </c>
      <c r="R373" s="155"/>
      <c r="S373" s="72" t="s">
        <v>300</v>
      </c>
      <c r="T373" s="80" t="s">
        <v>4</v>
      </c>
      <c r="U373" s="72" t="s">
        <v>14</v>
      </c>
      <c r="V373" s="72" t="s">
        <v>1942</v>
      </c>
      <c r="W373" s="72" t="s">
        <v>1934</v>
      </c>
      <c r="X373" s="72" t="s">
        <v>2931</v>
      </c>
      <c r="Y373" s="72" t="s">
        <v>3065</v>
      </c>
      <c r="Z373" s="72" t="s">
        <v>535</v>
      </c>
      <c r="AA373" s="147" t="s">
        <v>2931</v>
      </c>
    </row>
    <row r="374" spans="1:27" ht="18.600000000000001" customHeight="1">
      <c r="A374" s="140" t="str">
        <f>IF(priority(Main[[#This Row],[Comments]])&lt;&gt;0, priority(Main[[#This Row],[Comments]]),"")</f>
        <v/>
      </c>
      <c r="B374" s="90" t="s">
        <v>1249</v>
      </c>
      <c r="C374" s="72" t="s">
        <v>93</v>
      </c>
      <c r="D374" s="73" t="s">
        <v>301</v>
      </c>
      <c r="E374" s="74"/>
      <c r="F374" s="74">
        <v>40210</v>
      </c>
      <c r="G374" s="75" t="str">
        <f>IF(stdProdLT(Main[[#This Row],[Comments]])=0.1,"N/A",IF(stdProdLT(Main[[#This Row],[Comments]])=0,"",stdProdLT(Main[[#This Row],[Comments]])))</f>
        <v/>
      </c>
      <c r="H374" s="76" t="str">
        <f>IF(AND(Main[[#This Row],[In Stock Date]]&lt;&gt;"",Main[[#This Row],[Revised Due Date]]&lt;&gt;""),Main[[#This Row],[In Stock Date]]-Main[[#This Row],[Revised Due Date]],"")</f>
        <v/>
      </c>
      <c r="I374" s="72" t="s">
        <v>4</v>
      </c>
      <c r="J374" s="72" t="s">
        <v>4</v>
      </c>
      <c r="K374" s="72" t="s">
        <v>4</v>
      </c>
      <c r="L374" s="74"/>
      <c r="M374" s="77" t="str">
        <f>IF(Main[[#This Row],[Tech Start Date]]&lt;1/1/1990,"",IF(Main[[#This Row],[Class]]="C",WORKDAY(Main[[#This Row],[Tech Start Date]],9),IF(Main[[#This Row],[Class]]="B", WORKDAY(Main[[#This Row],[Tech Start Date]],6),IF(Main[[#This Row],[Class]]="A",WORKDAY(Main[[#This Row],[Tech Start Date]],2),""))))</f>
        <v/>
      </c>
      <c r="N374" s="77" t="str">
        <f>IF(Main[[#This Row],[Tech Start Date]]&lt;1/1/1990,"",IF(Main[[#This Row],[Class]]="C",WORKDAY(Main[[#This Row],[Tech Start Date]],19),IF(Main[[#This Row],[Class]]="B", WORKDAY(Main[[#This Row],[Tech Start Date]],12),IF(Main[[#This Row],[Class]]="A",WORKDAY(Main[[#This Row],[Tech Start Date]],4),""))))</f>
        <v/>
      </c>
      <c r="O374" s="77" t="str">
        <f>IF(Main[[#This Row],[Tech Start Date]]&lt;1/1/1990,"",IF(Main[[#This Row],[Class]]="C",WORKDAY(Main[[#This Row],[Tech Start Date]],23),IF(Main[[#This Row],[Class]]="B", WORKDAY(Main[[#This Row],[Tech Start Date]],15),IF(Main[[#This Row],[Class]]="A",WORKDAY(Main[[#This Row],[Tech Start Date]],5),""))))</f>
        <v/>
      </c>
      <c r="P374" s="77" t="str">
        <f>IF(Main[[#This Row],[Tech Start Date]]&lt;1/1/1990,"",IF(Main[[#This Row],[Class]]="C",WORKDAY(Main[[#This Row],[Tech Start Date]],28),IF(Main[[#This Row],[Class]]="B", WORKDAY(Main[[#This Row],[Tech Start Date]],19),IF(Main[[#This Row],[Class]]="A",WORKDAY(Main[[#This Row],[Tech Start Date]],9),""))))</f>
        <v/>
      </c>
      <c r="Q374" s="74">
        <v>40145</v>
      </c>
      <c r="R374" s="155"/>
      <c r="S374" s="72" t="s">
        <v>11</v>
      </c>
      <c r="T374" s="80" t="s">
        <v>4</v>
      </c>
      <c r="U374" s="72" t="s">
        <v>14</v>
      </c>
      <c r="V374" s="72" t="s">
        <v>1932</v>
      </c>
      <c r="W374" s="72" t="s">
        <v>1938</v>
      </c>
      <c r="X374" s="72" t="s">
        <v>2955</v>
      </c>
      <c r="Y374" s="72" t="s">
        <v>4</v>
      </c>
      <c r="Z374" s="72" t="s">
        <v>4</v>
      </c>
      <c r="AA374" s="147" t="s">
        <v>2955</v>
      </c>
    </row>
    <row r="375" spans="1:27" ht="18.600000000000001" customHeight="1">
      <c r="A375" s="140" t="str">
        <f>IF(priority(Main[[#This Row],[Comments]])&lt;&gt;0, priority(Main[[#This Row],[Comments]]),"")</f>
        <v/>
      </c>
      <c r="B375" s="90" t="s">
        <v>1250</v>
      </c>
      <c r="C375" s="72" t="s">
        <v>63</v>
      </c>
      <c r="D375" s="73" t="s">
        <v>302</v>
      </c>
      <c r="E375" s="74"/>
      <c r="F375" s="74">
        <v>40513</v>
      </c>
      <c r="G375" s="75" t="str">
        <f>IF(stdProdLT(Main[[#This Row],[Comments]])=0.1,"N/A",IF(stdProdLT(Main[[#This Row],[Comments]])=0,"",stdProdLT(Main[[#This Row],[Comments]])))</f>
        <v/>
      </c>
      <c r="H375" s="76" t="str">
        <f>IF(AND(Main[[#This Row],[In Stock Date]]&lt;&gt;"",Main[[#This Row],[Revised Due Date]]&lt;&gt;""),Main[[#This Row],[In Stock Date]]-Main[[#This Row],[Revised Due Date]],"")</f>
        <v/>
      </c>
      <c r="I375" s="72" t="s">
        <v>65</v>
      </c>
      <c r="J375" s="72" t="s">
        <v>28</v>
      </c>
      <c r="K375" s="81" t="s">
        <v>4</v>
      </c>
      <c r="L375" s="74"/>
      <c r="M375" s="77" t="str">
        <f>IF(Main[[#This Row],[Tech Start Date]]&lt;1/1/1990,"",IF(Main[[#This Row],[Class]]="C",WORKDAY(Main[[#This Row],[Tech Start Date]],9),IF(Main[[#This Row],[Class]]="B", WORKDAY(Main[[#This Row],[Tech Start Date]],6),IF(Main[[#This Row],[Class]]="A",WORKDAY(Main[[#This Row],[Tech Start Date]],2),""))))</f>
        <v/>
      </c>
      <c r="N375" s="77" t="str">
        <f>IF(Main[[#This Row],[Tech Start Date]]&lt;1/1/1990,"",IF(Main[[#This Row],[Class]]="C",WORKDAY(Main[[#This Row],[Tech Start Date]],19),IF(Main[[#This Row],[Class]]="B", WORKDAY(Main[[#This Row],[Tech Start Date]],12),IF(Main[[#This Row],[Class]]="A",WORKDAY(Main[[#This Row],[Tech Start Date]],4),""))))</f>
        <v/>
      </c>
      <c r="O375" s="77" t="str">
        <f>IF(Main[[#This Row],[Tech Start Date]]&lt;1/1/1990,"",IF(Main[[#This Row],[Class]]="C",WORKDAY(Main[[#This Row],[Tech Start Date]],23),IF(Main[[#This Row],[Class]]="B", WORKDAY(Main[[#This Row],[Tech Start Date]],15),IF(Main[[#This Row],[Class]]="A",WORKDAY(Main[[#This Row],[Tech Start Date]],5),""))))</f>
        <v/>
      </c>
      <c r="P375" s="77" t="str">
        <f>IF(Main[[#This Row],[Tech Start Date]]&lt;1/1/1990,"",IF(Main[[#This Row],[Class]]="C",WORKDAY(Main[[#This Row],[Tech Start Date]],28),IF(Main[[#This Row],[Class]]="B", WORKDAY(Main[[#This Row],[Tech Start Date]],19),IF(Main[[#This Row],[Class]]="A",WORKDAY(Main[[#This Row],[Tech Start Date]],9),""))))</f>
        <v/>
      </c>
      <c r="Q375" s="74">
        <v>40513</v>
      </c>
      <c r="R375" s="74"/>
      <c r="S375" s="72" t="s">
        <v>11</v>
      </c>
      <c r="T375" s="80" t="s">
        <v>4</v>
      </c>
      <c r="U375" s="72" t="s">
        <v>14</v>
      </c>
      <c r="V375" s="72" t="s">
        <v>1935</v>
      </c>
      <c r="W375" s="72" t="s">
        <v>1940</v>
      </c>
      <c r="X375" s="72" t="s">
        <v>2898</v>
      </c>
      <c r="Y375" s="72" t="s">
        <v>3013</v>
      </c>
      <c r="Z375" s="72" t="s">
        <v>535</v>
      </c>
      <c r="AA375" s="147" t="s">
        <v>2898</v>
      </c>
    </row>
    <row r="376" spans="1:27" ht="18.600000000000001" customHeight="1">
      <c r="A376" s="140" t="str">
        <f>IF(priority(Main[[#This Row],[Comments]])&lt;&gt;0, priority(Main[[#This Row],[Comments]]),"")</f>
        <v/>
      </c>
      <c r="B376" s="90" t="s">
        <v>1251</v>
      </c>
      <c r="C376" s="72" t="s">
        <v>4</v>
      </c>
      <c r="D376" s="73" t="s">
        <v>304</v>
      </c>
      <c r="E376" s="74"/>
      <c r="F376" s="74"/>
      <c r="G376" s="75" t="str">
        <f>IF(stdProdLT(Main[[#This Row],[Comments]])=0.1,"N/A",IF(stdProdLT(Main[[#This Row],[Comments]])=0,"",stdProdLT(Main[[#This Row],[Comments]])))</f>
        <v/>
      </c>
      <c r="H376" s="76" t="str">
        <f>IF(AND(Main[[#This Row],[In Stock Date]]&lt;&gt;"",Main[[#This Row],[Revised Due Date]]&lt;&gt;""),Main[[#This Row],[In Stock Date]]-Main[[#This Row],[Revised Due Date]],"")</f>
        <v/>
      </c>
      <c r="I376" s="72" t="s">
        <v>4</v>
      </c>
      <c r="J376" s="72" t="s">
        <v>28</v>
      </c>
      <c r="K376" s="72" t="s">
        <v>1941</v>
      </c>
      <c r="L376" s="74"/>
      <c r="M376" s="77" t="str">
        <f>IF(Main[[#This Row],[Tech Start Date]]&lt;1/1/1990,"",IF(Main[[#This Row],[Class]]="C",WORKDAY(Main[[#This Row],[Tech Start Date]],9),IF(Main[[#This Row],[Class]]="B", WORKDAY(Main[[#This Row],[Tech Start Date]],6),IF(Main[[#This Row],[Class]]="A",WORKDAY(Main[[#This Row],[Tech Start Date]],2),""))))</f>
        <v/>
      </c>
      <c r="N376" s="77" t="str">
        <f>IF(Main[[#This Row],[Tech Start Date]]&lt;1/1/1990,"",IF(Main[[#This Row],[Class]]="C",WORKDAY(Main[[#This Row],[Tech Start Date]],19),IF(Main[[#This Row],[Class]]="B", WORKDAY(Main[[#This Row],[Tech Start Date]],12),IF(Main[[#This Row],[Class]]="A",WORKDAY(Main[[#This Row],[Tech Start Date]],4),""))))</f>
        <v/>
      </c>
      <c r="O376" s="77" t="str">
        <f>IF(Main[[#This Row],[Tech Start Date]]&lt;1/1/1990,"",IF(Main[[#This Row],[Class]]="C",WORKDAY(Main[[#This Row],[Tech Start Date]],23),IF(Main[[#This Row],[Class]]="B", WORKDAY(Main[[#This Row],[Tech Start Date]],15),IF(Main[[#This Row],[Class]]="A",WORKDAY(Main[[#This Row],[Tech Start Date]],5),""))))</f>
        <v/>
      </c>
      <c r="P376" s="77" t="str">
        <f>IF(Main[[#This Row],[Tech Start Date]]&lt;1/1/1990,"",IF(Main[[#This Row],[Class]]="C",WORKDAY(Main[[#This Row],[Tech Start Date]],28),IF(Main[[#This Row],[Class]]="B", WORKDAY(Main[[#This Row],[Tech Start Date]],19),IF(Main[[#This Row],[Class]]="A",WORKDAY(Main[[#This Row],[Tech Start Date]],9),""))))</f>
        <v/>
      </c>
      <c r="Q376" s="74">
        <v>40661</v>
      </c>
      <c r="R376" s="74"/>
      <c r="S376" s="72" t="s">
        <v>6</v>
      </c>
      <c r="T376" s="80" t="s">
        <v>4</v>
      </c>
      <c r="U376" s="72" t="s">
        <v>14</v>
      </c>
      <c r="V376" s="72" t="s">
        <v>1935</v>
      </c>
      <c r="W376" s="72" t="s">
        <v>1936</v>
      </c>
      <c r="X376" s="72" t="s">
        <v>2906</v>
      </c>
      <c r="Y376" s="72" t="s">
        <v>3025</v>
      </c>
      <c r="Z376" s="72" t="s">
        <v>535</v>
      </c>
      <c r="AA376" s="147" t="s">
        <v>2906</v>
      </c>
    </row>
    <row r="377" spans="1:27" ht="18.600000000000001" customHeight="1">
      <c r="A377" s="140" t="str">
        <f>IF(priority(Main[[#This Row],[Comments]])&lt;&gt;0, priority(Main[[#This Row],[Comments]]),"")</f>
        <v/>
      </c>
      <c r="B377" s="90" t="s">
        <v>1252</v>
      </c>
      <c r="C377" s="72" t="s">
        <v>4</v>
      </c>
      <c r="D377" s="73" t="s">
        <v>305</v>
      </c>
      <c r="E377" s="74"/>
      <c r="F377" s="74"/>
      <c r="G377" s="75" t="str">
        <f>IF(stdProdLT(Main[[#This Row],[Comments]])=0.1,"N/A",IF(stdProdLT(Main[[#This Row],[Comments]])=0,"",stdProdLT(Main[[#This Row],[Comments]])))</f>
        <v/>
      </c>
      <c r="H377" s="76" t="str">
        <f>IF(AND(Main[[#This Row],[In Stock Date]]&lt;&gt;"",Main[[#This Row],[Revised Due Date]]&lt;&gt;""),Main[[#This Row],[In Stock Date]]-Main[[#This Row],[Revised Due Date]],"")</f>
        <v/>
      </c>
      <c r="I377" s="72" t="s">
        <v>4</v>
      </c>
      <c r="J377" s="72" t="s">
        <v>4</v>
      </c>
      <c r="K377" s="72" t="s">
        <v>4</v>
      </c>
      <c r="L377" s="74"/>
      <c r="M377" s="77" t="str">
        <f>IF(Main[[#This Row],[Tech Start Date]]&lt;1/1/1990,"",IF(Main[[#This Row],[Class]]="C",WORKDAY(Main[[#This Row],[Tech Start Date]],9),IF(Main[[#This Row],[Class]]="B", WORKDAY(Main[[#This Row],[Tech Start Date]],6),IF(Main[[#This Row],[Class]]="A",WORKDAY(Main[[#This Row],[Tech Start Date]],2),""))))</f>
        <v/>
      </c>
      <c r="N377" s="77" t="str">
        <f>IF(Main[[#This Row],[Tech Start Date]]&lt;1/1/1990,"",IF(Main[[#This Row],[Class]]="C",WORKDAY(Main[[#This Row],[Tech Start Date]],19),IF(Main[[#This Row],[Class]]="B", WORKDAY(Main[[#This Row],[Tech Start Date]],12),IF(Main[[#This Row],[Class]]="A",WORKDAY(Main[[#This Row],[Tech Start Date]],4),""))))</f>
        <v/>
      </c>
      <c r="O377" s="77" t="str">
        <f>IF(Main[[#This Row],[Tech Start Date]]&lt;1/1/1990,"",IF(Main[[#This Row],[Class]]="C",WORKDAY(Main[[#This Row],[Tech Start Date]],23),IF(Main[[#This Row],[Class]]="B", WORKDAY(Main[[#This Row],[Tech Start Date]],15),IF(Main[[#This Row],[Class]]="A",WORKDAY(Main[[#This Row],[Tech Start Date]],5),""))))</f>
        <v/>
      </c>
      <c r="P377" s="77" t="str">
        <f>IF(Main[[#This Row],[Tech Start Date]]&lt;1/1/1990,"",IF(Main[[#This Row],[Class]]="C",WORKDAY(Main[[#This Row],[Tech Start Date]],28),IF(Main[[#This Row],[Class]]="B", WORKDAY(Main[[#This Row],[Tech Start Date]],19),IF(Main[[#This Row],[Class]]="A",WORKDAY(Main[[#This Row],[Tech Start Date]],9),""))))</f>
        <v/>
      </c>
      <c r="Q377" s="74">
        <v>40287</v>
      </c>
      <c r="R377" s="155"/>
      <c r="S377" s="72" t="s">
        <v>11</v>
      </c>
      <c r="T377" s="80" t="s">
        <v>4</v>
      </c>
      <c r="U377" s="72" t="s">
        <v>14</v>
      </c>
      <c r="V377" s="72" t="s">
        <v>1932</v>
      </c>
      <c r="W377" s="72" t="s">
        <v>1938</v>
      </c>
      <c r="X377" s="72" t="s">
        <v>894</v>
      </c>
      <c r="Y377" s="72" t="s">
        <v>3050</v>
      </c>
      <c r="Z377" s="72" t="s">
        <v>4</v>
      </c>
      <c r="AA377" s="147" t="s">
        <v>894</v>
      </c>
    </row>
    <row r="378" spans="1:27" ht="18.600000000000001" customHeight="1">
      <c r="A378" s="140" t="str">
        <f>IF(priority(Main[[#This Row],[Comments]])&lt;&gt;0, priority(Main[[#This Row],[Comments]]),"")</f>
        <v/>
      </c>
      <c r="B378" s="90" t="s">
        <v>1253</v>
      </c>
      <c r="C378" s="72" t="s">
        <v>93</v>
      </c>
      <c r="D378" s="73" t="s">
        <v>306</v>
      </c>
      <c r="E378" s="74"/>
      <c r="F378" s="74">
        <v>40210</v>
      </c>
      <c r="G378" s="75" t="str">
        <f>IF(stdProdLT(Main[[#This Row],[Comments]])=0.1,"N/A",IF(stdProdLT(Main[[#This Row],[Comments]])=0,"",stdProdLT(Main[[#This Row],[Comments]])))</f>
        <v/>
      </c>
      <c r="H378" s="76" t="str">
        <f>IF(AND(Main[[#This Row],[In Stock Date]]&lt;&gt;"",Main[[#This Row],[Revised Due Date]]&lt;&gt;""),Main[[#This Row],[In Stock Date]]-Main[[#This Row],[Revised Due Date]],"")</f>
        <v/>
      </c>
      <c r="I378" s="72" t="s">
        <v>4</v>
      </c>
      <c r="J378" s="72" t="s">
        <v>4</v>
      </c>
      <c r="K378" s="81" t="s">
        <v>4</v>
      </c>
      <c r="L378" s="74"/>
      <c r="M378" s="77" t="str">
        <f>IF(Main[[#This Row],[Tech Start Date]]&lt;1/1/1990,"",IF(Main[[#This Row],[Class]]="C",WORKDAY(Main[[#This Row],[Tech Start Date]],9),IF(Main[[#This Row],[Class]]="B", WORKDAY(Main[[#This Row],[Tech Start Date]],6),IF(Main[[#This Row],[Class]]="A",WORKDAY(Main[[#This Row],[Tech Start Date]],2),""))))</f>
        <v/>
      </c>
      <c r="N378" s="77" t="str">
        <f>IF(Main[[#This Row],[Tech Start Date]]&lt;1/1/1990,"",IF(Main[[#This Row],[Class]]="C",WORKDAY(Main[[#This Row],[Tech Start Date]],19),IF(Main[[#This Row],[Class]]="B", WORKDAY(Main[[#This Row],[Tech Start Date]],12),IF(Main[[#This Row],[Class]]="A",WORKDAY(Main[[#This Row],[Tech Start Date]],4),""))))</f>
        <v/>
      </c>
      <c r="O378" s="77" t="str">
        <f>IF(Main[[#This Row],[Tech Start Date]]&lt;1/1/1990,"",IF(Main[[#This Row],[Class]]="C",WORKDAY(Main[[#This Row],[Tech Start Date]],23),IF(Main[[#This Row],[Class]]="B", WORKDAY(Main[[#This Row],[Tech Start Date]],15),IF(Main[[#This Row],[Class]]="A",WORKDAY(Main[[#This Row],[Tech Start Date]],5),""))))</f>
        <v/>
      </c>
      <c r="P378" s="77" t="str">
        <f>IF(Main[[#This Row],[Tech Start Date]]&lt;1/1/1990,"",IF(Main[[#This Row],[Class]]="C",WORKDAY(Main[[#This Row],[Tech Start Date]],28),IF(Main[[#This Row],[Class]]="B", WORKDAY(Main[[#This Row],[Tech Start Date]],19),IF(Main[[#This Row],[Class]]="A",WORKDAY(Main[[#This Row],[Tech Start Date]],9),""))))</f>
        <v/>
      </c>
      <c r="Q378" s="74">
        <v>40210</v>
      </c>
      <c r="R378" s="74"/>
      <c r="S378" s="72" t="s">
        <v>11</v>
      </c>
      <c r="T378" s="80" t="s">
        <v>4</v>
      </c>
      <c r="U378" s="72" t="s">
        <v>12</v>
      </c>
      <c r="V378" s="72" t="s">
        <v>1942</v>
      </c>
      <c r="W378" s="72" t="s">
        <v>1943</v>
      </c>
      <c r="X378" s="72" t="s">
        <v>2929</v>
      </c>
      <c r="Y378" s="72" t="s">
        <v>4</v>
      </c>
      <c r="Z378" s="72" t="s">
        <v>4</v>
      </c>
      <c r="AA378" s="147" t="s">
        <v>2929</v>
      </c>
    </row>
    <row r="379" spans="1:27" ht="18.600000000000001" customHeight="1">
      <c r="A379" s="140" t="str">
        <f>IF(priority(Main[[#This Row],[Comments]])&lt;&gt;0, priority(Main[[#This Row],[Comments]]),"")</f>
        <v/>
      </c>
      <c r="B379" s="90" t="s">
        <v>2763</v>
      </c>
      <c r="C379" s="72" t="s">
        <v>4</v>
      </c>
      <c r="D379" s="73" t="s">
        <v>2764</v>
      </c>
      <c r="E379" s="74">
        <v>40897.76525462963</v>
      </c>
      <c r="F379" s="74"/>
      <c r="G379" s="75" t="str">
        <f>IF(stdProdLT(Main[[#This Row],[Comments]])=0.1,"N/A",IF(stdProdLT(Main[[#This Row],[Comments]])=0,"",stdProdLT(Main[[#This Row],[Comments]])))</f>
        <v/>
      </c>
      <c r="H379" s="76" t="str">
        <f>IF(AND(Main[[#This Row],[In Stock Date]]&lt;&gt;"",Main[[#This Row],[Revised Due Date]]&lt;&gt;""),Main[[#This Row],[In Stock Date]]-Main[[#This Row],[Revised Due Date]],"")</f>
        <v/>
      </c>
      <c r="I379" s="72" t="s">
        <v>4</v>
      </c>
      <c r="J379" s="72" t="s">
        <v>4</v>
      </c>
      <c r="K379" s="72" t="s">
        <v>4</v>
      </c>
      <c r="L379" s="74"/>
      <c r="M379" s="77" t="str">
        <f>IF(Main[[#This Row],[Tech Start Date]]&lt;1/1/1990,"",IF(Main[[#This Row],[Class]]="C",WORKDAY(Main[[#This Row],[Tech Start Date]],9),IF(Main[[#This Row],[Class]]="B", WORKDAY(Main[[#This Row],[Tech Start Date]],6),IF(Main[[#This Row],[Class]]="A",WORKDAY(Main[[#This Row],[Tech Start Date]],2),""))))</f>
        <v/>
      </c>
      <c r="N379" s="77" t="str">
        <f>IF(Main[[#This Row],[Tech Start Date]]&lt;1/1/1990,"",IF(Main[[#This Row],[Class]]="C",WORKDAY(Main[[#This Row],[Tech Start Date]],19),IF(Main[[#This Row],[Class]]="B", WORKDAY(Main[[#This Row],[Tech Start Date]],12),IF(Main[[#This Row],[Class]]="A",WORKDAY(Main[[#This Row],[Tech Start Date]],4),""))))</f>
        <v/>
      </c>
      <c r="O379" s="77" t="str">
        <f>IF(Main[[#This Row],[Tech Start Date]]&lt;1/1/1990,"",IF(Main[[#This Row],[Class]]="C",WORKDAY(Main[[#This Row],[Tech Start Date]],23),IF(Main[[#This Row],[Class]]="B", WORKDAY(Main[[#This Row],[Tech Start Date]],15),IF(Main[[#This Row],[Class]]="A",WORKDAY(Main[[#This Row],[Tech Start Date]],5),""))))</f>
        <v/>
      </c>
      <c r="P379" s="77" t="str">
        <f>IF(Main[[#This Row],[Tech Start Date]]&lt;1/1/1990,"",IF(Main[[#This Row],[Class]]="C",WORKDAY(Main[[#This Row],[Tech Start Date]],28),IF(Main[[#This Row],[Class]]="B", WORKDAY(Main[[#This Row],[Tech Start Date]],19),IF(Main[[#This Row],[Class]]="A",WORKDAY(Main[[#This Row],[Tech Start Date]],9),""))))</f>
        <v/>
      </c>
      <c r="Q379" s="74">
        <v>40907</v>
      </c>
      <c r="R379" s="74"/>
      <c r="S379" s="72" t="s">
        <v>6</v>
      </c>
      <c r="T379" s="80" t="s">
        <v>4</v>
      </c>
      <c r="U379" s="72" t="s">
        <v>7</v>
      </c>
      <c r="V379" s="72" t="s">
        <v>1932</v>
      </c>
      <c r="W379" s="72" t="s">
        <v>4</v>
      </c>
      <c r="X379" s="72" t="s">
        <v>2903</v>
      </c>
      <c r="Y379" s="72" t="s">
        <v>3019</v>
      </c>
      <c r="Z379" s="72" t="s">
        <v>4</v>
      </c>
      <c r="AA379" s="147" t="s">
        <v>2903</v>
      </c>
    </row>
    <row r="380" spans="1:27" ht="18.600000000000001" customHeight="1">
      <c r="A380" s="140" t="str">
        <f>IF(priority(Main[[#This Row],[Comments]])&lt;&gt;0, priority(Main[[#This Row],[Comments]]),"")</f>
        <v/>
      </c>
      <c r="B380" s="90" t="s">
        <v>1254</v>
      </c>
      <c r="C380" s="72" t="s">
        <v>31</v>
      </c>
      <c r="D380" s="73" t="s">
        <v>307</v>
      </c>
      <c r="E380" s="74"/>
      <c r="F380" s="74">
        <v>40269</v>
      </c>
      <c r="G380" s="75" t="str">
        <f>IF(stdProdLT(Main[[#This Row],[Comments]])=0.1,"N/A",IF(stdProdLT(Main[[#This Row],[Comments]])=0,"",stdProdLT(Main[[#This Row],[Comments]])))</f>
        <v/>
      </c>
      <c r="H380" s="76" t="str">
        <f>IF(AND(Main[[#This Row],[In Stock Date]]&lt;&gt;"",Main[[#This Row],[Revised Due Date]]&lt;&gt;""),Main[[#This Row],[In Stock Date]]-Main[[#This Row],[Revised Due Date]],"")</f>
        <v/>
      </c>
      <c r="I380" s="72" t="s">
        <v>4</v>
      </c>
      <c r="J380" s="72" t="s">
        <v>4</v>
      </c>
      <c r="K380" s="72" t="s">
        <v>4</v>
      </c>
      <c r="L380" s="74"/>
      <c r="M380" s="77" t="str">
        <f>IF(Main[[#This Row],[Tech Start Date]]&lt;1/1/1990,"",IF(Main[[#This Row],[Class]]="C",WORKDAY(Main[[#This Row],[Tech Start Date]],9),IF(Main[[#This Row],[Class]]="B", WORKDAY(Main[[#This Row],[Tech Start Date]],6),IF(Main[[#This Row],[Class]]="A",WORKDAY(Main[[#This Row],[Tech Start Date]],2),""))))</f>
        <v/>
      </c>
      <c r="N380" s="77" t="str">
        <f>IF(Main[[#This Row],[Tech Start Date]]&lt;1/1/1990,"",IF(Main[[#This Row],[Class]]="C",WORKDAY(Main[[#This Row],[Tech Start Date]],19),IF(Main[[#This Row],[Class]]="B", WORKDAY(Main[[#This Row],[Tech Start Date]],12),IF(Main[[#This Row],[Class]]="A",WORKDAY(Main[[#This Row],[Tech Start Date]],4),""))))</f>
        <v/>
      </c>
      <c r="O380" s="77" t="str">
        <f>IF(Main[[#This Row],[Tech Start Date]]&lt;1/1/1990,"",IF(Main[[#This Row],[Class]]="C",WORKDAY(Main[[#This Row],[Tech Start Date]],23),IF(Main[[#This Row],[Class]]="B", WORKDAY(Main[[#This Row],[Tech Start Date]],15),IF(Main[[#This Row],[Class]]="A",WORKDAY(Main[[#This Row],[Tech Start Date]],5),""))))</f>
        <v/>
      </c>
      <c r="P380" s="77" t="str">
        <f>IF(Main[[#This Row],[Tech Start Date]]&lt;1/1/1990,"",IF(Main[[#This Row],[Class]]="C",WORKDAY(Main[[#This Row],[Tech Start Date]],28),IF(Main[[#This Row],[Class]]="B", WORKDAY(Main[[#This Row],[Tech Start Date]],19),IF(Main[[#This Row],[Class]]="A",WORKDAY(Main[[#This Row],[Tech Start Date]],9),""))))</f>
        <v/>
      </c>
      <c r="Q380" s="74">
        <v>40274</v>
      </c>
      <c r="R380" s="155"/>
      <c r="S380" s="72" t="s">
        <v>11</v>
      </c>
      <c r="T380" s="80" t="s">
        <v>4</v>
      </c>
      <c r="U380" s="72" t="s">
        <v>14</v>
      </c>
      <c r="V380" s="72" t="s">
        <v>1932</v>
      </c>
      <c r="W380" s="72" t="s">
        <v>1938</v>
      </c>
      <c r="X380" s="72" t="s">
        <v>2955</v>
      </c>
      <c r="Y380" s="72" t="s">
        <v>4</v>
      </c>
      <c r="Z380" s="72" t="s">
        <v>4</v>
      </c>
      <c r="AA380" s="147" t="s">
        <v>2955</v>
      </c>
    </row>
    <row r="381" spans="1:27" ht="18.600000000000001" customHeight="1">
      <c r="A381" s="140" t="str">
        <f>IF(priority(Main[[#This Row],[Comments]])&lt;&gt;0, priority(Main[[#This Row],[Comments]]),"")</f>
        <v/>
      </c>
      <c r="B381" s="90" t="s">
        <v>1255</v>
      </c>
      <c r="C381" s="72" t="s">
        <v>4</v>
      </c>
      <c r="D381" s="73" t="s">
        <v>308</v>
      </c>
      <c r="E381" s="74"/>
      <c r="F381" s="74">
        <v>40390</v>
      </c>
      <c r="G381" s="75" t="str">
        <f>IF(stdProdLT(Main[[#This Row],[Comments]])=0.1,"N/A",IF(stdProdLT(Main[[#This Row],[Comments]])=0,"",stdProdLT(Main[[#This Row],[Comments]])))</f>
        <v/>
      </c>
      <c r="H381" s="76" t="str">
        <f>IF(AND(Main[[#This Row],[In Stock Date]]&lt;&gt;"",Main[[#This Row],[Revised Due Date]]&lt;&gt;""),Main[[#This Row],[In Stock Date]]-Main[[#This Row],[Revised Due Date]],"")</f>
        <v/>
      </c>
      <c r="I381" s="72" t="s">
        <v>4</v>
      </c>
      <c r="J381" s="72" t="s">
        <v>4</v>
      </c>
      <c r="K381" s="81" t="s">
        <v>4</v>
      </c>
      <c r="L381" s="74"/>
      <c r="M381" s="77" t="str">
        <f>IF(Main[[#This Row],[Tech Start Date]]&lt;1/1/1990,"",IF(Main[[#This Row],[Class]]="C",WORKDAY(Main[[#This Row],[Tech Start Date]],9),IF(Main[[#This Row],[Class]]="B", WORKDAY(Main[[#This Row],[Tech Start Date]],6),IF(Main[[#This Row],[Class]]="A",WORKDAY(Main[[#This Row],[Tech Start Date]],2),""))))</f>
        <v/>
      </c>
      <c r="N381" s="77" t="str">
        <f>IF(Main[[#This Row],[Tech Start Date]]&lt;1/1/1990,"",IF(Main[[#This Row],[Class]]="C",WORKDAY(Main[[#This Row],[Tech Start Date]],19),IF(Main[[#This Row],[Class]]="B", WORKDAY(Main[[#This Row],[Tech Start Date]],12),IF(Main[[#This Row],[Class]]="A",WORKDAY(Main[[#This Row],[Tech Start Date]],4),""))))</f>
        <v/>
      </c>
      <c r="O381" s="77" t="str">
        <f>IF(Main[[#This Row],[Tech Start Date]]&lt;1/1/1990,"",IF(Main[[#This Row],[Class]]="C",WORKDAY(Main[[#This Row],[Tech Start Date]],23),IF(Main[[#This Row],[Class]]="B", WORKDAY(Main[[#This Row],[Tech Start Date]],15),IF(Main[[#This Row],[Class]]="A",WORKDAY(Main[[#This Row],[Tech Start Date]],5),""))))</f>
        <v/>
      </c>
      <c r="P381" s="77" t="str">
        <f>IF(Main[[#This Row],[Tech Start Date]]&lt;1/1/1990,"",IF(Main[[#This Row],[Class]]="C",WORKDAY(Main[[#This Row],[Tech Start Date]],28),IF(Main[[#This Row],[Class]]="B", WORKDAY(Main[[#This Row],[Tech Start Date]],19),IF(Main[[#This Row],[Class]]="A",WORKDAY(Main[[#This Row],[Tech Start Date]],9),""))))</f>
        <v/>
      </c>
      <c r="Q381" s="74">
        <v>40329</v>
      </c>
      <c r="R381" s="74"/>
      <c r="S381" s="72" t="s">
        <v>11</v>
      </c>
      <c r="T381" s="80" t="s">
        <v>4</v>
      </c>
      <c r="U381" s="72" t="s">
        <v>12</v>
      </c>
      <c r="V381" s="72" t="s">
        <v>1942</v>
      </c>
      <c r="W381" s="72" t="s">
        <v>1938</v>
      </c>
      <c r="X381" s="72" t="s">
        <v>2956</v>
      </c>
      <c r="Y381" s="72" t="s">
        <v>3083</v>
      </c>
      <c r="Z381" s="72" t="s">
        <v>4</v>
      </c>
      <c r="AA381" s="147" t="s">
        <v>2956</v>
      </c>
    </row>
    <row r="382" spans="1:27" ht="18.600000000000001" customHeight="1">
      <c r="A382" s="140" t="str">
        <f>IF(priority(Main[[#This Row],[Comments]])&lt;&gt;0, priority(Main[[#This Row],[Comments]]),"")</f>
        <v/>
      </c>
      <c r="B382" s="90" t="s">
        <v>1256</v>
      </c>
      <c r="C382" s="72" t="s">
        <v>4</v>
      </c>
      <c r="D382" s="73" t="s">
        <v>309</v>
      </c>
      <c r="E382" s="74"/>
      <c r="F382" s="74">
        <v>40574</v>
      </c>
      <c r="G382" s="75" t="str">
        <f>IF(stdProdLT(Main[[#This Row],[Comments]])=0.1,"N/A",IF(stdProdLT(Main[[#This Row],[Comments]])=0,"",stdProdLT(Main[[#This Row],[Comments]])))</f>
        <v/>
      </c>
      <c r="H382" s="76" t="str">
        <f>IF(AND(Main[[#This Row],[In Stock Date]]&lt;&gt;"",Main[[#This Row],[Revised Due Date]]&lt;&gt;""),Main[[#This Row],[In Stock Date]]-Main[[#This Row],[Revised Due Date]],"")</f>
        <v/>
      </c>
      <c r="I382" s="72" t="s">
        <v>310</v>
      </c>
      <c r="J382" s="72" t="s">
        <v>75</v>
      </c>
      <c r="K382" s="72" t="s">
        <v>1941</v>
      </c>
      <c r="L382" s="74"/>
      <c r="M382" s="77" t="str">
        <f>IF(Main[[#This Row],[Tech Start Date]]&lt;1/1/1990,"",IF(Main[[#This Row],[Class]]="C",WORKDAY(Main[[#This Row],[Tech Start Date]],9),IF(Main[[#This Row],[Class]]="B", WORKDAY(Main[[#This Row],[Tech Start Date]],6),IF(Main[[#This Row],[Class]]="A",WORKDAY(Main[[#This Row],[Tech Start Date]],2),""))))</f>
        <v/>
      </c>
      <c r="N382" s="77" t="str">
        <f>IF(Main[[#This Row],[Tech Start Date]]&lt;1/1/1990,"",IF(Main[[#This Row],[Class]]="C",WORKDAY(Main[[#This Row],[Tech Start Date]],19),IF(Main[[#This Row],[Class]]="B", WORKDAY(Main[[#This Row],[Tech Start Date]],12),IF(Main[[#This Row],[Class]]="A",WORKDAY(Main[[#This Row],[Tech Start Date]],4),""))))</f>
        <v/>
      </c>
      <c r="O382" s="77" t="str">
        <f>IF(Main[[#This Row],[Tech Start Date]]&lt;1/1/1990,"",IF(Main[[#This Row],[Class]]="C",WORKDAY(Main[[#This Row],[Tech Start Date]],23),IF(Main[[#This Row],[Class]]="B", WORKDAY(Main[[#This Row],[Tech Start Date]],15),IF(Main[[#This Row],[Class]]="A",WORKDAY(Main[[#This Row],[Tech Start Date]],5),""))))</f>
        <v/>
      </c>
      <c r="P382" s="77" t="str">
        <f>IF(Main[[#This Row],[Tech Start Date]]&lt;1/1/1990,"",IF(Main[[#This Row],[Class]]="C",WORKDAY(Main[[#This Row],[Tech Start Date]],28),IF(Main[[#This Row],[Class]]="B", WORKDAY(Main[[#This Row],[Tech Start Date]],19),IF(Main[[#This Row],[Class]]="A",WORKDAY(Main[[#This Row],[Tech Start Date]],9),""))))</f>
        <v/>
      </c>
      <c r="Q382" s="74">
        <v>40574</v>
      </c>
      <c r="R382" s="74"/>
      <c r="S382" s="72" t="s">
        <v>6</v>
      </c>
      <c r="T382" s="80" t="s">
        <v>4</v>
      </c>
      <c r="U382" s="72" t="s">
        <v>14</v>
      </c>
      <c r="V382" s="72" t="s">
        <v>1942</v>
      </c>
      <c r="W382" s="72" t="s">
        <v>1934</v>
      </c>
      <c r="X382" s="72" t="s">
        <v>2902</v>
      </c>
      <c r="Y382" s="72" t="s">
        <v>3016</v>
      </c>
      <c r="Z382" s="72" t="s">
        <v>30</v>
      </c>
      <c r="AA382" s="147" t="s">
        <v>2902</v>
      </c>
    </row>
    <row r="383" spans="1:27" ht="18.600000000000001" customHeight="1">
      <c r="A383" s="140" t="str">
        <f>IF(priority(Main[[#This Row],[Comments]])&lt;&gt;0, priority(Main[[#This Row],[Comments]]),"")</f>
        <v/>
      </c>
      <c r="B383" s="90" t="s">
        <v>1257</v>
      </c>
      <c r="C383" s="72" t="s">
        <v>171</v>
      </c>
      <c r="D383" s="73" t="s">
        <v>311</v>
      </c>
      <c r="E383" s="74"/>
      <c r="F383" s="74">
        <v>40237</v>
      </c>
      <c r="G383" s="75" t="str">
        <f>IF(stdProdLT(Main[[#This Row],[Comments]])=0.1,"N/A",IF(stdProdLT(Main[[#This Row],[Comments]])=0,"",stdProdLT(Main[[#This Row],[Comments]])))</f>
        <v/>
      </c>
      <c r="H383" s="76" t="str">
        <f>IF(AND(Main[[#This Row],[In Stock Date]]&lt;&gt;"",Main[[#This Row],[Revised Due Date]]&lt;&gt;""),Main[[#This Row],[In Stock Date]]-Main[[#This Row],[Revised Due Date]],"")</f>
        <v/>
      </c>
      <c r="I383" s="72" t="s">
        <v>4</v>
      </c>
      <c r="J383" s="72" t="s">
        <v>4</v>
      </c>
      <c r="K383" s="81" t="s">
        <v>4</v>
      </c>
      <c r="L383" s="74"/>
      <c r="M383" s="77" t="str">
        <f>IF(Main[[#This Row],[Tech Start Date]]&lt;1/1/1990,"",IF(Main[[#This Row],[Class]]="C",WORKDAY(Main[[#This Row],[Tech Start Date]],9),IF(Main[[#This Row],[Class]]="B", WORKDAY(Main[[#This Row],[Tech Start Date]],6),IF(Main[[#This Row],[Class]]="A",WORKDAY(Main[[#This Row],[Tech Start Date]],2),""))))</f>
        <v/>
      </c>
      <c r="N383" s="77" t="str">
        <f>IF(Main[[#This Row],[Tech Start Date]]&lt;1/1/1990,"",IF(Main[[#This Row],[Class]]="C",WORKDAY(Main[[#This Row],[Tech Start Date]],19),IF(Main[[#This Row],[Class]]="B", WORKDAY(Main[[#This Row],[Tech Start Date]],12),IF(Main[[#This Row],[Class]]="A",WORKDAY(Main[[#This Row],[Tech Start Date]],4),""))))</f>
        <v/>
      </c>
      <c r="O383" s="77" t="str">
        <f>IF(Main[[#This Row],[Tech Start Date]]&lt;1/1/1990,"",IF(Main[[#This Row],[Class]]="C",WORKDAY(Main[[#This Row],[Tech Start Date]],23),IF(Main[[#This Row],[Class]]="B", WORKDAY(Main[[#This Row],[Tech Start Date]],15),IF(Main[[#This Row],[Class]]="A",WORKDAY(Main[[#This Row],[Tech Start Date]],5),""))))</f>
        <v/>
      </c>
      <c r="P383" s="77" t="str">
        <f>IF(Main[[#This Row],[Tech Start Date]]&lt;1/1/1990,"",IF(Main[[#This Row],[Class]]="C",WORKDAY(Main[[#This Row],[Tech Start Date]],28),IF(Main[[#This Row],[Class]]="B", WORKDAY(Main[[#This Row],[Tech Start Date]],19),IF(Main[[#This Row],[Class]]="A",WORKDAY(Main[[#This Row],[Tech Start Date]],9),""))))</f>
        <v/>
      </c>
      <c r="Q383" s="74">
        <v>40132</v>
      </c>
      <c r="R383" s="155"/>
      <c r="S383" s="72" t="s">
        <v>11</v>
      </c>
      <c r="T383" s="80" t="s">
        <v>4</v>
      </c>
      <c r="U383" s="72" t="s">
        <v>14</v>
      </c>
      <c r="V383" s="72" t="s">
        <v>1932</v>
      </c>
      <c r="W383" s="72" t="s">
        <v>1937</v>
      </c>
      <c r="X383" s="72" t="s">
        <v>2942</v>
      </c>
      <c r="Y383" s="72" t="s">
        <v>4</v>
      </c>
      <c r="Z383" s="72" t="s">
        <v>4</v>
      </c>
      <c r="AA383" s="147" t="s">
        <v>2942</v>
      </c>
    </row>
    <row r="384" spans="1:27" ht="18.600000000000001" customHeight="1">
      <c r="A384" s="140" t="str">
        <f>IF(priority(Main[[#This Row],[Comments]])&lt;&gt;0, priority(Main[[#This Row],[Comments]]),"")</f>
        <v/>
      </c>
      <c r="B384" s="90" t="s">
        <v>1258</v>
      </c>
      <c r="C384" s="72" t="s">
        <v>4</v>
      </c>
      <c r="D384" s="73" t="s">
        <v>312</v>
      </c>
      <c r="E384" s="74"/>
      <c r="F384" s="74"/>
      <c r="G384" s="75" t="str">
        <f>IF(stdProdLT(Main[[#This Row],[Comments]])=0.1,"N/A",IF(stdProdLT(Main[[#This Row],[Comments]])=0,"",stdProdLT(Main[[#This Row],[Comments]])))</f>
        <v/>
      </c>
      <c r="H384" s="76" t="str">
        <f>IF(AND(Main[[#This Row],[In Stock Date]]&lt;&gt;"",Main[[#This Row],[Revised Due Date]]&lt;&gt;""),Main[[#This Row],[In Stock Date]]-Main[[#This Row],[Revised Due Date]],"")</f>
        <v/>
      </c>
      <c r="I384" s="72" t="s">
        <v>4</v>
      </c>
      <c r="J384" s="72" t="s">
        <v>4</v>
      </c>
      <c r="K384" s="72" t="s">
        <v>4</v>
      </c>
      <c r="L384" s="74"/>
      <c r="M384" s="77" t="str">
        <f>IF(Main[[#This Row],[Tech Start Date]]&lt;1/1/1990,"",IF(Main[[#This Row],[Class]]="C",WORKDAY(Main[[#This Row],[Tech Start Date]],9),IF(Main[[#This Row],[Class]]="B", WORKDAY(Main[[#This Row],[Tech Start Date]],6),IF(Main[[#This Row],[Class]]="A",WORKDAY(Main[[#This Row],[Tech Start Date]],2),""))))</f>
        <v/>
      </c>
      <c r="N384" s="77" t="str">
        <f>IF(Main[[#This Row],[Tech Start Date]]&lt;1/1/1990,"",IF(Main[[#This Row],[Class]]="C",WORKDAY(Main[[#This Row],[Tech Start Date]],19),IF(Main[[#This Row],[Class]]="B", WORKDAY(Main[[#This Row],[Tech Start Date]],12),IF(Main[[#This Row],[Class]]="A",WORKDAY(Main[[#This Row],[Tech Start Date]],4),""))))</f>
        <v/>
      </c>
      <c r="O384" s="77" t="str">
        <f>IF(Main[[#This Row],[Tech Start Date]]&lt;1/1/1990,"",IF(Main[[#This Row],[Class]]="C",WORKDAY(Main[[#This Row],[Tech Start Date]],23),IF(Main[[#This Row],[Class]]="B", WORKDAY(Main[[#This Row],[Tech Start Date]],15),IF(Main[[#This Row],[Class]]="A",WORKDAY(Main[[#This Row],[Tech Start Date]],5),""))))</f>
        <v/>
      </c>
      <c r="P384" s="77" t="str">
        <f>IF(Main[[#This Row],[Tech Start Date]]&lt;1/1/1990,"",IF(Main[[#This Row],[Class]]="C",WORKDAY(Main[[#This Row],[Tech Start Date]],28),IF(Main[[#This Row],[Class]]="B", WORKDAY(Main[[#This Row],[Tech Start Date]],19),IF(Main[[#This Row],[Class]]="A",WORKDAY(Main[[#This Row],[Tech Start Date]],9),""))))</f>
        <v/>
      </c>
      <c r="Q384" s="74">
        <v>40390</v>
      </c>
      <c r="R384" s="74"/>
      <c r="S384" s="72" t="s">
        <v>6</v>
      </c>
      <c r="T384" s="80" t="s">
        <v>4</v>
      </c>
      <c r="U384" s="72" t="s">
        <v>14</v>
      </c>
      <c r="V384" s="72" t="s">
        <v>1935</v>
      </c>
      <c r="W384" s="72" t="s">
        <v>4</v>
      </c>
      <c r="X384" s="72" t="s">
        <v>2903</v>
      </c>
      <c r="Y384" s="72" t="s">
        <v>3019</v>
      </c>
      <c r="Z384" s="72" t="s">
        <v>4</v>
      </c>
      <c r="AA384" s="147" t="s">
        <v>2903</v>
      </c>
    </row>
    <row r="385" spans="1:27" ht="18.600000000000001" customHeight="1">
      <c r="A385" s="140" t="str">
        <f>IF(priority(Main[[#This Row],[Comments]])&lt;&gt;0, priority(Main[[#This Row],[Comments]]),"")</f>
        <v/>
      </c>
      <c r="B385" s="90" t="s">
        <v>1260</v>
      </c>
      <c r="C385" s="72" t="s">
        <v>314</v>
      </c>
      <c r="D385" s="73" t="s">
        <v>315</v>
      </c>
      <c r="E385" s="74"/>
      <c r="F385" s="74">
        <v>40179</v>
      </c>
      <c r="G385" s="75" t="str">
        <f>IF(stdProdLT(Main[[#This Row],[Comments]])=0.1,"N/A",IF(stdProdLT(Main[[#This Row],[Comments]])=0,"",stdProdLT(Main[[#This Row],[Comments]])))</f>
        <v/>
      </c>
      <c r="H385" s="76" t="str">
        <f>IF(AND(Main[[#This Row],[In Stock Date]]&lt;&gt;"",Main[[#This Row],[Revised Due Date]]&lt;&gt;""),Main[[#This Row],[In Stock Date]]-Main[[#This Row],[Revised Due Date]],"")</f>
        <v/>
      </c>
      <c r="I385" s="72" t="s">
        <v>4</v>
      </c>
      <c r="J385" s="72" t="s">
        <v>4</v>
      </c>
      <c r="K385" s="72" t="s">
        <v>4</v>
      </c>
      <c r="L385" s="74"/>
      <c r="M385" s="77" t="str">
        <f>IF(Main[[#This Row],[Tech Start Date]]&lt;1/1/1990,"",IF(Main[[#This Row],[Class]]="C",WORKDAY(Main[[#This Row],[Tech Start Date]],9),IF(Main[[#This Row],[Class]]="B", WORKDAY(Main[[#This Row],[Tech Start Date]],6),IF(Main[[#This Row],[Class]]="A",WORKDAY(Main[[#This Row],[Tech Start Date]],2),""))))</f>
        <v/>
      </c>
      <c r="N385" s="77" t="str">
        <f>IF(Main[[#This Row],[Tech Start Date]]&lt;1/1/1990,"",IF(Main[[#This Row],[Class]]="C",WORKDAY(Main[[#This Row],[Tech Start Date]],19),IF(Main[[#This Row],[Class]]="B", WORKDAY(Main[[#This Row],[Tech Start Date]],12),IF(Main[[#This Row],[Class]]="A",WORKDAY(Main[[#This Row],[Tech Start Date]],4),""))))</f>
        <v/>
      </c>
      <c r="O385" s="77" t="str">
        <f>IF(Main[[#This Row],[Tech Start Date]]&lt;1/1/1990,"",IF(Main[[#This Row],[Class]]="C",WORKDAY(Main[[#This Row],[Tech Start Date]],23),IF(Main[[#This Row],[Class]]="B", WORKDAY(Main[[#This Row],[Tech Start Date]],15),IF(Main[[#This Row],[Class]]="A",WORKDAY(Main[[#This Row],[Tech Start Date]],5),""))))</f>
        <v/>
      </c>
      <c r="P385" s="77" t="str">
        <f>IF(Main[[#This Row],[Tech Start Date]]&lt;1/1/1990,"",IF(Main[[#This Row],[Class]]="C",WORKDAY(Main[[#This Row],[Tech Start Date]],28),IF(Main[[#This Row],[Class]]="B", WORKDAY(Main[[#This Row],[Tech Start Date]],19),IF(Main[[#This Row],[Class]]="A",WORKDAY(Main[[#This Row],[Tech Start Date]],9),""))))</f>
        <v/>
      </c>
      <c r="Q385" s="74">
        <v>40174</v>
      </c>
      <c r="R385" s="74"/>
      <c r="S385" s="72" t="s">
        <v>11</v>
      </c>
      <c r="T385" s="80" t="s">
        <v>4</v>
      </c>
      <c r="U385" s="72" t="s">
        <v>12</v>
      </c>
      <c r="V385" s="72" t="s">
        <v>1932</v>
      </c>
      <c r="W385" s="72" t="s">
        <v>1940</v>
      </c>
      <c r="X385" s="72" t="s">
        <v>2957</v>
      </c>
      <c r="Y385" s="72" t="s">
        <v>4</v>
      </c>
      <c r="Z385" s="72" t="s">
        <v>4</v>
      </c>
      <c r="AA385" s="147" t="s">
        <v>2957</v>
      </c>
    </row>
    <row r="386" spans="1:27" ht="18.600000000000001" customHeight="1">
      <c r="A386" s="140" t="str">
        <f>IF(priority(Main[[#This Row],[Comments]])&lt;&gt;0, priority(Main[[#This Row],[Comments]]),"")</f>
        <v/>
      </c>
      <c r="B386" s="90" t="s">
        <v>1261</v>
      </c>
      <c r="C386" s="72" t="s">
        <v>4</v>
      </c>
      <c r="D386" s="73" t="s">
        <v>316</v>
      </c>
      <c r="E386" s="74">
        <v>40701.550486111111</v>
      </c>
      <c r="F386" s="74"/>
      <c r="G386" s="75" t="str">
        <f>IF(stdProdLT(Main[[#This Row],[Comments]])=0.1,"N/A",IF(stdProdLT(Main[[#This Row],[Comments]])=0,"",stdProdLT(Main[[#This Row],[Comments]])))</f>
        <v/>
      </c>
      <c r="H386" s="76" t="str">
        <f>IF(AND(Main[[#This Row],[In Stock Date]]&lt;&gt;"",Main[[#This Row],[Revised Due Date]]&lt;&gt;""),Main[[#This Row],[In Stock Date]]-Main[[#This Row],[Revised Due Date]],"")</f>
        <v/>
      </c>
      <c r="I386" s="72" t="s">
        <v>4</v>
      </c>
      <c r="J386" s="72" t="s">
        <v>4</v>
      </c>
      <c r="K386" s="72" t="s">
        <v>4</v>
      </c>
      <c r="L386" s="74"/>
      <c r="M386" s="77" t="str">
        <f>IF(Main[[#This Row],[Tech Start Date]]&lt;1/1/1990,"",IF(Main[[#This Row],[Class]]="C",WORKDAY(Main[[#This Row],[Tech Start Date]],9),IF(Main[[#This Row],[Class]]="B", WORKDAY(Main[[#This Row],[Tech Start Date]],6),IF(Main[[#This Row],[Class]]="A",WORKDAY(Main[[#This Row],[Tech Start Date]],2),""))))</f>
        <v/>
      </c>
      <c r="N386" s="77" t="str">
        <f>IF(Main[[#This Row],[Tech Start Date]]&lt;1/1/1990,"",IF(Main[[#This Row],[Class]]="C",WORKDAY(Main[[#This Row],[Tech Start Date]],19),IF(Main[[#This Row],[Class]]="B", WORKDAY(Main[[#This Row],[Tech Start Date]],12),IF(Main[[#This Row],[Class]]="A",WORKDAY(Main[[#This Row],[Tech Start Date]],4),""))))</f>
        <v/>
      </c>
      <c r="O386" s="77" t="str">
        <f>IF(Main[[#This Row],[Tech Start Date]]&lt;1/1/1990,"",IF(Main[[#This Row],[Class]]="C",WORKDAY(Main[[#This Row],[Tech Start Date]],23),IF(Main[[#This Row],[Class]]="B", WORKDAY(Main[[#This Row],[Tech Start Date]],15),IF(Main[[#This Row],[Class]]="A",WORKDAY(Main[[#This Row],[Tech Start Date]],5),""))))</f>
        <v/>
      </c>
      <c r="P386" s="77" t="str">
        <f>IF(Main[[#This Row],[Tech Start Date]]&lt;1/1/1990,"",IF(Main[[#This Row],[Class]]="C",WORKDAY(Main[[#This Row],[Tech Start Date]],28),IF(Main[[#This Row],[Class]]="B", WORKDAY(Main[[#This Row],[Tech Start Date]],19),IF(Main[[#This Row],[Class]]="A",WORKDAY(Main[[#This Row],[Tech Start Date]],9),""))))</f>
        <v/>
      </c>
      <c r="Q386" s="74"/>
      <c r="R386" s="74"/>
      <c r="S386" s="72" t="s">
        <v>6</v>
      </c>
      <c r="T386" s="80" t="s">
        <v>4</v>
      </c>
      <c r="U386" s="72" t="s">
        <v>7</v>
      </c>
      <c r="V386" s="72" t="s">
        <v>1932</v>
      </c>
      <c r="W386" s="72" t="s">
        <v>4</v>
      </c>
      <c r="X386" s="72" t="s">
        <v>918</v>
      </c>
      <c r="Y386" s="72" t="s">
        <v>3104</v>
      </c>
      <c r="Z386" s="72" t="s">
        <v>4</v>
      </c>
      <c r="AA386" s="147" t="s">
        <v>918</v>
      </c>
    </row>
    <row r="387" spans="1:27" ht="18.600000000000001" customHeight="1">
      <c r="A387" s="140" t="str">
        <f>IF(priority(Main[[#This Row],[Comments]])&lt;&gt;0, priority(Main[[#This Row],[Comments]]),"")</f>
        <v/>
      </c>
      <c r="B387" s="90" t="s">
        <v>1262</v>
      </c>
      <c r="C387" s="72" t="s">
        <v>4</v>
      </c>
      <c r="D387" s="73" t="s">
        <v>317</v>
      </c>
      <c r="E387" s="74"/>
      <c r="F387" s="74"/>
      <c r="G387" s="75" t="str">
        <f>IF(stdProdLT(Main[[#This Row],[Comments]])=0.1,"N/A",IF(stdProdLT(Main[[#This Row],[Comments]])=0,"",stdProdLT(Main[[#This Row],[Comments]])))</f>
        <v/>
      </c>
      <c r="H387" s="76" t="str">
        <f>IF(AND(Main[[#This Row],[In Stock Date]]&lt;&gt;"",Main[[#This Row],[Revised Due Date]]&lt;&gt;""),Main[[#This Row],[In Stock Date]]-Main[[#This Row],[Revised Due Date]],"")</f>
        <v/>
      </c>
      <c r="I387" s="72" t="s">
        <v>4</v>
      </c>
      <c r="J387" s="72" t="s">
        <v>4</v>
      </c>
      <c r="K387" s="72" t="s">
        <v>4</v>
      </c>
      <c r="L387" s="74"/>
      <c r="M387" s="77" t="str">
        <f>IF(Main[[#This Row],[Tech Start Date]]&lt;1/1/1990,"",IF(Main[[#This Row],[Class]]="C",WORKDAY(Main[[#This Row],[Tech Start Date]],9),IF(Main[[#This Row],[Class]]="B", WORKDAY(Main[[#This Row],[Tech Start Date]],6),IF(Main[[#This Row],[Class]]="A",WORKDAY(Main[[#This Row],[Tech Start Date]],2),""))))</f>
        <v/>
      </c>
      <c r="N387" s="77" t="str">
        <f>IF(Main[[#This Row],[Tech Start Date]]&lt;1/1/1990,"",IF(Main[[#This Row],[Class]]="C",WORKDAY(Main[[#This Row],[Tech Start Date]],19),IF(Main[[#This Row],[Class]]="B", WORKDAY(Main[[#This Row],[Tech Start Date]],12),IF(Main[[#This Row],[Class]]="A",WORKDAY(Main[[#This Row],[Tech Start Date]],4),""))))</f>
        <v/>
      </c>
      <c r="O387" s="77" t="str">
        <f>IF(Main[[#This Row],[Tech Start Date]]&lt;1/1/1990,"",IF(Main[[#This Row],[Class]]="C",WORKDAY(Main[[#This Row],[Tech Start Date]],23),IF(Main[[#This Row],[Class]]="B", WORKDAY(Main[[#This Row],[Tech Start Date]],15),IF(Main[[#This Row],[Class]]="A",WORKDAY(Main[[#This Row],[Tech Start Date]],5),""))))</f>
        <v/>
      </c>
      <c r="P387" s="77" t="str">
        <f>IF(Main[[#This Row],[Tech Start Date]]&lt;1/1/1990,"",IF(Main[[#This Row],[Class]]="C",WORKDAY(Main[[#This Row],[Tech Start Date]],28),IF(Main[[#This Row],[Class]]="B", WORKDAY(Main[[#This Row],[Tech Start Date]],19),IF(Main[[#This Row],[Class]]="A",WORKDAY(Main[[#This Row],[Tech Start Date]],9),""))))</f>
        <v/>
      </c>
      <c r="Q387" s="74">
        <v>40374</v>
      </c>
      <c r="R387" s="155"/>
      <c r="S387" s="72" t="s">
        <v>11</v>
      </c>
      <c r="T387" s="80" t="s">
        <v>4</v>
      </c>
      <c r="U387" s="72" t="s">
        <v>12</v>
      </c>
      <c r="V387" s="72" t="s">
        <v>1933</v>
      </c>
      <c r="W387" s="72" t="s">
        <v>1934</v>
      </c>
      <c r="X387" s="72" t="s">
        <v>2956</v>
      </c>
      <c r="Y387" s="72" t="s">
        <v>3083</v>
      </c>
      <c r="Z387" s="72" t="s">
        <v>4</v>
      </c>
      <c r="AA387" s="147" t="s">
        <v>2956</v>
      </c>
    </row>
    <row r="388" spans="1:27" ht="18.600000000000001" customHeight="1">
      <c r="A388" s="140" t="str">
        <f>IF(priority(Main[[#This Row],[Comments]])&lt;&gt;0, priority(Main[[#This Row],[Comments]]),"")</f>
        <v/>
      </c>
      <c r="B388" s="90" t="s">
        <v>1263</v>
      </c>
      <c r="C388" s="72" t="s">
        <v>4</v>
      </c>
      <c r="D388" s="73" t="s">
        <v>318</v>
      </c>
      <c r="E388" s="74"/>
      <c r="F388" s="74"/>
      <c r="G388" s="75" t="str">
        <f>IF(stdProdLT(Main[[#This Row],[Comments]])=0.1,"N/A",IF(stdProdLT(Main[[#This Row],[Comments]])=0,"",stdProdLT(Main[[#This Row],[Comments]])))</f>
        <v/>
      </c>
      <c r="H388" s="76" t="str">
        <f>IF(AND(Main[[#This Row],[In Stock Date]]&lt;&gt;"",Main[[#This Row],[Revised Due Date]]&lt;&gt;""),Main[[#This Row],[In Stock Date]]-Main[[#This Row],[Revised Due Date]],"")</f>
        <v/>
      </c>
      <c r="I388" s="72" t="s">
        <v>4</v>
      </c>
      <c r="J388" s="72" t="s">
        <v>4</v>
      </c>
      <c r="K388" s="72" t="s">
        <v>4</v>
      </c>
      <c r="L388" s="74"/>
      <c r="M388" s="77" t="str">
        <f>IF(Main[[#This Row],[Tech Start Date]]&lt;1/1/1990,"",IF(Main[[#This Row],[Class]]="C",WORKDAY(Main[[#This Row],[Tech Start Date]],9),IF(Main[[#This Row],[Class]]="B", WORKDAY(Main[[#This Row],[Tech Start Date]],6),IF(Main[[#This Row],[Class]]="A",WORKDAY(Main[[#This Row],[Tech Start Date]],2),""))))</f>
        <v/>
      </c>
      <c r="N388" s="77" t="str">
        <f>IF(Main[[#This Row],[Tech Start Date]]&lt;1/1/1990,"",IF(Main[[#This Row],[Class]]="C",WORKDAY(Main[[#This Row],[Tech Start Date]],19),IF(Main[[#This Row],[Class]]="B", WORKDAY(Main[[#This Row],[Tech Start Date]],12),IF(Main[[#This Row],[Class]]="A",WORKDAY(Main[[#This Row],[Tech Start Date]],4),""))))</f>
        <v/>
      </c>
      <c r="O388" s="77" t="str">
        <f>IF(Main[[#This Row],[Tech Start Date]]&lt;1/1/1990,"",IF(Main[[#This Row],[Class]]="C",WORKDAY(Main[[#This Row],[Tech Start Date]],23),IF(Main[[#This Row],[Class]]="B", WORKDAY(Main[[#This Row],[Tech Start Date]],15),IF(Main[[#This Row],[Class]]="A",WORKDAY(Main[[#This Row],[Tech Start Date]],5),""))))</f>
        <v/>
      </c>
      <c r="P388" s="77" t="str">
        <f>IF(Main[[#This Row],[Tech Start Date]]&lt;1/1/1990,"",IF(Main[[#This Row],[Class]]="C",WORKDAY(Main[[#This Row],[Tech Start Date]],28),IF(Main[[#This Row],[Class]]="B", WORKDAY(Main[[#This Row],[Tech Start Date]],19),IF(Main[[#This Row],[Class]]="A",WORKDAY(Main[[#This Row],[Tech Start Date]],9),""))))</f>
        <v/>
      </c>
      <c r="Q388" s="74"/>
      <c r="R388" s="74"/>
      <c r="S388" s="72" t="s">
        <v>6</v>
      </c>
      <c r="T388" s="80" t="s">
        <v>4</v>
      </c>
      <c r="U388" s="72" t="s">
        <v>14</v>
      </c>
      <c r="V388" s="72" t="s">
        <v>1933</v>
      </c>
      <c r="W388" s="72" t="s">
        <v>1934</v>
      </c>
      <c r="X388" s="72" t="s">
        <v>2946</v>
      </c>
      <c r="Y388" s="72" t="s">
        <v>3093</v>
      </c>
      <c r="Z388" s="72" t="s">
        <v>4</v>
      </c>
      <c r="AA388" s="147" t="s">
        <v>2946</v>
      </c>
    </row>
    <row r="389" spans="1:27" ht="18.600000000000001" customHeight="1">
      <c r="A389" s="140" t="str">
        <f>IF(priority(Main[[#This Row],[Comments]])&lt;&gt;0, priority(Main[[#This Row],[Comments]]),"")</f>
        <v/>
      </c>
      <c r="B389" s="90" t="s">
        <v>1264</v>
      </c>
      <c r="C389" s="72" t="s">
        <v>200</v>
      </c>
      <c r="D389" s="73" t="s">
        <v>319</v>
      </c>
      <c r="E389" s="74"/>
      <c r="F389" s="74"/>
      <c r="G389" s="75" t="str">
        <f>IF(stdProdLT(Main[[#This Row],[Comments]])=0.1,"N/A",IF(stdProdLT(Main[[#This Row],[Comments]])=0,"",stdProdLT(Main[[#This Row],[Comments]])))</f>
        <v/>
      </c>
      <c r="H389" s="76" t="str">
        <f>IF(AND(Main[[#This Row],[In Stock Date]]&lt;&gt;"",Main[[#This Row],[Revised Due Date]]&lt;&gt;""),Main[[#This Row],[In Stock Date]]-Main[[#This Row],[Revised Due Date]],"")</f>
        <v/>
      </c>
      <c r="I389" s="72" t="s">
        <v>4</v>
      </c>
      <c r="J389" s="72" t="s">
        <v>4</v>
      </c>
      <c r="K389" s="72" t="s">
        <v>4</v>
      </c>
      <c r="L389" s="74"/>
      <c r="M389" s="77" t="str">
        <f>IF(Main[[#This Row],[Tech Start Date]]&lt;1/1/1990,"",IF(Main[[#This Row],[Class]]="C",WORKDAY(Main[[#This Row],[Tech Start Date]],9),IF(Main[[#This Row],[Class]]="B", WORKDAY(Main[[#This Row],[Tech Start Date]],6),IF(Main[[#This Row],[Class]]="A",WORKDAY(Main[[#This Row],[Tech Start Date]],2),""))))</f>
        <v/>
      </c>
      <c r="N389" s="77" t="str">
        <f>IF(Main[[#This Row],[Tech Start Date]]&lt;1/1/1990,"",IF(Main[[#This Row],[Class]]="C",WORKDAY(Main[[#This Row],[Tech Start Date]],19),IF(Main[[#This Row],[Class]]="B", WORKDAY(Main[[#This Row],[Tech Start Date]],12),IF(Main[[#This Row],[Class]]="A",WORKDAY(Main[[#This Row],[Tech Start Date]],4),""))))</f>
        <v/>
      </c>
      <c r="O389" s="77" t="str">
        <f>IF(Main[[#This Row],[Tech Start Date]]&lt;1/1/1990,"",IF(Main[[#This Row],[Class]]="C",WORKDAY(Main[[#This Row],[Tech Start Date]],23),IF(Main[[#This Row],[Class]]="B", WORKDAY(Main[[#This Row],[Tech Start Date]],15),IF(Main[[#This Row],[Class]]="A",WORKDAY(Main[[#This Row],[Tech Start Date]],5),""))))</f>
        <v/>
      </c>
      <c r="P389" s="77" t="str">
        <f>IF(Main[[#This Row],[Tech Start Date]]&lt;1/1/1990,"",IF(Main[[#This Row],[Class]]="C",WORKDAY(Main[[#This Row],[Tech Start Date]],28),IF(Main[[#This Row],[Class]]="B", WORKDAY(Main[[#This Row],[Tech Start Date]],19),IF(Main[[#This Row],[Class]]="A",WORKDAY(Main[[#This Row],[Tech Start Date]],9),""))))</f>
        <v/>
      </c>
      <c r="Q389" s="74">
        <v>40165</v>
      </c>
      <c r="R389" s="74"/>
      <c r="S389" s="72" t="s">
        <v>11</v>
      </c>
      <c r="T389" s="80" t="s">
        <v>4</v>
      </c>
      <c r="U389" s="72" t="s">
        <v>14</v>
      </c>
      <c r="V389" s="72" t="s">
        <v>1942</v>
      </c>
      <c r="W389" s="72" t="s">
        <v>1938</v>
      </c>
      <c r="X389" s="72" t="s">
        <v>310</v>
      </c>
      <c r="Y389" s="72" t="s">
        <v>3050</v>
      </c>
      <c r="Z389" s="72" t="s">
        <v>4</v>
      </c>
      <c r="AA389" s="147" t="s">
        <v>894</v>
      </c>
    </row>
    <row r="390" spans="1:27" ht="18.600000000000001" customHeight="1">
      <c r="A390" s="140" t="str">
        <f>IF(priority(Main[[#This Row],[Comments]])&lt;&gt;0, priority(Main[[#This Row],[Comments]]),"")</f>
        <v/>
      </c>
      <c r="B390" s="90" t="s">
        <v>1266</v>
      </c>
      <c r="C390" s="72" t="s">
        <v>4</v>
      </c>
      <c r="D390" s="73" t="s">
        <v>321</v>
      </c>
      <c r="E390" s="74">
        <v>40275.49355324074</v>
      </c>
      <c r="F390" s="74"/>
      <c r="G390" s="75" t="str">
        <f>IF(stdProdLT(Main[[#This Row],[Comments]])=0.1,"N/A",IF(stdProdLT(Main[[#This Row],[Comments]])=0,"",stdProdLT(Main[[#This Row],[Comments]])))</f>
        <v/>
      </c>
      <c r="H390" s="76" t="str">
        <f>IF(AND(Main[[#This Row],[In Stock Date]]&lt;&gt;"",Main[[#This Row],[Revised Due Date]]&lt;&gt;""),Main[[#This Row],[In Stock Date]]-Main[[#This Row],[Revised Due Date]],"")</f>
        <v/>
      </c>
      <c r="I390" s="72" t="s">
        <v>4</v>
      </c>
      <c r="J390" s="72" t="s">
        <v>4</v>
      </c>
      <c r="K390" s="81" t="s">
        <v>4</v>
      </c>
      <c r="L390" s="74"/>
      <c r="M390" s="77" t="str">
        <f>IF(Main[[#This Row],[Tech Start Date]]&lt;1/1/1990,"",IF(Main[[#This Row],[Class]]="C",WORKDAY(Main[[#This Row],[Tech Start Date]],9),IF(Main[[#This Row],[Class]]="B", WORKDAY(Main[[#This Row],[Tech Start Date]],6),IF(Main[[#This Row],[Class]]="A",WORKDAY(Main[[#This Row],[Tech Start Date]],2),""))))</f>
        <v/>
      </c>
      <c r="N390" s="77" t="str">
        <f>IF(Main[[#This Row],[Tech Start Date]]&lt;1/1/1990,"",IF(Main[[#This Row],[Class]]="C",WORKDAY(Main[[#This Row],[Tech Start Date]],19),IF(Main[[#This Row],[Class]]="B", WORKDAY(Main[[#This Row],[Tech Start Date]],12),IF(Main[[#This Row],[Class]]="A",WORKDAY(Main[[#This Row],[Tech Start Date]],4),""))))</f>
        <v/>
      </c>
      <c r="O390" s="77" t="str">
        <f>IF(Main[[#This Row],[Tech Start Date]]&lt;1/1/1990,"",IF(Main[[#This Row],[Class]]="C",WORKDAY(Main[[#This Row],[Tech Start Date]],23),IF(Main[[#This Row],[Class]]="B", WORKDAY(Main[[#This Row],[Tech Start Date]],15),IF(Main[[#This Row],[Class]]="A",WORKDAY(Main[[#This Row],[Tech Start Date]],5),""))))</f>
        <v/>
      </c>
      <c r="P390" s="77" t="str">
        <f>IF(Main[[#This Row],[Tech Start Date]]&lt;1/1/1990,"",IF(Main[[#This Row],[Class]]="C",WORKDAY(Main[[#This Row],[Tech Start Date]],28),IF(Main[[#This Row],[Class]]="B", WORKDAY(Main[[#This Row],[Tech Start Date]],19),IF(Main[[#This Row],[Class]]="A",WORKDAY(Main[[#This Row],[Tech Start Date]],9),""))))</f>
        <v/>
      </c>
      <c r="Q390" s="74">
        <v>40289</v>
      </c>
      <c r="R390" s="74"/>
      <c r="S390" s="72" t="s">
        <v>322</v>
      </c>
      <c r="T390" s="80" t="s">
        <v>4</v>
      </c>
      <c r="U390" s="72" t="s">
        <v>7</v>
      </c>
      <c r="V390" s="72" t="s">
        <v>1932</v>
      </c>
      <c r="W390" s="72" t="s">
        <v>1934</v>
      </c>
      <c r="X390" s="72" t="s">
        <v>2905</v>
      </c>
      <c r="Y390" s="72" t="s">
        <v>3023</v>
      </c>
      <c r="Z390" s="72" t="s">
        <v>4</v>
      </c>
      <c r="AA390" s="147" t="s">
        <v>2905</v>
      </c>
    </row>
    <row r="391" spans="1:27" ht="18.600000000000001" customHeight="1">
      <c r="A391" s="140" t="str">
        <f>IF(priority(Main[[#This Row],[Comments]])&lt;&gt;0, priority(Main[[#This Row],[Comments]]),"")</f>
        <v/>
      </c>
      <c r="B391" s="90" t="s">
        <v>1268</v>
      </c>
      <c r="C391" s="72" t="s">
        <v>4</v>
      </c>
      <c r="D391" s="73" t="s">
        <v>324</v>
      </c>
      <c r="E391" s="74"/>
      <c r="F391" s="74"/>
      <c r="G391" s="75" t="str">
        <f>IF(stdProdLT(Main[[#This Row],[Comments]])=0.1,"N/A",IF(stdProdLT(Main[[#This Row],[Comments]])=0,"",stdProdLT(Main[[#This Row],[Comments]])))</f>
        <v/>
      </c>
      <c r="H391" s="76" t="str">
        <f>IF(AND(Main[[#This Row],[In Stock Date]]&lt;&gt;"",Main[[#This Row],[Revised Due Date]]&lt;&gt;""),Main[[#This Row],[In Stock Date]]-Main[[#This Row],[Revised Due Date]],"")</f>
        <v/>
      </c>
      <c r="I391" s="72" t="s">
        <v>4</v>
      </c>
      <c r="J391" s="72" t="s">
        <v>28</v>
      </c>
      <c r="K391" s="72" t="s">
        <v>4</v>
      </c>
      <c r="L391" s="74"/>
      <c r="M391" s="77" t="str">
        <f>IF(Main[[#This Row],[Tech Start Date]]&lt;1/1/1990,"",IF(Main[[#This Row],[Class]]="C",WORKDAY(Main[[#This Row],[Tech Start Date]],9),IF(Main[[#This Row],[Class]]="B", WORKDAY(Main[[#This Row],[Tech Start Date]],6),IF(Main[[#This Row],[Class]]="A",WORKDAY(Main[[#This Row],[Tech Start Date]],2),""))))</f>
        <v/>
      </c>
      <c r="N391" s="77" t="str">
        <f>IF(Main[[#This Row],[Tech Start Date]]&lt;1/1/1990,"",IF(Main[[#This Row],[Class]]="C",WORKDAY(Main[[#This Row],[Tech Start Date]],19),IF(Main[[#This Row],[Class]]="B", WORKDAY(Main[[#This Row],[Tech Start Date]],12),IF(Main[[#This Row],[Class]]="A",WORKDAY(Main[[#This Row],[Tech Start Date]],4),""))))</f>
        <v/>
      </c>
      <c r="O391" s="77" t="str">
        <f>IF(Main[[#This Row],[Tech Start Date]]&lt;1/1/1990,"",IF(Main[[#This Row],[Class]]="C",WORKDAY(Main[[#This Row],[Tech Start Date]],23),IF(Main[[#This Row],[Class]]="B", WORKDAY(Main[[#This Row],[Tech Start Date]],15),IF(Main[[#This Row],[Class]]="A",WORKDAY(Main[[#This Row],[Tech Start Date]],5),""))))</f>
        <v/>
      </c>
      <c r="P391" s="77" t="str">
        <f>IF(Main[[#This Row],[Tech Start Date]]&lt;1/1/1990,"",IF(Main[[#This Row],[Class]]="C",WORKDAY(Main[[#This Row],[Tech Start Date]],28),IF(Main[[#This Row],[Class]]="B", WORKDAY(Main[[#This Row],[Tech Start Date]],19),IF(Main[[#This Row],[Class]]="A",WORKDAY(Main[[#This Row],[Tech Start Date]],9),""))))</f>
        <v/>
      </c>
      <c r="Q391" s="74"/>
      <c r="R391" s="74"/>
      <c r="S391" s="72" t="s">
        <v>17</v>
      </c>
      <c r="T391" s="80" t="s">
        <v>4</v>
      </c>
      <c r="U391" s="72" t="s">
        <v>14</v>
      </c>
      <c r="V391" s="72" t="s">
        <v>1932</v>
      </c>
      <c r="W391" s="72" t="s">
        <v>1936</v>
      </c>
      <c r="X391" s="72" t="s">
        <v>129</v>
      </c>
      <c r="Y391" s="72" t="s">
        <v>4</v>
      </c>
      <c r="Z391" s="72" t="s">
        <v>129</v>
      </c>
      <c r="AA391" s="147" t="s">
        <v>2905</v>
      </c>
    </row>
    <row r="392" spans="1:27" ht="18.600000000000001" customHeight="1">
      <c r="A392" s="140" t="str">
        <f>IF(priority(Main[[#This Row],[Comments]])&lt;&gt;0, priority(Main[[#This Row],[Comments]]),"")</f>
        <v/>
      </c>
      <c r="B392" s="90" t="s">
        <v>1269</v>
      </c>
      <c r="C392" s="72" t="s">
        <v>4</v>
      </c>
      <c r="D392" s="73" t="s">
        <v>325</v>
      </c>
      <c r="E392" s="74"/>
      <c r="F392" s="74"/>
      <c r="G392" s="75" t="str">
        <f>IF(stdProdLT(Main[[#This Row],[Comments]])=0.1,"N/A",IF(stdProdLT(Main[[#This Row],[Comments]])=0,"",stdProdLT(Main[[#This Row],[Comments]])))</f>
        <v/>
      </c>
      <c r="H392" s="76" t="str">
        <f>IF(AND(Main[[#This Row],[In Stock Date]]&lt;&gt;"",Main[[#This Row],[Revised Due Date]]&lt;&gt;""),Main[[#This Row],[In Stock Date]]-Main[[#This Row],[Revised Due Date]],"")</f>
        <v/>
      </c>
      <c r="I392" s="72" t="s">
        <v>4</v>
      </c>
      <c r="J392" s="72" t="s">
        <v>4</v>
      </c>
      <c r="K392" s="72" t="s">
        <v>4</v>
      </c>
      <c r="L392" s="74"/>
      <c r="M392" s="77" t="str">
        <f>IF(Main[[#This Row],[Tech Start Date]]&lt;1/1/1990,"",IF(Main[[#This Row],[Class]]="C",WORKDAY(Main[[#This Row],[Tech Start Date]],9),IF(Main[[#This Row],[Class]]="B", WORKDAY(Main[[#This Row],[Tech Start Date]],6),IF(Main[[#This Row],[Class]]="A",WORKDAY(Main[[#This Row],[Tech Start Date]],2),""))))</f>
        <v/>
      </c>
      <c r="N392" s="77" t="str">
        <f>IF(Main[[#This Row],[Tech Start Date]]&lt;1/1/1990,"",IF(Main[[#This Row],[Class]]="C",WORKDAY(Main[[#This Row],[Tech Start Date]],19),IF(Main[[#This Row],[Class]]="B", WORKDAY(Main[[#This Row],[Tech Start Date]],12),IF(Main[[#This Row],[Class]]="A",WORKDAY(Main[[#This Row],[Tech Start Date]],4),""))))</f>
        <v/>
      </c>
      <c r="O392" s="77" t="str">
        <f>IF(Main[[#This Row],[Tech Start Date]]&lt;1/1/1990,"",IF(Main[[#This Row],[Class]]="C",WORKDAY(Main[[#This Row],[Tech Start Date]],23),IF(Main[[#This Row],[Class]]="B", WORKDAY(Main[[#This Row],[Tech Start Date]],15),IF(Main[[#This Row],[Class]]="A",WORKDAY(Main[[#This Row],[Tech Start Date]],5),""))))</f>
        <v/>
      </c>
      <c r="P392" s="77" t="str">
        <f>IF(Main[[#This Row],[Tech Start Date]]&lt;1/1/1990,"",IF(Main[[#This Row],[Class]]="C",WORKDAY(Main[[#This Row],[Tech Start Date]],28),IF(Main[[#This Row],[Class]]="B", WORKDAY(Main[[#This Row],[Tech Start Date]],19),IF(Main[[#This Row],[Class]]="A",WORKDAY(Main[[#This Row],[Tech Start Date]],9),""))))</f>
        <v/>
      </c>
      <c r="Q392" s="74">
        <v>40725</v>
      </c>
      <c r="R392" s="74"/>
      <c r="S392" s="72" t="s">
        <v>17</v>
      </c>
      <c r="T392" s="80" t="s">
        <v>4</v>
      </c>
      <c r="U392" s="72" t="s">
        <v>14</v>
      </c>
      <c r="V392" s="72" t="s">
        <v>1932</v>
      </c>
      <c r="W392" s="72" t="s">
        <v>1934</v>
      </c>
      <c r="X392" s="72" t="s">
        <v>918</v>
      </c>
      <c r="Y392" s="72" t="s">
        <v>3104</v>
      </c>
      <c r="Z392" s="72" t="s">
        <v>4</v>
      </c>
      <c r="AA392" s="147" t="s">
        <v>918</v>
      </c>
    </row>
    <row r="393" spans="1:27" ht="18.600000000000001" customHeight="1">
      <c r="A393" s="140" t="str">
        <f>IF(priority(Main[[#This Row],[Comments]])&lt;&gt;0, priority(Main[[#This Row],[Comments]]),"")</f>
        <v/>
      </c>
      <c r="B393" s="90" t="s">
        <v>1270</v>
      </c>
      <c r="C393" s="72" t="s">
        <v>93</v>
      </c>
      <c r="D393" s="73" t="s">
        <v>326</v>
      </c>
      <c r="E393" s="74"/>
      <c r="F393" s="74">
        <v>40168</v>
      </c>
      <c r="G393" s="75" t="str">
        <f>IF(stdProdLT(Main[[#This Row],[Comments]])=0.1,"N/A",IF(stdProdLT(Main[[#This Row],[Comments]])=0,"",stdProdLT(Main[[#This Row],[Comments]])))</f>
        <v/>
      </c>
      <c r="H393" s="76" t="str">
        <f>IF(AND(Main[[#This Row],[In Stock Date]]&lt;&gt;"",Main[[#This Row],[Revised Due Date]]&lt;&gt;""),Main[[#This Row],[In Stock Date]]-Main[[#This Row],[Revised Due Date]],"")</f>
        <v/>
      </c>
      <c r="I393" s="72" t="s">
        <v>4</v>
      </c>
      <c r="J393" s="72" t="s">
        <v>4</v>
      </c>
      <c r="K393" s="72" t="s">
        <v>4</v>
      </c>
      <c r="L393" s="74"/>
      <c r="M393" s="77" t="str">
        <f>IF(Main[[#This Row],[Tech Start Date]]&lt;1/1/1990,"",IF(Main[[#This Row],[Class]]="C",WORKDAY(Main[[#This Row],[Tech Start Date]],9),IF(Main[[#This Row],[Class]]="B", WORKDAY(Main[[#This Row],[Tech Start Date]],6),IF(Main[[#This Row],[Class]]="A",WORKDAY(Main[[#This Row],[Tech Start Date]],2),""))))</f>
        <v/>
      </c>
      <c r="N393" s="77" t="str">
        <f>IF(Main[[#This Row],[Tech Start Date]]&lt;1/1/1990,"",IF(Main[[#This Row],[Class]]="C",WORKDAY(Main[[#This Row],[Tech Start Date]],19),IF(Main[[#This Row],[Class]]="B", WORKDAY(Main[[#This Row],[Tech Start Date]],12),IF(Main[[#This Row],[Class]]="A",WORKDAY(Main[[#This Row],[Tech Start Date]],4),""))))</f>
        <v/>
      </c>
      <c r="O393" s="77" t="str">
        <f>IF(Main[[#This Row],[Tech Start Date]]&lt;1/1/1990,"",IF(Main[[#This Row],[Class]]="C",WORKDAY(Main[[#This Row],[Tech Start Date]],23),IF(Main[[#This Row],[Class]]="B", WORKDAY(Main[[#This Row],[Tech Start Date]],15),IF(Main[[#This Row],[Class]]="A",WORKDAY(Main[[#This Row],[Tech Start Date]],5),""))))</f>
        <v/>
      </c>
      <c r="P393" s="77" t="str">
        <f>IF(Main[[#This Row],[Tech Start Date]]&lt;1/1/1990,"",IF(Main[[#This Row],[Class]]="C",WORKDAY(Main[[#This Row],[Tech Start Date]],28),IF(Main[[#This Row],[Class]]="B", WORKDAY(Main[[#This Row],[Tech Start Date]],19),IF(Main[[#This Row],[Class]]="A",WORKDAY(Main[[#This Row],[Tech Start Date]],9),""))))</f>
        <v/>
      </c>
      <c r="Q393" s="74">
        <v>39993</v>
      </c>
      <c r="R393" s="74"/>
      <c r="S393" s="72" t="s">
        <v>11</v>
      </c>
      <c r="T393" s="80" t="s">
        <v>4</v>
      </c>
      <c r="U393" s="72" t="s">
        <v>14</v>
      </c>
      <c r="V393" s="72" t="s">
        <v>1933</v>
      </c>
      <c r="W393" s="72" t="s">
        <v>1940</v>
      </c>
      <c r="X393" s="72" t="s">
        <v>2937</v>
      </c>
      <c r="Y393" s="72" t="s">
        <v>3078</v>
      </c>
      <c r="Z393" s="72" t="s">
        <v>4</v>
      </c>
      <c r="AA393" s="147" t="s">
        <v>2937</v>
      </c>
    </row>
    <row r="394" spans="1:27" ht="18.600000000000001" customHeight="1">
      <c r="A394" s="140" t="str">
        <f>IF(priority(Main[[#This Row],[Comments]])&lt;&gt;0, priority(Main[[#This Row],[Comments]]),"")</f>
        <v/>
      </c>
      <c r="B394" s="90" t="s">
        <v>1271</v>
      </c>
      <c r="C394" s="72" t="s">
        <v>93</v>
      </c>
      <c r="D394" s="73" t="s">
        <v>327</v>
      </c>
      <c r="E394" s="74"/>
      <c r="F394" s="74">
        <v>40299</v>
      </c>
      <c r="G394" s="75" t="str">
        <f>IF(stdProdLT(Main[[#This Row],[Comments]])=0.1,"N/A",IF(stdProdLT(Main[[#This Row],[Comments]])=0,"",stdProdLT(Main[[#This Row],[Comments]])))</f>
        <v/>
      </c>
      <c r="H394" s="76" t="str">
        <f>IF(AND(Main[[#This Row],[In Stock Date]]&lt;&gt;"",Main[[#This Row],[Revised Due Date]]&lt;&gt;""),Main[[#This Row],[In Stock Date]]-Main[[#This Row],[Revised Due Date]],"")</f>
        <v/>
      </c>
      <c r="I394" s="72" t="s">
        <v>4</v>
      </c>
      <c r="J394" s="72" t="s">
        <v>4</v>
      </c>
      <c r="K394" s="72" t="s">
        <v>4</v>
      </c>
      <c r="L394" s="74"/>
      <c r="M394" s="77" t="str">
        <f>IF(Main[[#This Row],[Tech Start Date]]&lt;1/1/1990,"",IF(Main[[#This Row],[Class]]="C",WORKDAY(Main[[#This Row],[Tech Start Date]],9),IF(Main[[#This Row],[Class]]="B", WORKDAY(Main[[#This Row],[Tech Start Date]],6),IF(Main[[#This Row],[Class]]="A",WORKDAY(Main[[#This Row],[Tech Start Date]],2),""))))</f>
        <v/>
      </c>
      <c r="N394" s="77" t="str">
        <f>IF(Main[[#This Row],[Tech Start Date]]&lt;1/1/1990,"",IF(Main[[#This Row],[Class]]="C",WORKDAY(Main[[#This Row],[Tech Start Date]],19),IF(Main[[#This Row],[Class]]="B", WORKDAY(Main[[#This Row],[Tech Start Date]],12),IF(Main[[#This Row],[Class]]="A",WORKDAY(Main[[#This Row],[Tech Start Date]],4),""))))</f>
        <v/>
      </c>
      <c r="O394" s="77" t="str">
        <f>IF(Main[[#This Row],[Tech Start Date]]&lt;1/1/1990,"",IF(Main[[#This Row],[Class]]="C",WORKDAY(Main[[#This Row],[Tech Start Date]],23),IF(Main[[#This Row],[Class]]="B", WORKDAY(Main[[#This Row],[Tech Start Date]],15),IF(Main[[#This Row],[Class]]="A",WORKDAY(Main[[#This Row],[Tech Start Date]],5),""))))</f>
        <v/>
      </c>
      <c r="P394" s="77" t="str">
        <f>IF(Main[[#This Row],[Tech Start Date]]&lt;1/1/1990,"",IF(Main[[#This Row],[Class]]="C",WORKDAY(Main[[#This Row],[Tech Start Date]],28),IF(Main[[#This Row],[Class]]="B", WORKDAY(Main[[#This Row],[Tech Start Date]],19),IF(Main[[#This Row],[Class]]="A",WORKDAY(Main[[#This Row],[Tech Start Date]],9),""))))</f>
        <v/>
      </c>
      <c r="Q394" s="74">
        <v>40214</v>
      </c>
      <c r="R394" s="74"/>
      <c r="S394" s="72" t="s">
        <v>11</v>
      </c>
      <c r="T394" s="80" t="s">
        <v>4</v>
      </c>
      <c r="U394" s="72" t="s">
        <v>12</v>
      </c>
      <c r="V394" s="72" t="s">
        <v>1932</v>
      </c>
      <c r="W394" s="72" t="s">
        <v>1938</v>
      </c>
      <c r="X394" s="72" t="s">
        <v>2929</v>
      </c>
      <c r="Y394" s="72" t="s">
        <v>4</v>
      </c>
      <c r="Z394" s="72" t="s">
        <v>4</v>
      </c>
      <c r="AA394" s="147" t="s">
        <v>2929</v>
      </c>
    </row>
    <row r="395" spans="1:27" ht="18.600000000000001" customHeight="1">
      <c r="A395" s="140" t="str">
        <f>IF(priority(Main[[#This Row],[Comments]])&lt;&gt;0, priority(Main[[#This Row],[Comments]]),"")</f>
        <v/>
      </c>
      <c r="B395" s="90" t="s">
        <v>1272</v>
      </c>
      <c r="C395" s="72" t="s">
        <v>4</v>
      </c>
      <c r="D395" s="73" t="s">
        <v>332</v>
      </c>
      <c r="E395" s="74"/>
      <c r="F395" s="74"/>
      <c r="G395" s="75" t="str">
        <f>IF(stdProdLT(Main[[#This Row],[Comments]])=0.1,"N/A",IF(stdProdLT(Main[[#This Row],[Comments]])=0,"",stdProdLT(Main[[#This Row],[Comments]])))</f>
        <v/>
      </c>
      <c r="H395" s="76" t="str">
        <f>IF(AND(Main[[#This Row],[In Stock Date]]&lt;&gt;"",Main[[#This Row],[Revised Due Date]]&lt;&gt;""),Main[[#This Row],[In Stock Date]]-Main[[#This Row],[Revised Due Date]],"")</f>
        <v/>
      </c>
      <c r="I395" s="72" t="s">
        <v>4</v>
      </c>
      <c r="J395" s="72" t="s">
        <v>4</v>
      </c>
      <c r="K395" s="72" t="s">
        <v>4</v>
      </c>
      <c r="L395" s="74"/>
      <c r="M395" s="77" t="str">
        <f>IF(Main[[#This Row],[Tech Start Date]]&lt;1/1/1990,"",IF(Main[[#This Row],[Class]]="C",WORKDAY(Main[[#This Row],[Tech Start Date]],9),IF(Main[[#This Row],[Class]]="B", WORKDAY(Main[[#This Row],[Tech Start Date]],6),IF(Main[[#This Row],[Class]]="A",WORKDAY(Main[[#This Row],[Tech Start Date]],2),""))))</f>
        <v/>
      </c>
      <c r="N395" s="77" t="str">
        <f>IF(Main[[#This Row],[Tech Start Date]]&lt;1/1/1990,"",IF(Main[[#This Row],[Class]]="C",WORKDAY(Main[[#This Row],[Tech Start Date]],19),IF(Main[[#This Row],[Class]]="B", WORKDAY(Main[[#This Row],[Tech Start Date]],12),IF(Main[[#This Row],[Class]]="A",WORKDAY(Main[[#This Row],[Tech Start Date]],4),""))))</f>
        <v/>
      </c>
      <c r="O395" s="77" t="str">
        <f>IF(Main[[#This Row],[Tech Start Date]]&lt;1/1/1990,"",IF(Main[[#This Row],[Class]]="C",WORKDAY(Main[[#This Row],[Tech Start Date]],23),IF(Main[[#This Row],[Class]]="B", WORKDAY(Main[[#This Row],[Tech Start Date]],15),IF(Main[[#This Row],[Class]]="A",WORKDAY(Main[[#This Row],[Tech Start Date]],5),""))))</f>
        <v/>
      </c>
      <c r="P395" s="77" t="str">
        <f>IF(Main[[#This Row],[Tech Start Date]]&lt;1/1/1990,"",IF(Main[[#This Row],[Class]]="C",WORKDAY(Main[[#This Row],[Tech Start Date]],28),IF(Main[[#This Row],[Class]]="B", WORKDAY(Main[[#This Row],[Tech Start Date]],19),IF(Main[[#This Row],[Class]]="A",WORKDAY(Main[[#This Row],[Tech Start Date]],9),""))))</f>
        <v/>
      </c>
      <c r="Q395" s="74"/>
      <c r="R395" s="74"/>
      <c r="S395" s="72" t="s">
        <v>17</v>
      </c>
      <c r="T395" s="80" t="s">
        <v>4</v>
      </c>
      <c r="U395" s="72" t="s">
        <v>14</v>
      </c>
      <c r="V395" s="72" t="s">
        <v>1932</v>
      </c>
      <c r="W395" s="72" t="s">
        <v>1934</v>
      </c>
      <c r="X395" s="72" t="s">
        <v>918</v>
      </c>
      <c r="Y395" s="72" t="s">
        <v>3104</v>
      </c>
      <c r="Z395" s="72" t="s">
        <v>4</v>
      </c>
      <c r="AA395" s="147" t="s">
        <v>918</v>
      </c>
    </row>
    <row r="396" spans="1:27" ht="18.600000000000001" customHeight="1">
      <c r="A396" s="140" t="str">
        <f>IF(priority(Main[[#This Row],[Comments]])&lt;&gt;0, priority(Main[[#This Row],[Comments]]),"")</f>
        <v/>
      </c>
      <c r="B396" s="90" t="s">
        <v>1273</v>
      </c>
      <c r="C396" s="72" t="s">
        <v>4</v>
      </c>
      <c r="D396" s="73" t="s">
        <v>333</v>
      </c>
      <c r="E396" s="74">
        <v>40519.3518287037</v>
      </c>
      <c r="F396" s="74"/>
      <c r="G396" s="75" t="str">
        <f>IF(stdProdLT(Main[[#This Row],[Comments]])=0.1,"N/A",IF(stdProdLT(Main[[#This Row],[Comments]])=0,"",stdProdLT(Main[[#This Row],[Comments]])))</f>
        <v/>
      </c>
      <c r="H396" s="76" t="str">
        <f>IF(AND(Main[[#This Row],[In Stock Date]]&lt;&gt;"",Main[[#This Row],[Revised Due Date]]&lt;&gt;""),Main[[#This Row],[In Stock Date]]-Main[[#This Row],[Revised Due Date]],"")</f>
        <v/>
      </c>
      <c r="I396" s="72" t="s">
        <v>4</v>
      </c>
      <c r="J396" s="72" t="s">
        <v>4</v>
      </c>
      <c r="K396" s="72" t="s">
        <v>4</v>
      </c>
      <c r="L396" s="74"/>
      <c r="M396" s="77" t="str">
        <f>IF(Main[[#This Row],[Tech Start Date]]&lt;1/1/1990,"",IF(Main[[#This Row],[Class]]="C",WORKDAY(Main[[#This Row],[Tech Start Date]],9),IF(Main[[#This Row],[Class]]="B", WORKDAY(Main[[#This Row],[Tech Start Date]],6),IF(Main[[#This Row],[Class]]="A",WORKDAY(Main[[#This Row],[Tech Start Date]],2),""))))</f>
        <v/>
      </c>
      <c r="N396" s="77" t="str">
        <f>IF(Main[[#This Row],[Tech Start Date]]&lt;1/1/1990,"",IF(Main[[#This Row],[Class]]="C",WORKDAY(Main[[#This Row],[Tech Start Date]],19),IF(Main[[#This Row],[Class]]="B", WORKDAY(Main[[#This Row],[Tech Start Date]],12),IF(Main[[#This Row],[Class]]="A",WORKDAY(Main[[#This Row],[Tech Start Date]],4),""))))</f>
        <v/>
      </c>
      <c r="O396" s="77" t="str">
        <f>IF(Main[[#This Row],[Tech Start Date]]&lt;1/1/1990,"",IF(Main[[#This Row],[Class]]="C",WORKDAY(Main[[#This Row],[Tech Start Date]],23),IF(Main[[#This Row],[Class]]="B", WORKDAY(Main[[#This Row],[Tech Start Date]],15),IF(Main[[#This Row],[Class]]="A",WORKDAY(Main[[#This Row],[Tech Start Date]],5),""))))</f>
        <v/>
      </c>
      <c r="P396" s="77" t="str">
        <f>IF(Main[[#This Row],[Tech Start Date]]&lt;1/1/1990,"",IF(Main[[#This Row],[Class]]="C",WORKDAY(Main[[#This Row],[Tech Start Date]],28),IF(Main[[#This Row],[Class]]="B", WORKDAY(Main[[#This Row],[Tech Start Date]],19),IF(Main[[#This Row],[Class]]="A",WORKDAY(Main[[#This Row],[Tech Start Date]],9),""))))</f>
        <v/>
      </c>
      <c r="Q396" s="74">
        <v>40536</v>
      </c>
      <c r="R396" s="74"/>
      <c r="S396" s="72" t="s">
        <v>4</v>
      </c>
      <c r="T396" s="80" t="s">
        <v>4</v>
      </c>
      <c r="U396" s="72" t="s">
        <v>7</v>
      </c>
      <c r="V396" s="72" t="s">
        <v>1932</v>
      </c>
      <c r="W396" s="72" t="s">
        <v>4</v>
      </c>
      <c r="X396" s="72" t="s">
        <v>2902</v>
      </c>
      <c r="Y396" s="72" t="s">
        <v>3016</v>
      </c>
      <c r="Z396" s="72" t="s">
        <v>4</v>
      </c>
      <c r="AA396" s="147" t="s">
        <v>2902</v>
      </c>
    </row>
    <row r="397" spans="1:27" ht="18.600000000000001" customHeight="1">
      <c r="A397" s="140" t="str">
        <f>IF(priority(Main[[#This Row],[Comments]])&lt;&gt;0, priority(Main[[#This Row],[Comments]]),"")</f>
        <v/>
      </c>
      <c r="B397" s="90" t="s">
        <v>1274</v>
      </c>
      <c r="C397" s="72" t="s">
        <v>72</v>
      </c>
      <c r="D397" s="73" t="s">
        <v>334</v>
      </c>
      <c r="E397" s="74"/>
      <c r="F397" s="74">
        <v>40313</v>
      </c>
      <c r="G397" s="75" t="str">
        <f>IF(stdProdLT(Main[[#This Row],[Comments]])=0.1,"N/A",IF(stdProdLT(Main[[#This Row],[Comments]])=0,"",stdProdLT(Main[[#This Row],[Comments]])))</f>
        <v/>
      </c>
      <c r="H397" s="76" t="str">
        <f>IF(AND(Main[[#This Row],[In Stock Date]]&lt;&gt;"",Main[[#This Row],[Revised Due Date]]&lt;&gt;""),Main[[#This Row],[In Stock Date]]-Main[[#This Row],[Revised Due Date]],"")</f>
        <v/>
      </c>
      <c r="I397" s="72" t="s">
        <v>4</v>
      </c>
      <c r="J397" s="72" t="s">
        <v>4</v>
      </c>
      <c r="K397" s="72" t="s">
        <v>4</v>
      </c>
      <c r="L397" s="74"/>
      <c r="M397" s="77" t="str">
        <f>IF(Main[[#This Row],[Tech Start Date]]&lt;1/1/1990,"",IF(Main[[#This Row],[Class]]="C",WORKDAY(Main[[#This Row],[Tech Start Date]],9),IF(Main[[#This Row],[Class]]="B", WORKDAY(Main[[#This Row],[Tech Start Date]],6),IF(Main[[#This Row],[Class]]="A",WORKDAY(Main[[#This Row],[Tech Start Date]],2),""))))</f>
        <v/>
      </c>
      <c r="N397" s="77" t="str">
        <f>IF(Main[[#This Row],[Tech Start Date]]&lt;1/1/1990,"",IF(Main[[#This Row],[Class]]="C",WORKDAY(Main[[#This Row],[Tech Start Date]],19),IF(Main[[#This Row],[Class]]="B", WORKDAY(Main[[#This Row],[Tech Start Date]],12),IF(Main[[#This Row],[Class]]="A",WORKDAY(Main[[#This Row],[Tech Start Date]],4),""))))</f>
        <v/>
      </c>
      <c r="O397" s="77" t="str">
        <f>IF(Main[[#This Row],[Tech Start Date]]&lt;1/1/1990,"",IF(Main[[#This Row],[Class]]="C",WORKDAY(Main[[#This Row],[Tech Start Date]],23),IF(Main[[#This Row],[Class]]="B", WORKDAY(Main[[#This Row],[Tech Start Date]],15),IF(Main[[#This Row],[Class]]="A",WORKDAY(Main[[#This Row],[Tech Start Date]],5),""))))</f>
        <v/>
      </c>
      <c r="P397" s="77" t="str">
        <f>IF(Main[[#This Row],[Tech Start Date]]&lt;1/1/1990,"",IF(Main[[#This Row],[Class]]="C",WORKDAY(Main[[#This Row],[Tech Start Date]],28),IF(Main[[#This Row],[Class]]="B", WORKDAY(Main[[#This Row],[Tech Start Date]],19),IF(Main[[#This Row],[Class]]="A",WORKDAY(Main[[#This Row],[Tech Start Date]],9),""))))</f>
        <v/>
      </c>
      <c r="Q397" s="74">
        <v>40233</v>
      </c>
      <c r="R397" s="74"/>
      <c r="S397" s="72" t="s">
        <v>11</v>
      </c>
      <c r="T397" s="80" t="s">
        <v>4</v>
      </c>
      <c r="U397" s="72" t="s">
        <v>14</v>
      </c>
      <c r="V397" s="72" t="s">
        <v>1935</v>
      </c>
      <c r="W397" s="72" t="s">
        <v>1940</v>
      </c>
      <c r="X397" s="72" t="s">
        <v>2908</v>
      </c>
      <c r="Y397" s="72" t="s">
        <v>3030</v>
      </c>
      <c r="Z397" s="72" t="s">
        <v>4</v>
      </c>
      <c r="AA397" s="147" t="s">
        <v>2908</v>
      </c>
    </row>
    <row r="398" spans="1:27" ht="18.600000000000001" customHeight="1">
      <c r="A398" s="140" t="str">
        <f>IF(priority(Main[[#This Row],[Comments]])&lt;&gt;0, priority(Main[[#This Row],[Comments]]),"")</f>
        <v/>
      </c>
      <c r="B398" s="90" t="s">
        <v>1275</v>
      </c>
      <c r="C398" s="72" t="s">
        <v>4</v>
      </c>
      <c r="D398" s="73" t="s">
        <v>335</v>
      </c>
      <c r="E398" s="74"/>
      <c r="F398" s="74"/>
      <c r="G398" s="75" t="str">
        <f>IF(stdProdLT(Main[[#This Row],[Comments]])=0.1,"N/A",IF(stdProdLT(Main[[#This Row],[Comments]])=0,"",stdProdLT(Main[[#This Row],[Comments]])))</f>
        <v/>
      </c>
      <c r="H398" s="76" t="str">
        <f>IF(AND(Main[[#This Row],[In Stock Date]]&lt;&gt;"",Main[[#This Row],[Revised Due Date]]&lt;&gt;""),Main[[#This Row],[In Stock Date]]-Main[[#This Row],[Revised Due Date]],"")</f>
        <v/>
      </c>
      <c r="I398" s="72" t="s">
        <v>4</v>
      </c>
      <c r="J398" s="72" t="s">
        <v>4</v>
      </c>
      <c r="K398" s="72" t="s">
        <v>4</v>
      </c>
      <c r="L398" s="74"/>
      <c r="M398" s="77" t="str">
        <f>IF(Main[[#This Row],[Tech Start Date]]&lt;1/1/1990,"",IF(Main[[#This Row],[Class]]="C",WORKDAY(Main[[#This Row],[Tech Start Date]],9),IF(Main[[#This Row],[Class]]="B", WORKDAY(Main[[#This Row],[Tech Start Date]],6),IF(Main[[#This Row],[Class]]="A",WORKDAY(Main[[#This Row],[Tech Start Date]],2),""))))</f>
        <v/>
      </c>
      <c r="N398" s="77" t="str">
        <f>IF(Main[[#This Row],[Tech Start Date]]&lt;1/1/1990,"",IF(Main[[#This Row],[Class]]="C",WORKDAY(Main[[#This Row],[Tech Start Date]],19),IF(Main[[#This Row],[Class]]="B", WORKDAY(Main[[#This Row],[Tech Start Date]],12),IF(Main[[#This Row],[Class]]="A",WORKDAY(Main[[#This Row],[Tech Start Date]],4),""))))</f>
        <v/>
      </c>
      <c r="O398" s="77" t="str">
        <f>IF(Main[[#This Row],[Tech Start Date]]&lt;1/1/1990,"",IF(Main[[#This Row],[Class]]="C",WORKDAY(Main[[#This Row],[Tech Start Date]],23),IF(Main[[#This Row],[Class]]="B", WORKDAY(Main[[#This Row],[Tech Start Date]],15),IF(Main[[#This Row],[Class]]="A",WORKDAY(Main[[#This Row],[Tech Start Date]],5),""))))</f>
        <v/>
      </c>
      <c r="P398" s="77" t="str">
        <f>IF(Main[[#This Row],[Tech Start Date]]&lt;1/1/1990,"",IF(Main[[#This Row],[Class]]="C",WORKDAY(Main[[#This Row],[Tech Start Date]],28),IF(Main[[#This Row],[Class]]="B", WORKDAY(Main[[#This Row],[Tech Start Date]],19),IF(Main[[#This Row],[Class]]="A",WORKDAY(Main[[#This Row],[Tech Start Date]],9),""))))</f>
        <v/>
      </c>
      <c r="Q398" s="74"/>
      <c r="R398" s="74"/>
      <c r="S398" s="72" t="s">
        <v>11</v>
      </c>
      <c r="T398" s="80" t="s">
        <v>4</v>
      </c>
      <c r="U398" s="72" t="s">
        <v>12</v>
      </c>
      <c r="V398" s="72" t="s">
        <v>1932</v>
      </c>
      <c r="W398" s="72" t="s">
        <v>1946</v>
      </c>
      <c r="X398" s="72" t="s">
        <v>933</v>
      </c>
      <c r="Y398" s="72" t="s">
        <v>3069</v>
      </c>
      <c r="Z398" s="72" t="s">
        <v>4</v>
      </c>
      <c r="AA398" s="147" t="s">
        <v>933</v>
      </c>
    </row>
    <row r="399" spans="1:27" ht="18.600000000000001" customHeight="1">
      <c r="A399" s="140" t="str">
        <f>IF(priority(Main[[#This Row],[Comments]])&lt;&gt;0, priority(Main[[#This Row],[Comments]]),"")</f>
        <v/>
      </c>
      <c r="B399" s="90" t="s">
        <v>1276</v>
      </c>
      <c r="C399" s="72" t="s">
        <v>4</v>
      </c>
      <c r="D399" s="73" t="s">
        <v>336</v>
      </c>
      <c r="E399" s="74">
        <v>40322.153738425928</v>
      </c>
      <c r="F399" s="74"/>
      <c r="G399" s="75" t="str">
        <f>IF(stdProdLT(Main[[#This Row],[Comments]])=0.1,"N/A",IF(stdProdLT(Main[[#This Row],[Comments]])=0,"",stdProdLT(Main[[#This Row],[Comments]])))</f>
        <v/>
      </c>
      <c r="H399" s="76" t="str">
        <f>IF(AND(Main[[#This Row],[In Stock Date]]&lt;&gt;"",Main[[#This Row],[Revised Due Date]]&lt;&gt;""),Main[[#This Row],[In Stock Date]]-Main[[#This Row],[Revised Due Date]],"")</f>
        <v/>
      </c>
      <c r="I399" s="72" t="s">
        <v>129</v>
      </c>
      <c r="J399" s="72" t="s">
        <v>4</v>
      </c>
      <c r="K399" s="72" t="s">
        <v>4</v>
      </c>
      <c r="L399" s="74"/>
      <c r="M399" s="77" t="str">
        <f>IF(Main[[#This Row],[Tech Start Date]]&lt;1/1/1990,"",IF(Main[[#This Row],[Class]]="C",WORKDAY(Main[[#This Row],[Tech Start Date]],9),IF(Main[[#This Row],[Class]]="B", WORKDAY(Main[[#This Row],[Tech Start Date]],6),IF(Main[[#This Row],[Class]]="A",WORKDAY(Main[[#This Row],[Tech Start Date]],2),""))))</f>
        <v/>
      </c>
      <c r="N399" s="77" t="str">
        <f>IF(Main[[#This Row],[Tech Start Date]]&lt;1/1/1990,"",IF(Main[[#This Row],[Class]]="C",WORKDAY(Main[[#This Row],[Tech Start Date]],19),IF(Main[[#This Row],[Class]]="B", WORKDAY(Main[[#This Row],[Tech Start Date]],12),IF(Main[[#This Row],[Class]]="A",WORKDAY(Main[[#This Row],[Tech Start Date]],4),""))))</f>
        <v/>
      </c>
      <c r="O399" s="77" t="str">
        <f>IF(Main[[#This Row],[Tech Start Date]]&lt;1/1/1990,"",IF(Main[[#This Row],[Class]]="C",WORKDAY(Main[[#This Row],[Tech Start Date]],23),IF(Main[[#This Row],[Class]]="B", WORKDAY(Main[[#This Row],[Tech Start Date]],15),IF(Main[[#This Row],[Class]]="A",WORKDAY(Main[[#This Row],[Tech Start Date]],5),""))))</f>
        <v/>
      </c>
      <c r="P399" s="77" t="str">
        <f>IF(Main[[#This Row],[Tech Start Date]]&lt;1/1/1990,"",IF(Main[[#This Row],[Class]]="C",WORKDAY(Main[[#This Row],[Tech Start Date]],28),IF(Main[[#This Row],[Class]]="B", WORKDAY(Main[[#This Row],[Tech Start Date]],19),IF(Main[[#This Row],[Class]]="A",WORKDAY(Main[[#This Row],[Tech Start Date]],9),""))))</f>
        <v/>
      </c>
      <c r="Q399" s="74">
        <v>40353</v>
      </c>
      <c r="R399" s="74"/>
      <c r="S399" s="72" t="s">
        <v>6</v>
      </c>
      <c r="T399" s="80" t="s">
        <v>4</v>
      </c>
      <c r="U399" s="72" t="s">
        <v>7</v>
      </c>
      <c r="V399" s="72" t="s">
        <v>1932</v>
      </c>
      <c r="W399" s="72" t="s">
        <v>1934</v>
      </c>
      <c r="X399" s="72" t="s">
        <v>2906</v>
      </c>
      <c r="Y399" s="72" t="s">
        <v>3025</v>
      </c>
      <c r="Z399" s="72" t="s">
        <v>4</v>
      </c>
      <c r="AA399" s="147" t="s">
        <v>2906</v>
      </c>
    </row>
    <row r="400" spans="1:27" ht="18.600000000000001" customHeight="1">
      <c r="A400" s="140" t="str">
        <f>IF(priority(Main[[#This Row],[Comments]])&lt;&gt;0, priority(Main[[#This Row],[Comments]]),"")</f>
        <v/>
      </c>
      <c r="B400" s="90" t="s">
        <v>1277</v>
      </c>
      <c r="C400" s="72" t="s">
        <v>171</v>
      </c>
      <c r="D400" s="73" t="s">
        <v>337</v>
      </c>
      <c r="E400" s="74"/>
      <c r="F400" s="74">
        <v>40237</v>
      </c>
      <c r="G400" s="75" t="str">
        <f>IF(stdProdLT(Main[[#This Row],[Comments]])=0.1,"N/A",IF(stdProdLT(Main[[#This Row],[Comments]])=0,"",stdProdLT(Main[[#This Row],[Comments]])))</f>
        <v/>
      </c>
      <c r="H400" s="76" t="str">
        <f>IF(AND(Main[[#This Row],[In Stock Date]]&lt;&gt;"",Main[[#This Row],[Revised Due Date]]&lt;&gt;""),Main[[#This Row],[In Stock Date]]-Main[[#This Row],[Revised Due Date]],"")</f>
        <v/>
      </c>
      <c r="I400" s="72" t="s">
        <v>4</v>
      </c>
      <c r="J400" s="72" t="s">
        <v>4</v>
      </c>
      <c r="K400" s="72" t="s">
        <v>4</v>
      </c>
      <c r="L400" s="74"/>
      <c r="M400" s="77" t="str">
        <f>IF(Main[[#This Row],[Tech Start Date]]&lt;1/1/1990,"",IF(Main[[#This Row],[Class]]="C",WORKDAY(Main[[#This Row],[Tech Start Date]],9),IF(Main[[#This Row],[Class]]="B", WORKDAY(Main[[#This Row],[Tech Start Date]],6),IF(Main[[#This Row],[Class]]="A",WORKDAY(Main[[#This Row],[Tech Start Date]],2),""))))</f>
        <v/>
      </c>
      <c r="N400" s="77" t="str">
        <f>IF(Main[[#This Row],[Tech Start Date]]&lt;1/1/1990,"",IF(Main[[#This Row],[Class]]="C",WORKDAY(Main[[#This Row],[Tech Start Date]],19),IF(Main[[#This Row],[Class]]="B", WORKDAY(Main[[#This Row],[Tech Start Date]],12),IF(Main[[#This Row],[Class]]="A",WORKDAY(Main[[#This Row],[Tech Start Date]],4),""))))</f>
        <v/>
      </c>
      <c r="O400" s="77" t="str">
        <f>IF(Main[[#This Row],[Tech Start Date]]&lt;1/1/1990,"",IF(Main[[#This Row],[Class]]="C",WORKDAY(Main[[#This Row],[Tech Start Date]],23),IF(Main[[#This Row],[Class]]="B", WORKDAY(Main[[#This Row],[Tech Start Date]],15),IF(Main[[#This Row],[Class]]="A",WORKDAY(Main[[#This Row],[Tech Start Date]],5),""))))</f>
        <v/>
      </c>
      <c r="P400" s="77" t="str">
        <f>IF(Main[[#This Row],[Tech Start Date]]&lt;1/1/1990,"",IF(Main[[#This Row],[Class]]="C",WORKDAY(Main[[#This Row],[Tech Start Date]],28),IF(Main[[#This Row],[Class]]="B", WORKDAY(Main[[#This Row],[Tech Start Date]],19),IF(Main[[#This Row],[Class]]="A",WORKDAY(Main[[#This Row],[Tech Start Date]],9),""))))</f>
        <v/>
      </c>
      <c r="Q400" s="74">
        <v>40132</v>
      </c>
      <c r="R400" s="74"/>
      <c r="S400" s="72" t="s">
        <v>11</v>
      </c>
      <c r="T400" s="80" t="s">
        <v>4</v>
      </c>
      <c r="U400" s="72" t="s">
        <v>14</v>
      </c>
      <c r="V400" s="72" t="s">
        <v>1932</v>
      </c>
      <c r="W400" s="72" t="s">
        <v>1937</v>
      </c>
      <c r="X400" s="72" t="s">
        <v>2942</v>
      </c>
      <c r="Y400" s="72" t="s">
        <v>4</v>
      </c>
      <c r="Z400" s="72" t="s">
        <v>4</v>
      </c>
      <c r="AA400" s="147" t="s">
        <v>2942</v>
      </c>
    </row>
    <row r="401" spans="1:27" ht="18.600000000000001" customHeight="1">
      <c r="A401" s="140" t="str">
        <f>IF(priority(Main[[#This Row],[Comments]])&lt;&gt;0, priority(Main[[#This Row],[Comments]]),"")</f>
        <v/>
      </c>
      <c r="B401" s="90" t="s">
        <v>1278</v>
      </c>
      <c r="C401" s="72" t="s">
        <v>4</v>
      </c>
      <c r="D401" s="73" t="s">
        <v>345</v>
      </c>
      <c r="E401" s="74"/>
      <c r="F401" s="74"/>
      <c r="G401" s="75" t="str">
        <f>IF(stdProdLT(Main[[#This Row],[Comments]])=0.1,"N/A",IF(stdProdLT(Main[[#This Row],[Comments]])=0,"",stdProdLT(Main[[#This Row],[Comments]])))</f>
        <v/>
      </c>
      <c r="H401" s="76" t="str">
        <f>IF(AND(Main[[#This Row],[In Stock Date]]&lt;&gt;"",Main[[#This Row],[Revised Due Date]]&lt;&gt;""),Main[[#This Row],[In Stock Date]]-Main[[#This Row],[Revised Due Date]],"")</f>
        <v/>
      </c>
      <c r="I401" s="72" t="s">
        <v>4</v>
      </c>
      <c r="J401" s="72" t="s">
        <v>4</v>
      </c>
      <c r="K401" s="72" t="s">
        <v>4</v>
      </c>
      <c r="L401" s="74"/>
      <c r="M401" s="77" t="str">
        <f>IF(Main[[#This Row],[Tech Start Date]]&lt;1/1/1990,"",IF(Main[[#This Row],[Class]]="C",WORKDAY(Main[[#This Row],[Tech Start Date]],9),IF(Main[[#This Row],[Class]]="B", WORKDAY(Main[[#This Row],[Tech Start Date]],6),IF(Main[[#This Row],[Class]]="A",WORKDAY(Main[[#This Row],[Tech Start Date]],2),""))))</f>
        <v/>
      </c>
      <c r="N401" s="77" t="str">
        <f>IF(Main[[#This Row],[Tech Start Date]]&lt;1/1/1990,"",IF(Main[[#This Row],[Class]]="C",WORKDAY(Main[[#This Row],[Tech Start Date]],19),IF(Main[[#This Row],[Class]]="B", WORKDAY(Main[[#This Row],[Tech Start Date]],12),IF(Main[[#This Row],[Class]]="A",WORKDAY(Main[[#This Row],[Tech Start Date]],4),""))))</f>
        <v/>
      </c>
      <c r="O401" s="77" t="str">
        <f>IF(Main[[#This Row],[Tech Start Date]]&lt;1/1/1990,"",IF(Main[[#This Row],[Class]]="C",WORKDAY(Main[[#This Row],[Tech Start Date]],23),IF(Main[[#This Row],[Class]]="B", WORKDAY(Main[[#This Row],[Tech Start Date]],15),IF(Main[[#This Row],[Class]]="A",WORKDAY(Main[[#This Row],[Tech Start Date]],5),""))))</f>
        <v/>
      </c>
      <c r="P401" s="77" t="str">
        <f>IF(Main[[#This Row],[Tech Start Date]]&lt;1/1/1990,"",IF(Main[[#This Row],[Class]]="C",WORKDAY(Main[[#This Row],[Tech Start Date]],28),IF(Main[[#This Row],[Class]]="B", WORKDAY(Main[[#This Row],[Tech Start Date]],19),IF(Main[[#This Row],[Class]]="A",WORKDAY(Main[[#This Row],[Tech Start Date]],9),""))))</f>
        <v/>
      </c>
      <c r="Q401" s="74"/>
      <c r="R401" s="74"/>
      <c r="S401" s="72" t="s">
        <v>11</v>
      </c>
      <c r="T401" s="80" t="s">
        <v>4</v>
      </c>
      <c r="U401" s="72" t="s">
        <v>14</v>
      </c>
      <c r="V401" s="72" t="s">
        <v>1933</v>
      </c>
      <c r="W401" s="72" t="s">
        <v>1940</v>
      </c>
      <c r="X401" s="72" t="s">
        <v>2946</v>
      </c>
      <c r="Y401" s="72" t="s">
        <v>3093</v>
      </c>
      <c r="Z401" s="72" t="s">
        <v>4</v>
      </c>
      <c r="AA401" s="147" t="s">
        <v>2946</v>
      </c>
    </row>
    <row r="402" spans="1:27" ht="18.600000000000001" customHeight="1">
      <c r="A402" s="140" t="str">
        <f>IF(priority(Main[[#This Row],[Comments]])&lt;&gt;0, priority(Main[[#This Row],[Comments]]),"")</f>
        <v/>
      </c>
      <c r="B402" s="90" t="s">
        <v>2317</v>
      </c>
      <c r="C402" s="72" t="s">
        <v>4</v>
      </c>
      <c r="D402" s="73" t="s">
        <v>2397</v>
      </c>
      <c r="E402" s="74">
        <v>40813.664259259262</v>
      </c>
      <c r="F402" s="74"/>
      <c r="G402" s="75" t="str">
        <f>IF(stdProdLT(Main[[#This Row],[Comments]])=0.1,"N/A",IF(stdProdLT(Main[[#This Row],[Comments]])=0,"",stdProdLT(Main[[#This Row],[Comments]])))</f>
        <v/>
      </c>
      <c r="H402" s="76" t="str">
        <f>IF(AND(Main[[#This Row],[In Stock Date]]&lt;&gt;"",Main[[#This Row],[Revised Due Date]]&lt;&gt;""),Main[[#This Row],[In Stock Date]]-Main[[#This Row],[Revised Due Date]],"")</f>
        <v/>
      </c>
      <c r="I402" s="72" t="s">
        <v>949</v>
      </c>
      <c r="J402" s="72" t="s">
        <v>4</v>
      </c>
      <c r="K402" s="72" t="s">
        <v>4</v>
      </c>
      <c r="L402" s="74"/>
      <c r="M402" s="77" t="str">
        <f>IF(Main[[#This Row],[Tech Start Date]]&lt;1/1/1990,"",IF(Main[[#This Row],[Class]]="C",WORKDAY(Main[[#This Row],[Tech Start Date]],9),IF(Main[[#This Row],[Class]]="B", WORKDAY(Main[[#This Row],[Tech Start Date]],6),IF(Main[[#This Row],[Class]]="A",WORKDAY(Main[[#This Row],[Tech Start Date]],2),""))))</f>
        <v/>
      </c>
      <c r="N402" s="77" t="str">
        <f>IF(Main[[#This Row],[Tech Start Date]]&lt;1/1/1990,"",IF(Main[[#This Row],[Class]]="C",WORKDAY(Main[[#This Row],[Tech Start Date]],19),IF(Main[[#This Row],[Class]]="B", WORKDAY(Main[[#This Row],[Tech Start Date]],12),IF(Main[[#This Row],[Class]]="A",WORKDAY(Main[[#This Row],[Tech Start Date]],4),""))))</f>
        <v/>
      </c>
      <c r="O402" s="77" t="str">
        <f>IF(Main[[#This Row],[Tech Start Date]]&lt;1/1/1990,"",IF(Main[[#This Row],[Class]]="C",WORKDAY(Main[[#This Row],[Tech Start Date]],23),IF(Main[[#This Row],[Class]]="B", WORKDAY(Main[[#This Row],[Tech Start Date]],15),IF(Main[[#This Row],[Class]]="A",WORKDAY(Main[[#This Row],[Tech Start Date]],5),""))))</f>
        <v/>
      </c>
      <c r="P402" s="77" t="str">
        <f>IF(Main[[#This Row],[Tech Start Date]]&lt;1/1/1990,"",IF(Main[[#This Row],[Class]]="C",WORKDAY(Main[[#This Row],[Tech Start Date]],28),IF(Main[[#This Row],[Class]]="B", WORKDAY(Main[[#This Row],[Tech Start Date]],19),IF(Main[[#This Row],[Class]]="A",WORKDAY(Main[[#This Row],[Tech Start Date]],9),""))))</f>
        <v/>
      </c>
      <c r="Q402" s="74"/>
      <c r="R402" s="74">
        <v>40840</v>
      </c>
      <c r="S402" s="72" t="s">
        <v>6</v>
      </c>
      <c r="T402" s="80" t="s">
        <v>4</v>
      </c>
      <c r="U402" s="72" t="s">
        <v>7</v>
      </c>
      <c r="V402" s="72" t="s">
        <v>1932</v>
      </c>
      <c r="W402" s="72" t="s">
        <v>1936</v>
      </c>
      <c r="X402" s="72" t="s">
        <v>310</v>
      </c>
      <c r="Y402" s="72" t="s">
        <v>4</v>
      </c>
      <c r="Z402" s="72" t="s">
        <v>4</v>
      </c>
      <c r="AA402" s="147" t="s">
        <v>3592</v>
      </c>
    </row>
    <row r="403" spans="1:27" ht="18.600000000000001" customHeight="1">
      <c r="A403" s="140" t="str">
        <f>IF(priority(Main[[#This Row],[Comments]])&lt;&gt;0, priority(Main[[#This Row],[Comments]]),"")</f>
        <v/>
      </c>
      <c r="B403" s="90" t="s">
        <v>1279</v>
      </c>
      <c r="C403" s="72" t="s">
        <v>4</v>
      </c>
      <c r="D403" s="73" t="s">
        <v>338</v>
      </c>
      <c r="E403" s="74"/>
      <c r="F403" s="74"/>
      <c r="G403" s="75" t="str">
        <f>IF(stdProdLT(Main[[#This Row],[Comments]])=0.1,"N/A",IF(stdProdLT(Main[[#This Row],[Comments]])=0,"",stdProdLT(Main[[#This Row],[Comments]])))</f>
        <v/>
      </c>
      <c r="H403" s="76" t="str">
        <f>IF(AND(Main[[#This Row],[In Stock Date]]&lt;&gt;"",Main[[#This Row],[Revised Due Date]]&lt;&gt;""),Main[[#This Row],[In Stock Date]]-Main[[#This Row],[Revised Due Date]],"")</f>
        <v/>
      </c>
      <c r="I403" s="72" t="s">
        <v>4</v>
      </c>
      <c r="J403" s="72" t="s">
        <v>4</v>
      </c>
      <c r="K403" s="72" t="s">
        <v>4</v>
      </c>
      <c r="L403" s="74"/>
      <c r="M403" s="77" t="str">
        <f>IF(Main[[#This Row],[Tech Start Date]]&lt;1/1/1990,"",IF(Main[[#This Row],[Class]]="C",WORKDAY(Main[[#This Row],[Tech Start Date]],9),IF(Main[[#This Row],[Class]]="B", WORKDAY(Main[[#This Row],[Tech Start Date]],6),IF(Main[[#This Row],[Class]]="A",WORKDAY(Main[[#This Row],[Tech Start Date]],2),""))))</f>
        <v/>
      </c>
      <c r="N403" s="77" t="str">
        <f>IF(Main[[#This Row],[Tech Start Date]]&lt;1/1/1990,"",IF(Main[[#This Row],[Class]]="C",WORKDAY(Main[[#This Row],[Tech Start Date]],19),IF(Main[[#This Row],[Class]]="B", WORKDAY(Main[[#This Row],[Tech Start Date]],12),IF(Main[[#This Row],[Class]]="A",WORKDAY(Main[[#This Row],[Tech Start Date]],4),""))))</f>
        <v/>
      </c>
      <c r="O403" s="77" t="str">
        <f>IF(Main[[#This Row],[Tech Start Date]]&lt;1/1/1990,"",IF(Main[[#This Row],[Class]]="C",WORKDAY(Main[[#This Row],[Tech Start Date]],23),IF(Main[[#This Row],[Class]]="B", WORKDAY(Main[[#This Row],[Tech Start Date]],15),IF(Main[[#This Row],[Class]]="A",WORKDAY(Main[[#This Row],[Tech Start Date]],5),""))))</f>
        <v/>
      </c>
      <c r="P403" s="77" t="str">
        <f>IF(Main[[#This Row],[Tech Start Date]]&lt;1/1/1990,"",IF(Main[[#This Row],[Class]]="C",WORKDAY(Main[[#This Row],[Tech Start Date]],28),IF(Main[[#This Row],[Class]]="B", WORKDAY(Main[[#This Row],[Tech Start Date]],19),IF(Main[[#This Row],[Class]]="A",WORKDAY(Main[[#This Row],[Tech Start Date]],9),""))))</f>
        <v/>
      </c>
      <c r="Q403" s="74"/>
      <c r="R403" s="74"/>
      <c r="S403" s="72" t="s">
        <v>23</v>
      </c>
      <c r="T403" s="80" t="s">
        <v>4</v>
      </c>
      <c r="U403" s="72" t="s">
        <v>14</v>
      </c>
      <c r="V403" s="72" t="s">
        <v>1935</v>
      </c>
      <c r="W403" s="72" t="s">
        <v>1936</v>
      </c>
      <c r="X403" s="72" t="s">
        <v>403</v>
      </c>
      <c r="Y403" s="72" t="s">
        <v>4</v>
      </c>
      <c r="Z403" s="72" t="s">
        <v>4</v>
      </c>
      <c r="AA403" s="147" t="s">
        <v>3593</v>
      </c>
    </row>
    <row r="404" spans="1:27" ht="18.600000000000001" customHeight="1">
      <c r="A404" s="140" t="str">
        <f>IF(priority(Main[[#This Row],[Comments]])&lt;&gt;0, priority(Main[[#This Row],[Comments]]),"")</f>
        <v/>
      </c>
      <c r="B404" s="90" t="s">
        <v>1280</v>
      </c>
      <c r="C404" s="72" t="s">
        <v>31</v>
      </c>
      <c r="D404" s="73" t="s">
        <v>339</v>
      </c>
      <c r="E404" s="74"/>
      <c r="F404" s="74"/>
      <c r="G404" s="75" t="str">
        <f>IF(stdProdLT(Main[[#This Row],[Comments]])=0.1,"N/A",IF(stdProdLT(Main[[#This Row],[Comments]])=0,"",stdProdLT(Main[[#This Row],[Comments]])))</f>
        <v/>
      </c>
      <c r="H404" s="76" t="str">
        <f>IF(AND(Main[[#This Row],[In Stock Date]]&lt;&gt;"",Main[[#This Row],[Revised Due Date]]&lt;&gt;""),Main[[#This Row],[In Stock Date]]-Main[[#This Row],[Revised Due Date]],"")</f>
        <v/>
      </c>
      <c r="I404" s="72" t="s">
        <v>4</v>
      </c>
      <c r="J404" s="72" t="s">
        <v>4</v>
      </c>
      <c r="K404" s="72" t="s">
        <v>4</v>
      </c>
      <c r="L404" s="74"/>
      <c r="M404" s="77" t="str">
        <f>IF(Main[[#This Row],[Tech Start Date]]&lt;1/1/1990,"",IF(Main[[#This Row],[Class]]="C",WORKDAY(Main[[#This Row],[Tech Start Date]],9),IF(Main[[#This Row],[Class]]="B", WORKDAY(Main[[#This Row],[Tech Start Date]],6),IF(Main[[#This Row],[Class]]="A",WORKDAY(Main[[#This Row],[Tech Start Date]],2),""))))</f>
        <v/>
      </c>
      <c r="N404" s="77" t="str">
        <f>IF(Main[[#This Row],[Tech Start Date]]&lt;1/1/1990,"",IF(Main[[#This Row],[Class]]="C",WORKDAY(Main[[#This Row],[Tech Start Date]],19),IF(Main[[#This Row],[Class]]="B", WORKDAY(Main[[#This Row],[Tech Start Date]],12),IF(Main[[#This Row],[Class]]="A",WORKDAY(Main[[#This Row],[Tech Start Date]],4),""))))</f>
        <v/>
      </c>
      <c r="O404" s="77" t="str">
        <f>IF(Main[[#This Row],[Tech Start Date]]&lt;1/1/1990,"",IF(Main[[#This Row],[Class]]="C",WORKDAY(Main[[#This Row],[Tech Start Date]],23),IF(Main[[#This Row],[Class]]="B", WORKDAY(Main[[#This Row],[Tech Start Date]],15),IF(Main[[#This Row],[Class]]="A",WORKDAY(Main[[#This Row],[Tech Start Date]],5),""))))</f>
        <v/>
      </c>
      <c r="P404" s="77" t="str">
        <f>IF(Main[[#This Row],[Tech Start Date]]&lt;1/1/1990,"",IF(Main[[#This Row],[Class]]="C",WORKDAY(Main[[#This Row],[Tech Start Date]],28),IF(Main[[#This Row],[Class]]="B", WORKDAY(Main[[#This Row],[Tech Start Date]],19),IF(Main[[#This Row],[Class]]="A",WORKDAY(Main[[#This Row],[Tech Start Date]],9),""))))</f>
        <v/>
      </c>
      <c r="Q404" s="74">
        <v>40318</v>
      </c>
      <c r="R404" s="74"/>
      <c r="S404" s="72" t="s">
        <v>11</v>
      </c>
      <c r="T404" s="80" t="s">
        <v>4</v>
      </c>
      <c r="U404" s="72" t="s">
        <v>14</v>
      </c>
      <c r="V404" s="72" t="s">
        <v>1935</v>
      </c>
      <c r="W404" s="72" t="s">
        <v>1934</v>
      </c>
      <c r="X404" s="72" t="s">
        <v>2914</v>
      </c>
      <c r="Y404" s="72" t="s">
        <v>4</v>
      </c>
      <c r="Z404" s="72" t="s">
        <v>4</v>
      </c>
      <c r="AA404" s="147" t="s">
        <v>2914</v>
      </c>
    </row>
    <row r="405" spans="1:27" ht="18.600000000000001" customHeight="1">
      <c r="A405" s="140" t="str">
        <f>IF(priority(Main[[#This Row],[Comments]])&lt;&gt;0, priority(Main[[#This Row],[Comments]]),"")</f>
        <v/>
      </c>
      <c r="B405" s="90" t="s">
        <v>1281</v>
      </c>
      <c r="C405" s="72" t="s">
        <v>4</v>
      </c>
      <c r="D405" s="73" t="s">
        <v>340</v>
      </c>
      <c r="E405" s="74">
        <v>40542.302245370367</v>
      </c>
      <c r="F405" s="74"/>
      <c r="G405" s="75" t="str">
        <f>IF(stdProdLT(Main[[#This Row],[Comments]])=0.1,"N/A",IF(stdProdLT(Main[[#This Row],[Comments]])=0,"",stdProdLT(Main[[#This Row],[Comments]])))</f>
        <v/>
      </c>
      <c r="H405" s="76" t="str">
        <f>IF(AND(Main[[#This Row],[In Stock Date]]&lt;&gt;"",Main[[#This Row],[Revised Due Date]]&lt;&gt;""),Main[[#This Row],[In Stock Date]]-Main[[#This Row],[Revised Due Date]],"")</f>
        <v/>
      </c>
      <c r="I405" s="72" t="s">
        <v>4</v>
      </c>
      <c r="J405" s="72" t="s">
        <v>4</v>
      </c>
      <c r="K405" s="72" t="s">
        <v>1941</v>
      </c>
      <c r="L405" s="74"/>
      <c r="M405" s="77" t="str">
        <f>IF(Main[[#This Row],[Tech Start Date]]&lt;1/1/1990,"",IF(Main[[#This Row],[Class]]="C",WORKDAY(Main[[#This Row],[Tech Start Date]],9),IF(Main[[#This Row],[Class]]="B", WORKDAY(Main[[#This Row],[Tech Start Date]],6),IF(Main[[#This Row],[Class]]="A",WORKDAY(Main[[#This Row],[Tech Start Date]],2),""))))</f>
        <v/>
      </c>
      <c r="N405" s="77" t="str">
        <f>IF(Main[[#This Row],[Tech Start Date]]&lt;1/1/1990,"",IF(Main[[#This Row],[Class]]="C",WORKDAY(Main[[#This Row],[Tech Start Date]],19),IF(Main[[#This Row],[Class]]="B", WORKDAY(Main[[#This Row],[Tech Start Date]],12),IF(Main[[#This Row],[Class]]="A",WORKDAY(Main[[#This Row],[Tech Start Date]],4),""))))</f>
        <v/>
      </c>
      <c r="O405" s="77" t="str">
        <f>IF(Main[[#This Row],[Tech Start Date]]&lt;1/1/1990,"",IF(Main[[#This Row],[Class]]="C",WORKDAY(Main[[#This Row],[Tech Start Date]],23),IF(Main[[#This Row],[Class]]="B", WORKDAY(Main[[#This Row],[Tech Start Date]],15),IF(Main[[#This Row],[Class]]="A",WORKDAY(Main[[#This Row],[Tech Start Date]],5),""))))</f>
        <v/>
      </c>
      <c r="P405" s="77" t="str">
        <f>IF(Main[[#This Row],[Tech Start Date]]&lt;1/1/1990,"",IF(Main[[#This Row],[Class]]="C",WORKDAY(Main[[#This Row],[Tech Start Date]],28),IF(Main[[#This Row],[Class]]="B", WORKDAY(Main[[#This Row],[Tech Start Date]],19),IF(Main[[#This Row],[Class]]="A",WORKDAY(Main[[#This Row],[Tech Start Date]],9),""))))</f>
        <v/>
      </c>
      <c r="Q405" s="74"/>
      <c r="R405" s="74"/>
      <c r="S405" s="72" t="s">
        <v>6</v>
      </c>
      <c r="T405" s="80" t="s">
        <v>4</v>
      </c>
      <c r="U405" s="72" t="s">
        <v>29</v>
      </c>
      <c r="V405" s="72" t="s">
        <v>1932</v>
      </c>
      <c r="W405" s="72" t="s">
        <v>1936</v>
      </c>
      <c r="X405" s="72" t="s">
        <v>310</v>
      </c>
      <c r="Y405" s="72" t="s">
        <v>4</v>
      </c>
      <c r="Z405" s="72" t="s">
        <v>4</v>
      </c>
      <c r="AA405" s="147" t="s">
        <v>2952</v>
      </c>
    </row>
    <row r="406" spans="1:27" ht="18.600000000000001" customHeight="1">
      <c r="A406" s="140" t="str">
        <f>IF(priority(Main[[#This Row],[Comments]])&lt;&gt;0, priority(Main[[#This Row],[Comments]]),"")</f>
        <v/>
      </c>
      <c r="B406" s="90" t="s">
        <v>1282</v>
      </c>
      <c r="C406" s="72" t="s">
        <v>93</v>
      </c>
      <c r="D406" s="73" t="s">
        <v>341</v>
      </c>
      <c r="E406" s="74"/>
      <c r="F406" s="74">
        <v>40132</v>
      </c>
      <c r="G406" s="75" t="str">
        <f>IF(stdProdLT(Main[[#This Row],[Comments]])=0.1,"N/A",IF(stdProdLT(Main[[#This Row],[Comments]])=0,"",stdProdLT(Main[[#This Row],[Comments]])))</f>
        <v/>
      </c>
      <c r="H406" s="76" t="str">
        <f>IF(AND(Main[[#This Row],[In Stock Date]]&lt;&gt;"",Main[[#This Row],[Revised Due Date]]&lt;&gt;""),Main[[#This Row],[In Stock Date]]-Main[[#This Row],[Revised Due Date]],"")</f>
        <v/>
      </c>
      <c r="I406" s="72" t="s">
        <v>4</v>
      </c>
      <c r="J406" s="72" t="s">
        <v>4</v>
      </c>
      <c r="K406" s="72" t="s">
        <v>4</v>
      </c>
      <c r="L406" s="74"/>
      <c r="M406" s="77" t="str">
        <f>IF(Main[[#This Row],[Tech Start Date]]&lt;1/1/1990,"",IF(Main[[#This Row],[Class]]="C",WORKDAY(Main[[#This Row],[Tech Start Date]],9),IF(Main[[#This Row],[Class]]="B", WORKDAY(Main[[#This Row],[Tech Start Date]],6),IF(Main[[#This Row],[Class]]="A",WORKDAY(Main[[#This Row],[Tech Start Date]],2),""))))</f>
        <v/>
      </c>
      <c r="N406" s="77" t="str">
        <f>IF(Main[[#This Row],[Tech Start Date]]&lt;1/1/1990,"",IF(Main[[#This Row],[Class]]="C",WORKDAY(Main[[#This Row],[Tech Start Date]],19),IF(Main[[#This Row],[Class]]="B", WORKDAY(Main[[#This Row],[Tech Start Date]],12),IF(Main[[#This Row],[Class]]="A",WORKDAY(Main[[#This Row],[Tech Start Date]],4),""))))</f>
        <v/>
      </c>
      <c r="O406" s="77" t="str">
        <f>IF(Main[[#This Row],[Tech Start Date]]&lt;1/1/1990,"",IF(Main[[#This Row],[Class]]="C",WORKDAY(Main[[#This Row],[Tech Start Date]],23),IF(Main[[#This Row],[Class]]="B", WORKDAY(Main[[#This Row],[Tech Start Date]],15),IF(Main[[#This Row],[Class]]="A",WORKDAY(Main[[#This Row],[Tech Start Date]],5),""))))</f>
        <v/>
      </c>
      <c r="P406" s="77" t="str">
        <f>IF(Main[[#This Row],[Tech Start Date]]&lt;1/1/1990,"",IF(Main[[#This Row],[Class]]="C",WORKDAY(Main[[#This Row],[Tech Start Date]],28),IF(Main[[#This Row],[Class]]="B", WORKDAY(Main[[#This Row],[Tech Start Date]],19),IF(Main[[#This Row],[Class]]="A",WORKDAY(Main[[#This Row],[Tech Start Date]],9),""))))</f>
        <v/>
      </c>
      <c r="Q406" s="74">
        <v>40132</v>
      </c>
      <c r="R406" s="74"/>
      <c r="S406" s="72" t="s">
        <v>11</v>
      </c>
      <c r="T406" s="80" t="s">
        <v>4</v>
      </c>
      <c r="U406" s="72" t="s">
        <v>14</v>
      </c>
      <c r="V406" s="72" t="s">
        <v>1942</v>
      </c>
      <c r="W406" s="72" t="s">
        <v>1938</v>
      </c>
      <c r="X406" s="72" t="s">
        <v>2940</v>
      </c>
      <c r="Y406" s="72" t="s">
        <v>4</v>
      </c>
      <c r="Z406" s="72" t="s">
        <v>4</v>
      </c>
      <c r="AA406" s="147" t="s">
        <v>2940</v>
      </c>
    </row>
    <row r="407" spans="1:27" ht="18.600000000000001" customHeight="1">
      <c r="A407" s="140" t="str">
        <f>IF(priority(Main[[#This Row],[Comments]])&lt;&gt;0, priority(Main[[#This Row],[Comments]]),"")</f>
        <v/>
      </c>
      <c r="B407" s="90" t="s">
        <v>1283</v>
      </c>
      <c r="C407" s="72" t="s">
        <v>4</v>
      </c>
      <c r="D407" s="73" t="s">
        <v>342</v>
      </c>
      <c r="E407" s="74"/>
      <c r="F407" s="74"/>
      <c r="G407" s="75" t="str">
        <f>IF(stdProdLT(Main[[#This Row],[Comments]])=0.1,"N/A",IF(stdProdLT(Main[[#This Row],[Comments]])=0,"",stdProdLT(Main[[#This Row],[Comments]])))</f>
        <v/>
      </c>
      <c r="H407" s="76" t="str">
        <f>IF(AND(Main[[#This Row],[In Stock Date]]&lt;&gt;"",Main[[#This Row],[Revised Due Date]]&lt;&gt;""),Main[[#This Row],[In Stock Date]]-Main[[#This Row],[Revised Due Date]],"")</f>
        <v/>
      </c>
      <c r="I407" s="72" t="s">
        <v>4</v>
      </c>
      <c r="J407" s="72" t="s">
        <v>4</v>
      </c>
      <c r="K407" s="72" t="s">
        <v>4</v>
      </c>
      <c r="L407" s="74"/>
      <c r="M407" s="77" t="str">
        <f>IF(Main[[#This Row],[Tech Start Date]]&lt;1/1/1990,"",IF(Main[[#This Row],[Class]]="C",WORKDAY(Main[[#This Row],[Tech Start Date]],9),IF(Main[[#This Row],[Class]]="B", WORKDAY(Main[[#This Row],[Tech Start Date]],6),IF(Main[[#This Row],[Class]]="A",WORKDAY(Main[[#This Row],[Tech Start Date]],2),""))))</f>
        <v/>
      </c>
      <c r="N407" s="77" t="str">
        <f>IF(Main[[#This Row],[Tech Start Date]]&lt;1/1/1990,"",IF(Main[[#This Row],[Class]]="C",WORKDAY(Main[[#This Row],[Tech Start Date]],19),IF(Main[[#This Row],[Class]]="B", WORKDAY(Main[[#This Row],[Tech Start Date]],12),IF(Main[[#This Row],[Class]]="A",WORKDAY(Main[[#This Row],[Tech Start Date]],4),""))))</f>
        <v/>
      </c>
      <c r="O407" s="77" t="str">
        <f>IF(Main[[#This Row],[Tech Start Date]]&lt;1/1/1990,"",IF(Main[[#This Row],[Class]]="C",WORKDAY(Main[[#This Row],[Tech Start Date]],23),IF(Main[[#This Row],[Class]]="B", WORKDAY(Main[[#This Row],[Tech Start Date]],15),IF(Main[[#This Row],[Class]]="A",WORKDAY(Main[[#This Row],[Tech Start Date]],5),""))))</f>
        <v/>
      </c>
      <c r="P407" s="77" t="str">
        <f>IF(Main[[#This Row],[Tech Start Date]]&lt;1/1/1990,"",IF(Main[[#This Row],[Class]]="C",WORKDAY(Main[[#This Row],[Tech Start Date]],28),IF(Main[[#This Row],[Class]]="B", WORKDAY(Main[[#This Row],[Tech Start Date]],19),IF(Main[[#This Row],[Class]]="A",WORKDAY(Main[[#This Row],[Tech Start Date]],9),""))))</f>
        <v/>
      </c>
      <c r="Q407" s="74"/>
      <c r="R407" s="74"/>
      <c r="S407" s="72" t="s">
        <v>23</v>
      </c>
      <c r="T407" s="80" t="s">
        <v>4</v>
      </c>
      <c r="U407" s="72" t="s">
        <v>14</v>
      </c>
      <c r="V407" s="72" t="s">
        <v>1932</v>
      </c>
      <c r="W407" s="72" t="s">
        <v>1934</v>
      </c>
      <c r="X407" s="72" t="s">
        <v>102</v>
      </c>
      <c r="Y407" s="72" t="s">
        <v>4</v>
      </c>
      <c r="Z407" s="72" t="s">
        <v>4</v>
      </c>
      <c r="AA407" s="147" t="s">
        <v>4</v>
      </c>
    </row>
    <row r="408" spans="1:27" ht="18.600000000000001" customHeight="1">
      <c r="A408" s="140" t="str">
        <f>IF(priority(Main[[#This Row],[Comments]])&lt;&gt;0, priority(Main[[#This Row],[Comments]]),"")</f>
        <v/>
      </c>
      <c r="B408" s="90" t="s">
        <v>1284</v>
      </c>
      <c r="C408" s="72" t="s">
        <v>47</v>
      </c>
      <c r="D408" s="73" t="s">
        <v>343</v>
      </c>
      <c r="E408" s="74">
        <v>39937.597743055558</v>
      </c>
      <c r="F408" s="74"/>
      <c r="G408" s="75" t="str">
        <f>IF(stdProdLT(Main[[#This Row],[Comments]])=0.1,"N/A",IF(stdProdLT(Main[[#This Row],[Comments]])=0,"",stdProdLT(Main[[#This Row],[Comments]])))</f>
        <v/>
      </c>
      <c r="H408" s="76" t="str">
        <f>IF(AND(Main[[#This Row],[In Stock Date]]&lt;&gt;"",Main[[#This Row],[Revised Due Date]]&lt;&gt;""),Main[[#This Row],[In Stock Date]]-Main[[#This Row],[Revised Due Date]],"")</f>
        <v/>
      </c>
      <c r="I408" s="72" t="s">
        <v>4</v>
      </c>
      <c r="J408" s="72" t="s">
        <v>4</v>
      </c>
      <c r="K408" s="72" t="s">
        <v>4</v>
      </c>
      <c r="L408" s="74"/>
      <c r="M408" s="77" t="str">
        <f>IF(Main[[#This Row],[Tech Start Date]]&lt;1/1/1990,"",IF(Main[[#This Row],[Class]]="C",WORKDAY(Main[[#This Row],[Tech Start Date]],9),IF(Main[[#This Row],[Class]]="B", WORKDAY(Main[[#This Row],[Tech Start Date]],6),IF(Main[[#This Row],[Class]]="A",WORKDAY(Main[[#This Row],[Tech Start Date]],2),""))))</f>
        <v/>
      </c>
      <c r="N408" s="77" t="str">
        <f>IF(Main[[#This Row],[Tech Start Date]]&lt;1/1/1990,"",IF(Main[[#This Row],[Class]]="C",WORKDAY(Main[[#This Row],[Tech Start Date]],19),IF(Main[[#This Row],[Class]]="B", WORKDAY(Main[[#This Row],[Tech Start Date]],12),IF(Main[[#This Row],[Class]]="A",WORKDAY(Main[[#This Row],[Tech Start Date]],4),""))))</f>
        <v/>
      </c>
      <c r="O408" s="77" t="str">
        <f>IF(Main[[#This Row],[Tech Start Date]]&lt;1/1/1990,"",IF(Main[[#This Row],[Class]]="C",WORKDAY(Main[[#This Row],[Tech Start Date]],23),IF(Main[[#This Row],[Class]]="B", WORKDAY(Main[[#This Row],[Tech Start Date]],15),IF(Main[[#This Row],[Class]]="A",WORKDAY(Main[[#This Row],[Tech Start Date]],5),""))))</f>
        <v/>
      </c>
      <c r="P408" s="77" t="str">
        <f>IF(Main[[#This Row],[Tech Start Date]]&lt;1/1/1990,"",IF(Main[[#This Row],[Class]]="C",WORKDAY(Main[[#This Row],[Tech Start Date]],28),IF(Main[[#This Row],[Class]]="B", WORKDAY(Main[[#This Row],[Tech Start Date]],19),IF(Main[[#This Row],[Class]]="A",WORKDAY(Main[[#This Row],[Tech Start Date]],9),""))))</f>
        <v/>
      </c>
      <c r="Q408" s="74"/>
      <c r="R408" s="74"/>
      <c r="S408" s="72" t="s">
        <v>17</v>
      </c>
      <c r="T408" s="80" t="s">
        <v>4</v>
      </c>
      <c r="U408" s="72" t="s">
        <v>7</v>
      </c>
      <c r="V408" s="72" t="s">
        <v>1935</v>
      </c>
      <c r="W408" s="72" t="s">
        <v>4</v>
      </c>
      <c r="X408" s="72" t="s">
        <v>2911</v>
      </c>
      <c r="Y408" s="72" t="s">
        <v>3035</v>
      </c>
      <c r="Z408" s="72" t="s">
        <v>4</v>
      </c>
      <c r="AA408" s="147" t="s">
        <v>2911</v>
      </c>
    </row>
    <row r="409" spans="1:27" ht="18.600000000000001" customHeight="1">
      <c r="A409" s="140" t="str">
        <f>IF(priority(Main[[#This Row],[Comments]])&lt;&gt;0, priority(Main[[#This Row],[Comments]]),"")</f>
        <v/>
      </c>
      <c r="B409" s="90" t="s">
        <v>1285</v>
      </c>
      <c r="C409" s="72" t="s">
        <v>95</v>
      </c>
      <c r="D409" s="73" t="s">
        <v>344</v>
      </c>
      <c r="E409" s="74"/>
      <c r="F409" s="74">
        <v>40195</v>
      </c>
      <c r="G409" s="75" t="str">
        <f>IF(stdProdLT(Main[[#This Row],[Comments]])=0.1,"N/A",IF(stdProdLT(Main[[#This Row],[Comments]])=0,"",stdProdLT(Main[[#This Row],[Comments]])))</f>
        <v/>
      </c>
      <c r="H409" s="76" t="str">
        <f>IF(AND(Main[[#This Row],[In Stock Date]]&lt;&gt;"",Main[[#This Row],[Revised Due Date]]&lt;&gt;""),Main[[#This Row],[In Stock Date]]-Main[[#This Row],[Revised Due Date]],"")</f>
        <v/>
      </c>
      <c r="I409" s="72" t="s">
        <v>4</v>
      </c>
      <c r="J409" s="72" t="s">
        <v>4</v>
      </c>
      <c r="K409" s="81" t="s">
        <v>4</v>
      </c>
      <c r="L409" s="74"/>
      <c r="M409" s="77" t="str">
        <f>IF(Main[[#This Row],[Tech Start Date]]&lt;1/1/1990,"",IF(Main[[#This Row],[Class]]="C",WORKDAY(Main[[#This Row],[Tech Start Date]],9),IF(Main[[#This Row],[Class]]="B", WORKDAY(Main[[#This Row],[Tech Start Date]],6),IF(Main[[#This Row],[Class]]="A",WORKDAY(Main[[#This Row],[Tech Start Date]],2),""))))</f>
        <v/>
      </c>
      <c r="N409" s="77" t="str">
        <f>IF(Main[[#This Row],[Tech Start Date]]&lt;1/1/1990,"",IF(Main[[#This Row],[Class]]="C",WORKDAY(Main[[#This Row],[Tech Start Date]],19),IF(Main[[#This Row],[Class]]="B", WORKDAY(Main[[#This Row],[Tech Start Date]],12),IF(Main[[#This Row],[Class]]="A",WORKDAY(Main[[#This Row],[Tech Start Date]],4),""))))</f>
        <v/>
      </c>
      <c r="O409" s="77" t="str">
        <f>IF(Main[[#This Row],[Tech Start Date]]&lt;1/1/1990,"",IF(Main[[#This Row],[Class]]="C",WORKDAY(Main[[#This Row],[Tech Start Date]],23),IF(Main[[#This Row],[Class]]="B", WORKDAY(Main[[#This Row],[Tech Start Date]],15),IF(Main[[#This Row],[Class]]="A",WORKDAY(Main[[#This Row],[Tech Start Date]],5),""))))</f>
        <v/>
      </c>
      <c r="P409" s="77" t="str">
        <f>IF(Main[[#This Row],[Tech Start Date]]&lt;1/1/1990,"",IF(Main[[#This Row],[Class]]="C",WORKDAY(Main[[#This Row],[Tech Start Date]],28),IF(Main[[#This Row],[Class]]="B", WORKDAY(Main[[#This Row],[Tech Start Date]],19),IF(Main[[#This Row],[Class]]="A",WORKDAY(Main[[#This Row],[Tech Start Date]],9),""))))</f>
        <v/>
      </c>
      <c r="Q409" s="74">
        <v>40070</v>
      </c>
      <c r="R409" s="74"/>
      <c r="S409" s="72" t="s">
        <v>11</v>
      </c>
      <c r="T409" s="80" t="s">
        <v>4</v>
      </c>
      <c r="U409" s="72" t="s">
        <v>14</v>
      </c>
      <c r="V409" s="72" t="s">
        <v>1935</v>
      </c>
      <c r="W409" s="72" t="s">
        <v>1938</v>
      </c>
      <c r="X409" s="72" t="s">
        <v>2960</v>
      </c>
      <c r="Y409" s="72" t="s">
        <v>4</v>
      </c>
      <c r="Z409" s="72" t="s">
        <v>4</v>
      </c>
      <c r="AA409" s="147" t="s">
        <v>3594</v>
      </c>
    </row>
    <row r="410" spans="1:27" ht="18.600000000000001" customHeight="1">
      <c r="A410" s="140" t="str">
        <f>IF(priority(Main[[#This Row],[Comments]])&lt;&gt;0, priority(Main[[#This Row],[Comments]]),"")</f>
        <v/>
      </c>
      <c r="B410" s="90" t="s">
        <v>1305</v>
      </c>
      <c r="C410" s="72" t="s">
        <v>4</v>
      </c>
      <c r="D410" s="73" t="s">
        <v>346</v>
      </c>
      <c r="E410" s="74">
        <v>40704.346435185187</v>
      </c>
      <c r="F410" s="74"/>
      <c r="G410" s="75" t="str">
        <f>IF(stdProdLT(Main[[#This Row],[Comments]])=0.1,"N/A",IF(stdProdLT(Main[[#This Row],[Comments]])=0,"",stdProdLT(Main[[#This Row],[Comments]])))</f>
        <v/>
      </c>
      <c r="H410" s="76" t="str">
        <f>IF(AND(Main[[#This Row],[In Stock Date]]&lt;&gt;"",Main[[#This Row],[Revised Due Date]]&lt;&gt;""),Main[[#This Row],[In Stock Date]]-Main[[#This Row],[Revised Due Date]],"")</f>
        <v/>
      </c>
      <c r="I410" s="72" t="s">
        <v>933</v>
      </c>
      <c r="J410" s="72" t="s">
        <v>28</v>
      </c>
      <c r="K410" s="72" t="s">
        <v>4</v>
      </c>
      <c r="L410" s="74"/>
      <c r="M410" s="77" t="str">
        <f>IF(Main[[#This Row],[Tech Start Date]]&lt;1/1/1990,"",IF(Main[[#This Row],[Class]]="C",WORKDAY(Main[[#This Row],[Tech Start Date]],9),IF(Main[[#This Row],[Class]]="B", WORKDAY(Main[[#This Row],[Tech Start Date]],6),IF(Main[[#This Row],[Class]]="A",WORKDAY(Main[[#This Row],[Tech Start Date]],2),""))))</f>
        <v/>
      </c>
      <c r="N410" s="77" t="str">
        <f>IF(Main[[#This Row],[Tech Start Date]]&lt;1/1/1990,"",IF(Main[[#This Row],[Class]]="C",WORKDAY(Main[[#This Row],[Tech Start Date]],19),IF(Main[[#This Row],[Class]]="B", WORKDAY(Main[[#This Row],[Tech Start Date]],12),IF(Main[[#This Row],[Class]]="A",WORKDAY(Main[[#This Row],[Tech Start Date]],4),""))))</f>
        <v/>
      </c>
      <c r="O410" s="77" t="str">
        <f>IF(Main[[#This Row],[Tech Start Date]]&lt;1/1/1990,"",IF(Main[[#This Row],[Class]]="C",WORKDAY(Main[[#This Row],[Tech Start Date]],23),IF(Main[[#This Row],[Class]]="B", WORKDAY(Main[[#This Row],[Tech Start Date]],15),IF(Main[[#This Row],[Class]]="A",WORKDAY(Main[[#This Row],[Tech Start Date]],5),""))))</f>
        <v/>
      </c>
      <c r="P410" s="77" t="str">
        <f>IF(Main[[#This Row],[Tech Start Date]]&lt;1/1/1990,"",IF(Main[[#This Row],[Class]]="C",WORKDAY(Main[[#This Row],[Tech Start Date]],28),IF(Main[[#This Row],[Class]]="B", WORKDAY(Main[[#This Row],[Tech Start Date]],19),IF(Main[[#This Row],[Class]]="A",WORKDAY(Main[[#This Row],[Tech Start Date]],9),""))))</f>
        <v/>
      </c>
      <c r="Q410" s="74"/>
      <c r="R410" s="74">
        <v>40908</v>
      </c>
      <c r="S410" s="72" t="s">
        <v>49</v>
      </c>
      <c r="T410" s="80" t="s">
        <v>4</v>
      </c>
      <c r="U410" s="72" t="s">
        <v>7</v>
      </c>
      <c r="V410" s="72" t="s">
        <v>1947</v>
      </c>
      <c r="W410" s="72" t="s">
        <v>1934</v>
      </c>
      <c r="X410" s="72" t="s">
        <v>933</v>
      </c>
      <c r="Y410" s="72" t="s">
        <v>3069</v>
      </c>
      <c r="Z410" s="72" t="s">
        <v>2237</v>
      </c>
      <c r="AA410" s="147" t="s">
        <v>933</v>
      </c>
    </row>
    <row r="411" spans="1:27" ht="18.600000000000001" customHeight="1">
      <c r="A411" s="140" t="str">
        <f>IF(priority(Main[[#This Row],[Comments]])&lt;&gt;0, priority(Main[[#This Row],[Comments]]),"")</f>
        <v/>
      </c>
      <c r="B411" s="90" t="s">
        <v>1306</v>
      </c>
      <c r="C411" s="72" t="s">
        <v>72</v>
      </c>
      <c r="D411" s="73" t="s">
        <v>347</v>
      </c>
      <c r="E411" s="74"/>
      <c r="F411" s="74">
        <v>40106</v>
      </c>
      <c r="G411" s="75" t="str">
        <f>IF(stdProdLT(Main[[#This Row],[Comments]])=0.1,"N/A",IF(stdProdLT(Main[[#This Row],[Comments]])=0,"",stdProdLT(Main[[#This Row],[Comments]])))</f>
        <v/>
      </c>
      <c r="H411" s="76" t="str">
        <f>IF(AND(Main[[#This Row],[In Stock Date]]&lt;&gt;"",Main[[#This Row],[Revised Due Date]]&lt;&gt;""),Main[[#This Row],[In Stock Date]]-Main[[#This Row],[Revised Due Date]],"")</f>
        <v/>
      </c>
      <c r="I411" s="72" t="s">
        <v>4</v>
      </c>
      <c r="J411" s="72" t="s">
        <v>4</v>
      </c>
      <c r="K411" s="72" t="s">
        <v>4</v>
      </c>
      <c r="L411" s="74"/>
      <c r="M411" s="77" t="str">
        <f>IF(Main[[#This Row],[Tech Start Date]]&lt;1/1/1990,"",IF(Main[[#This Row],[Class]]="C",WORKDAY(Main[[#This Row],[Tech Start Date]],9),IF(Main[[#This Row],[Class]]="B", WORKDAY(Main[[#This Row],[Tech Start Date]],6),IF(Main[[#This Row],[Class]]="A",WORKDAY(Main[[#This Row],[Tech Start Date]],2),""))))</f>
        <v/>
      </c>
      <c r="N411" s="77" t="str">
        <f>IF(Main[[#This Row],[Tech Start Date]]&lt;1/1/1990,"",IF(Main[[#This Row],[Class]]="C",WORKDAY(Main[[#This Row],[Tech Start Date]],19),IF(Main[[#This Row],[Class]]="B", WORKDAY(Main[[#This Row],[Tech Start Date]],12),IF(Main[[#This Row],[Class]]="A",WORKDAY(Main[[#This Row],[Tech Start Date]],4),""))))</f>
        <v/>
      </c>
      <c r="O411" s="77" t="str">
        <f>IF(Main[[#This Row],[Tech Start Date]]&lt;1/1/1990,"",IF(Main[[#This Row],[Class]]="C",WORKDAY(Main[[#This Row],[Tech Start Date]],23),IF(Main[[#This Row],[Class]]="B", WORKDAY(Main[[#This Row],[Tech Start Date]],15),IF(Main[[#This Row],[Class]]="A",WORKDAY(Main[[#This Row],[Tech Start Date]],5),""))))</f>
        <v/>
      </c>
      <c r="P411" s="77" t="str">
        <f>IF(Main[[#This Row],[Tech Start Date]]&lt;1/1/1990,"",IF(Main[[#This Row],[Class]]="C",WORKDAY(Main[[#This Row],[Tech Start Date]],28),IF(Main[[#This Row],[Class]]="B", WORKDAY(Main[[#This Row],[Tech Start Date]],19),IF(Main[[#This Row],[Class]]="A",WORKDAY(Main[[#This Row],[Tech Start Date]],9),""))))</f>
        <v/>
      </c>
      <c r="Q411" s="74">
        <v>39986</v>
      </c>
      <c r="R411" s="74"/>
      <c r="S411" s="72" t="s">
        <v>11</v>
      </c>
      <c r="T411" s="80" t="s">
        <v>4</v>
      </c>
      <c r="U411" s="72" t="s">
        <v>14</v>
      </c>
      <c r="V411" s="72" t="s">
        <v>1933</v>
      </c>
      <c r="W411" s="72" t="s">
        <v>1937</v>
      </c>
      <c r="X411" s="72" t="s">
        <v>2908</v>
      </c>
      <c r="Y411" s="72" t="s">
        <v>3030</v>
      </c>
      <c r="Z411" s="72" t="s">
        <v>4</v>
      </c>
      <c r="AA411" s="147" t="s">
        <v>2908</v>
      </c>
    </row>
    <row r="412" spans="1:27" ht="18.600000000000001" customHeight="1">
      <c r="A412" s="140" t="str">
        <f>IF(priority(Main[[#This Row],[Comments]])&lt;&gt;0, priority(Main[[#This Row],[Comments]]),"")</f>
        <v/>
      </c>
      <c r="B412" s="90" t="s">
        <v>1307</v>
      </c>
      <c r="C412" s="72" t="s">
        <v>4</v>
      </c>
      <c r="D412" s="73" t="s">
        <v>348</v>
      </c>
      <c r="E412" s="74"/>
      <c r="F412" s="74"/>
      <c r="G412" s="75" t="str">
        <f>IF(stdProdLT(Main[[#This Row],[Comments]])=0.1,"N/A",IF(stdProdLT(Main[[#This Row],[Comments]])=0,"",stdProdLT(Main[[#This Row],[Comments]])))</f>
        <v/>
      </c>
      <c r="H412" s="76" t="str">
        <f>IF(AND(Main[[#This Row],[In Stock Date]]&lt;&gt;"",Main[[#This Row],[Revised Due Date]]&lt;&gt;""),Main[[#This Row],[In Stock Date]]-Main[[#This Row],[Revised Due Date]],"")</f>
        <v/>
      </c>
      <c r="I412" s="72" t="s">
        <v>4</v>
      </c>
      <c r="J412" s="72" t="s">
        <v>4</v>
      </c>
      <c r="K412" s="72" t="s">
        <v>4</v>
      </c>
      <c r="L412" s="74"/>
      <c r="M412" s="77" t="str">
        <f>IF(Main[[#This Row],[Tech Start Date]]&lt;1/1/1990,"",IF(Main[[#This Row],[Class]]="C",WORKDAY(Main[[#This Row],[Tech Start Date]],9),IF(Main[[#This Row],[Class]]="B", WORKDAY(Main[[#This Row],[Tech Start Date]],6),IF(Main[[#This Row],[Class]]="A",WORKDAY(Main[[#This Row],[Tech Start Date]],2),""))))</f>
        <v/>
      </c>
      <c r="N412" s="77" t="str">
        <f>IF(Main[[#This Row],[Tech Start Date]]&lt;1/1/1990,"",IF(Main[[#This Row],[Class]]="C",WORKDAY(Main[[#This Row],[Tech Start Date]],19),IF(Main[[#This Row],[Class]]="B", WORKDAY(Main[[#This Row],[Tech Start Date]],12),IF(Main[[#This Row],[Class]]="A",WORKDAY(Main[[#This Row],[Tech Start Date]],4),""))))</f>
        <v/>
      </c>
      <c r="O412" s="77" t="str">
        <f>IF(Main[[#This Row],[Tech Start Date]]&lt;1/1/1990,"",IF(Main[[#This Row],[Class]]="C",WORKDAY(Main[[#This Row],[Tech Start Date]],23),IF(Main[[#This Row],[Class]]="B", WORKDAY(Main[[#This Row],[Tech Start Date]],15),IF(Main[[#This Row],[Class]]="A",WORKDAY(Main[[#This Row],[Tech Start Date]],5),""))))</f>
        <v/>
      </c>
      <c r="P412" s="77" t="str">
        <f>IF(Main[[#This Row],[Tech Start Date]]&lt;1/1/1990,"",IF(Main[[#This Row],[Class]]="C",WORKDAY(Main[[#This Row],[Tech Start Date]],28),IF(Main[[#This Row],[Class]]="B", WORKDAY(Main[[#This Row],[Tech Start Date]],19),IF(Main[[#This Row],[Class]]="A",WORKDAY(Main[[#This Row],[Tech Start Date]],9),""))))</f>
        <v/>
      </c>
      <c r="Q412" s="74"/>
      <c r="R412" s="74"/>
      <c r="S412" s="72" t="s">
        <v>6</v>
      </c>
      <c r="T412" s="80" t="s">
        <v>4</v>
      </c>
      <c r="U412" s="72" t="s">
        <v>12</v>
      </c>
      <c r="V412" s="72" t="s">
        <v>1932</v>
      </c>
      <c r="W412" s="72" t="s">
        <v>1936</v>
      </c>
      <c r="X412" s="72" t="s">
        <v>718</v>
      </c>
      <c r="Y412" s="72" t="s">
        <v>3109</v>
      </c>
      <c r="Z412" s="72" t="s">
        <v>4</v>
      </c>
      <c r="AA412" s="147" t="s">
        <v>3589</v>
      </c>
    </row>
    <row r="413" spans="1:27" ht="18.600000000000001" customHeight="1">
      <c r="A413" s="140" t="str">
        <f>IF(priority(Main[[#This Row],[Comments]])&lt;&gt;0, priority(Main[[#This Row],[Comments]]),"")</f>
        <v/>
      </c>
      <c r="B413" s="90" t="s">
        <v>1286</v>
      </c>
      <c r="C413" s="72" t="s">
        <v>79</v>
      </c>
      <c r="D413" s="73" t="s">
        <v>349</v>
      </c>
      <c r="E413" s="74">
        <v>40072.642395833333</v>
      </c>
      <c r="F413" s="74">
        <v>40116</v>
      </c>
      <c r="G413" s="75" t="str">
        <f>IF(stdProdLT(Main[[#This Row],[Comments]])=0.1,"N/A",IF(stdProdLT(Main[[#This Row],[Comments]])=0,"",stdProdLT(Main[[#This Row],[Comments]])))</f>
        <v/>
      </c>
      <c r="H413" s="76" t="str">
        <f>IF(AND(Main[[#This Row],[In Stock Date]]&lt;&gt;"",Main[[#This Row],[Revised Due Date]]&lt;&gt;""),Main[[#This Row],[In Stock Date]]-Main[[#This Row],[Revised Due Date]],"")</f>
        <v/>
      </c>
      <c r="I413" s="72" t="s">
        <v>4</v>
      </c>
      <c r="J413" s="72" t="s">
        <v>4</v>
      </c>
      <c r="K413" s="72" t="s">
        <v>4</v>
      </c>
      <c r="L413" s="74"/>
      <c r="M413" s="77" t="str">
        <f>IF(Main[[#This Row],[Tech Start Date]]&lt;1/1/1990,"",IF(Main[[#This Row],[Class]]="C",WORKDAY(Main[[#This Row],[Tech Start Date]],9),IF(Main[[#This Row],[Class]]="B", WORKDAY(Main[[#This Row],[Tech Start Date]],6),IF(Main[[#This Row],[Class]]="A",WORKDAY(Main[[#This Row],[Tech Start Date]],2),""))))</f>
        <v/>
      </c>
      <c r="N413" s="77" t="str">
        <f>IF(Main[[#This Row],[Tech Start Date]]&lt;1/1/1990,"",IF(Main[[#This Row],[Class]]="C",WORKDAY(Main[[#This Row],[Tech Start Date]],19),IF(Main[[#This Row],[Class]]="B", WORKDAY(Main[[#This Row],[Tech Start Date]],12),IF(Main[[#This Row],[Class]]="A",WORKDAY(Main[[#This Row],[Tech Start Date]],4),""))))</f>
        <v/>
      </c>
      <c r="O413" s="77" t="str">
        <f>IF(Main[[#This Row],[Tech Start Date]]&lt;1/1/1990,"",IF(Main[[#This Row],[Class]]="C",WORKDAY(Main[[#This Row],[Tech Start Date]],23),IF(Main[[#This Row],[Class]]="B", WORKDAY(Main[[#This Row],[Tech Start Date]],15),IF(Main[[#This Row],[Class]]="A",WORKDAY(Main[[#This Row],[Tech Start Date]],5),""))))</f>
        <v/>
      </c>
      <c r="P413" s="77" t="str">
        <f>IF(Main[[#This Row],[Tech Start Date]]&lt;1/1/1990,"",IF(Main[[#This Row],[Class]]="C",WORKDAY(Main[[#This Row],[Tech Start Date]],28),IF(Main[[#This Row],[Class]]="B", WORKDAY(Main[[#This Row],[Tech Start Date]],19),IF(Main[[#This Row],[Class]]="A",WORKDAY(Main[[#This Row],[Tech Start Date]],9),""))))</f>
        <v/>
      </c>
      <c r="Q413" s="74"/>
      <c r="R413" s="74"/>
      <c r="S413" s="72" t="s">
        <v>17</v>
      </c>
      <c r="T413" s="80" t="s">
        <v>4</v>
      </c>
      <c r="U413" s="72" t="s">
        <v>7</v>
      </c>
      <c r="V413" s="72" t="s">
        <v>1932</v>
      </c>
      <c r="W413" s="72" t="s">
        <v>1936</v>
      </c>
      <c r="X413" s="72" t="s">
        <v>2945</v>
      </c>
      <c r="Y413" s="72" t="s">
        <v>3043</v>
      </c>
      <c r="Z413" s="72" t="s">
        <v>4</v>
      </c>
      <c r="AA413" s="147" t="s">
        <v>2945</v>
      </c>
    </row>
    <row r="414" spans="1:27" ht="18.600000000000001" customHeight="1">
      <c r="A414" s="140" t="str">
        <f>IF(priority(Main[[#This Row],[Comments]])&lt;&gt;0, priority(Main[[#This Row],[Comments]]),"")</f>
        <v/>
      </c>
      <c r="B414" s="90" t="s">
        <v>1287</v>
      </c>
      <c r="C414" s="72" t="s">
        <v>4</v>
      </c>
      <c r="D414" s="73" t="s">
        <v>350</v>
      </c>
      <c r="E414" s="74">
        <v>40422.66909722222</v>
      </c>
      <c r="F414" s="74"/>
      <c r="G414" s="75" t="str">
        <f>IF(stdProdLT(Main[[#This Row],[Comments]])=0.1,"N/A",IF(stdProdLT(Main[[#This Row],[Comments]])=0,"",stdProdLT(Main[[#This Row],[Comments]])))</f>
        <v/>
      </c>
      <c r="H414" s="76" t="str">
        <f>IF(AND(Main[[#This Row],[In Stock Date]]&lt;&gt;"",Main[[#This Row],[Revised Due Date]]&lt;&gt;""),Main[[#This Row],[In Stock Date]]-Main[[#This Row],[Revised Due Date]],"")</f>
        <v/>
      </c>
      <c r="I414" s="72" t="s">
        <v>4</v>
      </c>
      <c r="J414" s="72" t="s">
        <v>28</v>
      </c>
      <c r="K414" s="72" t="s">
        <v>4</v>
      </c>
      <c r="L414" s="74"/>
      <c r="M414" s="77" t="str">
        <f>IF(Main[[#This Row],[Tech Start Date]]&lt;1/1/1990,"",IF(Main[[#This Row],[Class]]="C",WORKDAY(Main[[#This Row],[Tech Start Date]],9),IF(Main[[#This Row],[Class]]="B", WORKDAY(Main[[#This Row],[Tech Start Date]],6),IF(Main[[#This Row],[Class]]="A",WORKDAY(Main[[#This Row],[Tech Start Date]],2),""))))</f>
        <v/>
      </c>
      <c r="N414" s="77" t="str">
        <f>IF(Main[[#This Row],[Tech Start Date]]&lt;1/1/1990,"",IF(Main[[#This Row],[Class]]="C",WORKDAY(Main[[#This Row],[Tech Start Date]],19),IF(Main[[#This Row],[Class]]="B", WORKDAY(Main[[#This Row],[Tech Start Date]],12),IF(Main[[#This Row],[Class]]="A",WORKDAY(Main[[#This Row],[Tech Start Date]],4),""))))</f>
        <v/>
      </c>
      <c r="O414" s="77" t="str">
        <f>IF(Main[[#This Row],[Tech Start Date]]&lt;1/1/1990,"",IF(Main[[#This Row],[Class]]="C",WORKDAY(Main[[#This Row],[Tech Start Date]],23),IF(Main[[#This Row],[Class]]="B", WORKDAY(Main[[#This Row],[Tech Start Date]],15),IF(Main[[#This Row],[Class]]="A",WORKDAY(Main[[#This Row],[Tech Start Date]],5),""))))</f>
        <v/>
      </c>
      <c r="P414" s="77" t="str">
        <f>IF(Main[[#This Row],[Tech Start Date]]&lt;1/1/1990,"",IF(Main[[#This Row],[Class]]="C",WORKDAY(Main[[#This Row],[Tech Start Date]],28),IF(Main[[#This Row],[Class]]="B", WORKDAY(Main[[#This Row],[Tech Start Date]],19),IF(Main[[#This Row],[Class]]="A",WORKDAY(Main[[#This Row],[Tech Start Date]],9),""))))</f>
        <v/>
      </c>
      <c r="Q414" s="74"/>
      <c r="R414" s="74"/>
      <c r="S414" s="72" t="s">
        <v>6</v>
      </c>
      <c r="T414" s="80" t="s">
        <v>4</v>
      </c>
      <c r="U414" s="72" t="s">
        <v>29</v>
      </c>
      <c r="V414" s="72" t="s">
        <v>1932</v>
      </c>
      <c r="W414" s="72" t="s">
        <v>1936</v>
      </c>
      <c r="X414" s="72" t="s">
        <v>403</v>
      </c>
      <c r="Y414" s="72" t="s">
        <v>3110</v>
      </c>
      <c r="Z414" s="72" t="s">
        <v>129</v>
      </c>
      <c r="AA414" s="147" t="s">
        <v>3566</v>
      </c>
    </row>
    <row r="415" spans="1:27" ht="18.600000000000001" customHeight="1">
      <c r="A415" s="140" t="str">
        <f>IF(priority(Main[[#This Row],[Comments]])&lt;&gt;0, priority(Main[[#This Row],[Comments]]),"")</f>
        <v/>
      </c>
      <c r="B415" s="90" t="s">
        <v>1288</v>
      </c>
      <c r="C415" s="72" t="s">
        <v>351</v>
      </c>
      <c r="D415" s="73" t="s">
        <v>352</v>
      </c>
      <c r="E415" s="74"/>
      <c r="F415" s="74"/>
      <c r="G415" s="75" t="str">
        <f>IF(stdProdLT(Main[[#This Row],[Comments]])=0.1,"N/A",IF(stdProdLT(Main[[#This Row],[Comments]])=0,"",stdProdLT(Main[[#This Row],[Comments]])))</f>
        <v/>
      </c>
      <c r="H415" s="76" t="str">
        <f>IF(AND(Main[[#This Row],[In Stock Date]]&lt;&gt;"",Main[[#This Row],[Revised Due Date]]&lt;&gt;""),Main[[#This Row],[In Stock Date]]-Main[[#This Row],[Revised Due Date]],"")</f>
        <v/>
      </c>
      <c r="I415" s="72" t="s">
        <v>4</v>
      </c>
      <c r="J415" s="72" t="s">
        <v>4</v>
      </c>
      <c r="K415" s="72" t="s">
        <v>4</v>
      </c>
      <c r="L415" s="74"/>
      <c r="M415" s="77" t="str">
        <f>IF(Main[[#This Row],[Tech Start Date]]&lt;1/1/1990,"",IF(Main[[#This Row],[Class]]="C",WORKDAY(Main[[#This Row],[Tech Start Date]],9),IF(Main[[#This Row],[Class]]="B", WORKDAY(Main[[#This Row],[Tech Start Date]],6),IF(Main[[#This Row],[Class]]="A",WORKDAY(Main[[#This Row],[Tech Start Date]],2),""))))</f>
        <v/>
      </c>
      <c r="N415" s="77" t="str">
        <f>IF(Main[[#This Row],[Tech Start Date]]&lt;1/1/1990,"",IF(Main[[#This Row],[Class]]="C",WORKDAY(Main[[#This Row],[Tech Start Date]],19),IF(Main[[#This Row],[Class]]="B", WORKDAY(Main[[#This Row],[Tech Start Date]],12),IF(Main[[#This Row],[Class]]="A",WORKDAY(Main[[#This Row],[Tech Start Date]],4),""))))</f>
        <v/>
      </c>
      <c r="O415" s="77" t="str">
        <f>IF(Main[[#This Row],[Tech Start Date]]&lt;1/1/1990,"",IF(Main[[#This Row],[Class]]="C",WORKDAY(Main[[#This Row],[Tech Start Date]],23),IF(Main[[#This Row],[Class]]="B", WORKDAY(Main[[#This Row],[Tech Start Date]],15),IF(Main[[#This Row],[Class]]="A",WORKDAY(Main[[#This Row],[Tech Start Date]],5),""))))</f>
        <v/>
      </c>
      <c r="P415" s="77" t="str">
        <f>IF(Main[[#This Row],[Tech Start Date]]&lt;1/1/1990,"",IF(Main[[#This Row],[Class]]="C",WORKDAY(Main[[#This Row],[Tech Start Date]],28),IF(Main[[#This Row],[Class]]="B", WORKDAY(Main[[#This Row],[Tech Start Date]],19),IF(Main[[#This Row],[Class]]="A",WORKDAY(Main[[#This Row],[Tech Start Date]],9),""))))</f>
        <v/>
      </c>
      <c r="Q415" s="74"/>
      <c r="R415" s="74"/>
      <c r="S415" s="72" t="s">
        <v>11</v>
      </c>
      <c r="T415" s="80" t="s">
        <v>4</v>
      </c>
      <c r="U415" s="72" t="s">
        <v>14</v>
      </c>
      <c r="V415" s="72" t="s">
        <v>1933</v>
      </c>
      <c r="W415" s="72" t="s">
        <v>1937</v>
      </c>
      <c r="X415" s="72" t="s">
        <v>310</v>
      </c>
      <c r="Y415" s="72" t="s">
        <v>3028</v>
      </c>
      <c r="Z415" s="72" t="s">
        <v>4</v>
      </c>
      <c r="AA415" s="147" t="s">
        <v>310</v>
      </c>
    </row>
    <row r="416" spans="1:27" ht="18.600000000000001" customHeight="1">
      <c r="A416" s="140" t="str">
        <f>IF(priority(Main[[#This Row],[Comments]])&lt;&gt;0, priority(Main[[#This Row],[Comments]]),"")</f>
        <v/>
      </c>
      <c r="B416" s="90" t="s">
        <v>2403</v>
      </c>
      <c r="C416" s="72" t="s">
        <v>4</v>
      </c>
      <c r="D416" s="73" t="s">
        <v>2404</v>
      </c>
      <c r="E416" s="74">
        <v>40869.35837962963</v>
      </c>
      <c r="F416" s="74"/>
      <c r="G416" s="75" t="str">
        <f>IF(stdProdLT(Main[[#This Row],[Comments]])=0.1,"N/A",IF(stdProdLT(Main[[#This Row],[Comments]])=0,"",stdProdLT(Main[[#This Row],[Comments]])))</f>
        <v/>
      </c>
      <c r="H416" s="76" t="str">
        <f>IF(AND(Main[[#This Row],[In Stock Date]]&lt;&gt;"",Main[[#This Row],[Revised Due Date]]&lt;&gt;""),Main[[#This Row],[In Stock Date]]-Main[[#This Row],[Revised Due Date]],"")</f>
        <v/>
      </c>
      <c r="I416" s="72" t="s">
        <v>4</v>
      </c>
      <c r="J416" s="72" t="s">
        <v>4</v>
      </c>
      <c r="K416" s="72" t="s">
        <v>4</v>
      </c>
      <c r="L416" s="74"/>
      <c r="M416" s="77" t="str">
        <f>IF(Main[[#This Row],[Tech Start Date]]&lt;1/1/1990,"",IF(Main[[#This Row],[Class]]="C",WORKDAY(Main[[#This Row],[Tech Start Date]],9),IF(Main[[#This Row],[Class]]="B", WORKDAY(Main[[#This Row],[Tech Start Date]],6),IF(Main[[#This Row],[Class]]="A",WORKDAY(Main[[#This Row],[Tech Start Date]],2),""))))</f>
        <v/>
      </c>
      <c r="N416" s="77" t="str">
        <f>IF(Main[[#This Row],[Tech Start Date]]&lt;1/1/1990,"",IF(Main[[#This Row],[Class]]="C",WORKDAY(Main[[#This Row],[Tech Start Date]],19),IF(Main[[#This Row],[Class]]="B", WORKDAY(Main[[#This Row],[Tech Start Date]],12),IF(Main[[#This Row],[Class]]="A",WORKDAY(Main[[#This Row],[Tech Start Date]],4),""))))</f>
        <v/>
      </c>
      <c r="O416" s="77" t="str">
        <f>IF(Main[[#This Row],[Tech Start Date]]&lt;1/1/1990,"",IF(Main[[#This Row],[Class]]="C",WORKDAY(Main[[#This Row],[Tech Start Date]],23),IF(Main[[#This Row],[Class]]="B", WORKDAY(Main[[#This Row],[Tech Start Date]],15),IF(Main[[#This Row],[Class]]="A",WORKDAY(Main[[#This Row],[Tech Start Date]],5),""))))</f>
        <v/>
      </c>
      <c r="P416" s="77" t="str">
        <f>IF(Main[[#This Row],[Tech Start Date]]&lt;1/1/1990,"",IF(Main[[#This Row],[Class]]="C",WORKDAY(Main[[#This Row],[Tech Start Date]],28),IF(Main[[#This Row],[Class]]="B", WORKDAY(Main[[#This Row],[Tech Start Date]],19),IF(Main[[#This Row],[Class]]="A",WORKDAY(Main[[#This Row],[Tech Start Date]],9),""))))</f>
        <v/>
      </c>
      <c r="Q416" s="74"/>
      <c r="R416" s="74"/>
      <c r="S416" s="72" t="s">
        <v>6</v>
      </c>
      <c r="T416" s="80" t="s">
        <v>4</v>
      </c>
      <c r="U416" s="72" t="s">
        <v>29</v>
      </c>
      <c r="V416" s="72" t="s">
        <v>1933</v>
      </c>
      <c r="W416" s="72" t="s">
        <v>1934</v>
      </c>
      <c r="X416" s="72" t="s">
        <v>102</v>
      </c>
      <c r="Y416" s="72" t="s">
        <v>3111</v>
      </c>
      <c r="Z416" s="72" t="s">
        <v>4</v>
      </c>
      <c r="AA416" s="147" t="s">
        <v>3595</v>
      </c>
    </row>
    <row r="417" spans="1:27" ht="18.600000000000001" customHeight="1">
      <c r="A417" s="140" t="str">
        <f>IF(priority(Main[[#This Row],[Comments]])&lt;&gt;0, priority(Main[[#This Row],[Comments]]),"")</f>
        <v/>
      </c>
      <c r="B417" s="90" t="s">
        <v>1289</v>
      </c>
      <c r="C417" s="72" t="s">
        <v>93</v>
      </c>
      <c r="D417" s="73" t="s">
        <v>353</v>
      </c>
      <c r="E417" s="74"/>
      <c r="F417" s="74"/>
      <c r="G417" s="75" t="str">
        <f>IF(stdProdLT(Main[[#This Row],[Comments]])=0.1,"N/A",IF(stdProdLT(Main[[#This Row],[Comments]])=0,"",stdProdLT(Main[[#This Row],[Comments]])))</f>
        <v/>
      </c>
      <c r="H417" s="76" t="str">
        <f>IF(AND(Main[[#This Row],[In Stock Date]]&lt;&gt;"",Main[[#This Row],[Revised Due Date]]&lt;&gt;""),Main[[#This Row],[In Stock Date]]-Main[[#This Row],[Revised Due Date]],"")</f>
        <v/>
      </c>
      <c r="I417" s="72" t="s">
        <v>4</v>
      </c>
      <c r="J417" s="72" t="s">
        <v>4</v>
      </c>
      <c r="K417" s="72" t="s">
        <v>4</v>
      </c>
      <c r="L417" s="74"/>
      <c r="M417" s="77" t="str">
        <f>IF(Main[[#This Row],[Tech Start Date]]&lt;1/1/1990,"",IF(Main[[#This Row],[Class]]="C",WORKDAY(Main[[#This Row],[Tech Start Date]],9),IF(Main[[#This Row],[Class]]="B", WORKDAY(Main[[#This Row],[Tech Start Date]],6),IF(Main[[#This Row],[Class]]="A",WORKDAY(Main[[#This Row],[Tech Start Date]],2),""))))</f>
        <v/>
      </c>
      <c r="N417" s="77" t="str">
        <f>IF(Main[[#This Row],[Tech Start Date]]&lt;1/1/1990,"",IF(Main[[#This Row],[Class]]="C",WORKDAY(Main[[#This Row],[Tech Start Date]],19),IF(Main[[#This Row],[Class]]="B", WORKDAY(Main[[#This Row],[Tech Start Date]],12),IF(Main[[#This Row],[Class]]="A",WORKDAY(Main[[#This Row],[Tech Start Date]],4),""))))</f>
        <v/>
      </c>
      <c r="O417" s="77" t="str">
        <f>IF(Main[[#This Row],[Tech Start Date]]&lt;1/1/1990,"",IF(Main[[#This Row],[Class]]="C",WORKDAY(Main[[#This Row],[Tech Start Date]],23),IF(Main[[#This Row],[Class]]="B", WORKDAY(Main[[#This Row],[Tech Start Date]],15),IF(Main[[#This Row],[Class]]="A",WORKDAY(Main[[#This Row],[Tech Start Date]],5),""))))</f>
        <v/>
      </c>
      <c r="P417" s="77" t="str">
        <f>IF(Main[[#This Row],[Tech Start Date]]&lt;1/1/1990,"",IF(Main[[#This Row],[Class]]="C",WORKDAY(Main[[#This Row],[Tech Start Date]],28),IF(Main[[#This Row],[Class]]="B", WORKDAY(Main[[#This Row],[Tech Start Date]],19),IF(Main[[#This Row],[Class]]="A",WORKDAY(Main[[#This Row],[Tech Start Date]],9),""))))</f>
        <v/>
      </c>
      <c r="Q417" s="74"/>
      <c r="R417" s="74"/>
      <c r="S417" s="72" t="s">
        <v>11</v>
      </c>
      <c r="T417" s="80" t="s">
        <v>4</v>
      </c>
      <c r="U417" s="72" t="s">
        <v>14</v>
      </c>
      <c r="V417" s="72" t="s">
        <v>1935</v>
      </c>
      <c r="W417" s="72" t="s">
        <v>1938</v>
      </c>
      <c r="X417" s="72" t="s">
        <v>2937</v>
      </c>
      <c r="Y417" s="72" t="s">
        <v>3078</v>
      </c>
      <c r="Z417" s="72" t="s">
        <v>4</v>
      </c>
      <c r="AA417" s="147" t="s">
        <v>2937</v>
      </c>
    </row>
    <row r="418" spans="1:27" ht="18.600000000000001" customHeight="1">
      <c r="A418" s="140" t="str">
        <f>IF(priority(Main[[#This Row],[Comments]])&lt;&gt;0, priority(Main[[#This Row],[Comments]]),"")</f>
        <v/>
      </c>
      <c r="B418" s="90" t="s">
        <v>1291</v>
      </c>
      <c r="C418" s="72" t="s">
        <v>4</v>
      </c>
      <c r="D418" s="73" t="s">
        <v>354</v>
      </c>
      <c r="E418" s="74"/>
      <c r="F418" s="74"/>
      <c r="G418" s="75" t="str">
        <f>IF(stdProdLT(Main[[#This Row],[Comments]])=0.1,"N/A",IF(stdProdLT(Main[[#This Row],[Comments]])=0,"",stdProdLT(Main[[#This Row],[Comments]])))</f>
        <v/>
      </c>
      <c r="H418" s="76" t="str">
        <f>IF(AND(Main[[#This Row],[In Stock Date]]&lt;&gt;"",Main[[#This Row],[Revised Due Date]]&lt;&gt;""),Main[[#This Row],[In Stock Date]]-Main[[#This Row],[Revised Due Date]],"")</f>
        <v/>
      </c>
      <c r="I418" s="72" t="s">
        <v>4</v>
      </c>
      <c r="J418" s="72" t="s">
        <v>4</v>
      </c>
      <c r="K418" s="72" t="s">
        <v>4</v>
      </c>
      <c r="L418" s="74"/>
      <c r="M418" s="77" t="str">
        <f>IF(Main[[#This Row],[Tech Start Date]]&lt;1/1/1990,"",IF(Main[[#This Row],[Class]]="C",WORKDAY(Main[[#This Row],[Tech Start Date]],9),IF(Main[[#This Row],[Class]]="B", WORKDAY(Main[[#This Row],[Tech Start Date]],6),IF(Main[[#This Row],[Class]]="A",WORKDAY(Main[[#This Row],[Tech Start Date]],2),""))))</f>
        <v/>
      </c>
      <c r="N418" s="77" t="str">
        <f>IF(Main[[#This Row],[Tech Start Date]]&lt;1/1/1990,"",IF(Main[[#This Row],[Class]]="C",WORKDAY(Main[[#This Row],[Tech Start Date]],19),IF(Main[[#This Row],[Class]]="B", WORKDAY(Main[[#This Row],[Tech Start Date]],12),IF(Main[[#This Row],[Class]]="A",WORKDAY(Main[[#This Row],[Tech Start Date]],4),""))))</f>
        <v/>
      </c>
      <c r="O418" s="77" t="str">
        <f>IF(Main[[#This Row],[Tech Start Date]]&lt;1/1/1990,"",IF(Main[[#This Row],[Class]]="C",WORKDAY(Main[[#This Row],[Tech Start Date]],23),IF(Main[[#This Row],[Class]]="B", WORKDAY(Main[[#This Row],[Tech Start Date]],15),IF(Main[[#This Row],[Class]]="A",WORKDAY(Main[[#This Row],[Tech Start Date]],5),""))))</f>
        <v/>
      </c>
      <c r="P418" s="77" t="str">
        <f>IF(Main[[#This Row],[Tech Start Date]]&lt;1/1/1990,"",IF(Main[[#This Row],[Class]]="C",WORKDAY(Main[[#This Row],[Tech Start Date]],28),IF(Main[[#This Row],[Class]]="B", WORKDAY(Main[[#This Row],[Tech Start Date]],19),IF(Main[[#This Row],[Class]]="A",WORKDAY(Main[[#This Row],[Tech Start Date]],9),""))))</f>
        <v/>
      </c>
      <c r="Q418" s="74"/>
      <c r="R418" s="74"/>
      <c r="S418" s="72" t="s">
        <v>11</v>
      </c>
      <c r="T418" s="80" t="s">
        <v>4</v>
      </c>
      <c r="U418" s="72" t="s">
        <v>14</v>
      </c>
      <c r="V418" s="72" t="s">
        <v>1935</v>
      </c>
      <c r="W418" s="72" t="s">
        <v>1934</v>
      </c>
      <c r="X418" s="72" t="s">
        <v>2961</v>
      </c>
      <c r="Y418" s="72" t="s">
        <v>3112</v>
      </c>
      <c r="Z418" s="72" t="s">
        <v>4</v>
      </c>
      <c r="AA418" s="147" t="s">
        <v>2961</v>
      </c>
    </row>
    <row r="419" spans="1:27" ht="18.600000000000001" customHeight="1">
      <c r="A419" s="140" t="str">
        <f>IF(priority(Main[[#This Row],[Comments]])&lt;&gt;0, priority(Main[[#This Row],[Comments]]),"")</f>
        <v/>
      </c>
      <c r="B419" s="90" t="s">
        <v>1292</v>
      </c>
      <c r="C419" s="72" t="s">
        <v>355</v>
      </c>
      <c r="D419" s="73" t="s">
        <v>356</v>
      </c>
      <c r="E419" s="74"/>
      <c r="F419" s="74">
        <v>40452</v>
      </c>
      <c r="G419" s="75" t="str">
        <f>IF(stdProdLT(Main[[#This Row],[Comments]])=0.1,"N/A",IF(stdProdLT(Main[[#This Row],[Comments]])=0,"",stdProdLT(Main[[#This Row],[Comments]])))</f>
        <v/>
      </c>
      <c r="H419" s="76" t="str">
        <f>IF(AND(Main[[#This Row],[In Stock Date]]&lt;&gt;"",Main[[#This Row],[Revised Due Date]]&lt;&gt;""),Main[[#This Row],[In Stock Date]]-Main[[#This Row],[Revised Due Date]],"")</f>
        <v/>
      </c>
      <c r="I419" s="72" t="s">
        <v>4</v>
      </c>
      <c r="J419" s="72" t="s">
        <v>4</v>
      </c>
      <c r="K419" s="72" t="s">
        <v>4</v>
      </c>
      <c r="L419" s="74"/>
      <c r="M419" s="77" t="str">
        <f>IF(Main[[#This Row],[Tech Start Date]]&lt;1/1/1990,"",IF(Main[[#This Row],[Class]]="C",WORKDAY(Main[[#This Row],[Tech Start Date]],9),IF(Main[[#This Row],[Class]]="B", WORKDAY(Main[[#This Row],[Tech Start Date]],6),IF(Main[[#This Row],[Class]]="A",WORKDAY(Main[[#This Row],[Tech Start Date]],2),""))))</f>
        <v/>
      </c>
      <c r="N419" s="77" t="str">
        <f>IF(Main[[#This Row],[Tech Start Date]]&lt;1/1/1990,"",IF(Main[[#This Row],[Class]]="C",WORKDAY(Main[[#This Row],[Tech Start Date]],19),IF(Main[[#This Row],[Class]]="B", WORKDAY(Main[[#This Row],[Tech Start Date]],12),IF(Main[[#This Row],[Class]]="A",WORKDAY(Main[[#This Row],[Tech Start Date]],4),""))))</f>
        <v/>
      </c>
      <c r="O419" s="77" t="str">
        <f>IF(Main[[#This Row],[Tech Start Date]]&lt;1/1/1990,"",IF(Main[[#This Row],[Class]]="C",WORKDAY(Main[[#This Row],[Tech Start Date]],23),IF(Main[[#This Row],[Class]]="B", WORKDAY(Main[[#This Row],[Tech Start Date]],15),IF(Main[[#This Row],[Class]]="A",WORKDAY(Main[[#This Row],[Tech Start Date]],5),""))))</f>
        <v/>
      </c>
      <c r="P419" s="77" t="str">
        <f>IF(Main[[#This Row],[Tech Start Date]]&lt;1/1/1990,"",IF(Main[[#This Row],[Class]]="C",WORKDAY(Main[[#This Row],[Tech Start Date]],28),IF(Main[[#This Row],[Class]]="B", WORKDAY(Main[[#This Row],[Tech Start Date]],19),IF(Main[[#This Row],[Class]]="A",WORKDAY(Main[[#This Row],[Tech Start Date]],9),""))))</f>
        <v/>
      </c>
      <c r="Q419" s="74">
        <v>40344</v>
      </c>
      <c r="R419" s="74"/>
      <c r="S419" s="72" t="s">
        <v>11</v>
      </c>
      <c r="T419" s="80" t="s">
        <v>4</v>
      </c>
      <c r="U419" s="72" t="s">
        <v>14</v>
      </c>
      <c r="V419" s="72" t="s">
        <v>1935</v>
      </c>
      <c r="W419" s="72" t="s">
        <v>1938</v>
      </c>
      <c r="X419" s="72" t="s">
        <v>2956</v>
      </c>
      <c r="Y419" s="72" t="s">
        <v>3083</v>
      </c>
      <c r="Z419" s="72" t="s">
        <v>535</v>
      </c>
      <c r="AA419" s="147" t="s">
        <v>2956</v>
      </c>
    </row>
    <row r="420" spans="1:27" ht="18.600000000000001" customHeight="1">
      <c r="A420" s="140" t="str">
        <f>IF(priority(Main[[#This Row],[Comments]])&lt;&gt;0, priority(Main[[#This Row],[Comments]]),"")</f>
        <v/>
      </c>
      <c r="B420" s="90" t="s">
        <v>1293</v>
      </c>
      <c r="C420" s="72" t="s">
        <v>4</v>
      </c>
      <c r="D420" s="73" t="s">
        <v>357</v>
      </c>
      <c r="E420" s="74"/>
      <c r="F420" s="74"/>
      <c r="G420" s="75" t="str">
        <f>IF(stdProdLT(Main[[#This Row],[Comments]])=0.1,"N/A",IF(stdProdLT(Main[[#This Row],[Comments]])=0,"",stdProdLT(Main[[#This Row],[Comments]])))</f>
        <v/>
      </c>
      <c r="H420" s="76" t="str">
        <f>IF(AND(Main[[#This Row],[In Stock Date]]&lt;&gt;"",Main[[#This Row],[Revised Due Date]]&lt;&gt;""),Main[[#This Row],[In Stock Date]]-Main[[#This Row],[Revised Due Date]],"")</f>
        <v/>
      </c>
      <c r="I420" s="72" t="s">
        <v>4</v>
      </c>
      <c r="J420" s="72" t="s">
        <v>4</v>
      </c>
      <c r="K420" s="72" t="s">
        <v>4</v>
      </c>
      <c r="L420" s="74"/>
      <c r="M420" s="77" t="str">
        <f>IF(Main[[#This Row],[Tech Start Date]]&lt;1/1/1990,"",IF(Main[[#This Row],[Class]]="C",WORKDAY(Main[[#This Row],[Tech Start Date]],9),IF(Main[[#This Row],[Class]]="B", WORKDAY(Main[[#This Row],[Tech Start Date]],6),IF(Main[[#This Row],[Class]]="A",WORKDAY(Main[[#This Row],[Tech Start Date]],2),""))))</f>
        <v/>
      </c>
      <c r="N420" s="77" t="str">
        <f>IF(Main[[#This Row],[Tech Start Date]]&lt;1/1/1990,"",IF(Main[[#This Row],[Class]]="C",WORKDAY(Main[[#This Row],[Tech Start Date]],19),IF(Main[[#This Row],[Class]]="B", WORKDAY(Main[[#This Row],[Tech Start Date]],12),IF(Main[[#This Row],[Class]]="A",WORKDAY(Main[[#This Row],[Tech Start Date]],4),""))))</f>
        <v/>
      </c>
      <c r="O420" s="77" t="str">
        <f>IF(Main[[#This Row],[Tech Start Date]]&lt;1/1/1990,"",IF(Main[[#This Row],[Class]]="C",WORKDAY(Main[[#This Row],[Tech Start Date]],23),IF(Main[[#This Row],[Class]]="B", WORKDAY(Main[[#This Row],[Tech Start Date]],15),IF(Main[[#This Row],[Class]]="A",WORKDAY(Main[[#This Row],[Tech Start Date]],5),""))))</f>
        <v/>
      </c>
      <c r="P420" s="77" t="str">
        <f>IF(Main[[#This Row],[Tech Start Date]]&lt;1/1/1990,"",IF(Main[[#This Row],[Class]]="C",WORKDAY(Main[[#This Row],[Tech Start Date]],28),IF(Main[[#This Row],[Class]]="B", WORKDAY(Main[[#This Row],[Tech Start Date]],19),IF(Main[[#This Row],[Class]]="A",WORKDAY(Main[[#This Row],[Tech Start Date]],9),""))))</f>
        <v/>
      </c>
      <c r="Q420" s="74"/>
      <c r="R420" s="74"/>
      <c r="S420" s="72" t="s">
        <v>4</v>
      </c>
      <c r="T420" s="80" t="s">
        <v>4</v>
      </c>
      <c r="U420" s="72" t="s">
        <v>14</v>
      </c>
      <c r="V420" s="72" t="s">
        <v>1932</v>
      </c>
      <c r="W420" s="72" t="s">
        <v>4</v>
      </c>
      <c r="X420" s="72" t="s">
        <v>2962</v>
      </c>
      <c r="Y420" s="72" t="s">
        <v>3113</v>
      </c>
      <c r="Z420" s="72" t="s">
        <v>4</v>
      </c>
      <c r="AA420" s="147" t="s">
        <v>2962</v>
      </c>
    </row>
    <row r="421" spans="1:27" ht="18.600000000000001" customHeight="1">
      <c r="A421" s="140" t="str">
        <f>IF(priority(Main[[#This Row],[Comments]])&lt;&gt;0, priority(Main[[#This Row],[Comments]]),"")</f>
        <v/>
      </c>
      <c r="B421" s="90" t="s">
        <v>1294</v>
      </c>
      <c r="C421" s="72" t="s">
        <v>33</v>
      </c>
      <c r="D421" s="73" t="s">
        <v>358</v>
      </c>
      <c r="E421" s="74"/>
      <c r="F421" s="74"/>
      <c r="G421" s="75" t="str">
        <f>IF(stdProdLT(Main[[#This Row],[Comments]])=0.1,"N/A",IF(stdProdLT(Main[[#This Row],[Comments]])=0,"",stdProdLT(Main[[#This Row],[Comments]])))</f>
        <v/>
      </c>
      <c r="H421" s="76" t="str">
        <f>IF(AND(Main[[#This Row],[In Stock Date]]&lt;&gt;"",Main[[#This Row],[Revised Due Date]]&lt;&gt;""),Main[[#This Row],[In Stock Date]]-Main[[#This Row],[Revised Due Date]],"")</f>
        <v/>
      </c>
      <c r="I421" s="72" t="s">
        <v>4</v>
      </c>
      <c r="J421" s="72" t="s">
        <v>4</v>
      </c>
      <c r="K421" s="72" t="s">
        <v>4</v>
      </c>
      <c r="L421" s="74"/>
      <c r="M421" s="77" t="str">
        <f>IF(Main[[#This Row],[Tech Start Date]]&lt;1/1/1990,"",IF(Main[[#This Row],[Class]]="C",WORKDAY(Main[[#This Row],[Tech Start Date]],9),IF(Main[[#This Row],[Class]]="B", WORKDAY(Main[[#This Row],[Tech Start Date]],6),IF(Main[[#This Row],[Class]]="A",WORKDAY(Main[[#This Row],[Tech Start Date]],2),""))))</f>
        <v/>
      </c>
      <c r="N421" s="77" t="str">
        <f>IF(Main[[#This Row],[Tech Start Date]]&lt;1/1/1990,"",IF(Main[[#This Row],[Class]]="C",WORKDAY(Main[[#This Row],[Tech Start Date]],19),IF(Main[[#This Row],[Class]]="B", WORKDAY(Main[[#This Row],[Tech Start Date]],12),IF(Main[[#This Row],[Class]]="A",WORKDAY(Main[[#This Row],[Tech Start Date]],4),""))))</f>
        <v/>
      </c>
      <c r="O421" s="77" t="str">
        <f>IF(Main[[#This Row],[Tech Start Date]]&lt;1/1/1990,"",IF(Main[[#This Row],[Class]]="C",WORKDAY(Main[[#This Row],[Tech Start Date]],23),IF(Main[[#This Row],[Class]]="B", WORKDAY(Main[[#This Row],[Tech Start Date]],15),IF(Main[[#This Row],[Class]]="A",WORKDAY(Main[[#This Row],[Tech Start Date]],5),""))))</f>
        <v/>
      </c>
      <c r="P421" s="77" t="str">
        <f>IF(Main[[#This Row],[Tech Start Date]]&lt;1/1/1990,"",IF(Main[[#This Row],[Class]]="C",WORKDAY(Main[[#This Row],[Tech Start Date]],28),IF(Main[[#This Row],[Class]]="B", WORKDAY(Main[[#This Row],[Tech Start Date]],19),IF(Main[[#This Row],[Class]]="A",WORKDAY(Main[[#This Row],[Tech Start Date]],9),""))))</f>
        <v/>
      </c>
      <c r="Q421" s="74"/>
      <c r="R421" s="74"/>
      <c r="S421" s="72" t="s">
        <v>11</v>
      </c>
      <c r="T421" s="80" t="s">
        <v>4</v>
      </c>
      <c r="U421" s="72" t="s">
        <v>14</v>
      </c>
      <c r="V421" s="72" t="s">
        <v>1933</v>
      </c>
      <c r="W421" s="72" t="s">
        <v>1940</v>
      </c>
      <c r="X421" s="72" t="s">
        <v>2911</v>
      </c>
      <c r="Y421" s="72" t="s">
        <v>3035</v>
      </c>
      <c r="Z421" s="72" t="s">
        <v>4</v>
      </c>
      <c r="AA421" s="147" t="s">
        <v>2911</v>
      </c>
    </row>
    <row r="422" spans="1:27" ht="18.600000000000001" customHeight="1">
      <c r="A422" s="140" t="str">
        <f>IF(priority(Main[[#This Row],[Comments]])&lt;&gt;0, priority(Main[[#This Row],[Comments]]),"")</f>
        <v/>
      </c>
      <c r="B422" s="90" t="s">
        <v>1296</v>
      </c>
      <c r="C422" s="72" t="s">
        <v>214</v>
      </c>
      <c r="D422" s="73" t="s">
        <v>360</v>
      </c>
      <c r="E422" s="74"/>
      <c r="F422" s="74">
        <v>40087</v>
      </c>
      <c r="G422" s="75" t="str">
        <f>IF(stdProdLT(Main[[#This Row],[Comments]])=0.1,"N/A",IF(stdProdLT(Main[[#This Row],[Comments]])=0,"",stdProdLT(Main[[#This Row],[Comments]])))</f>
        <v/>
      </c>
      <c r="H422" s="76" t="str">
        <f>IF(AND(Main[[#This Row],[In Stock Date]]&lt;&gt;"",Main[[#This Row],[Revised Due Date]]&lt;&gt;""),Main[[#This Row],[In Stock Date]]-Main[[#This Row],[Revised Due Date]],"")</f>
        <v/>
      </c>
      <c r="I422" s="72" t="s">
        <v>4</v>
      </c>
      <c r="J422" s="72" t="s">
        <v>4</v>
      </c>
      <c r="K422" s="72" t="s">
        <v>4</v>
      </c>
      <c r="L422" s="74"/>
      <c r="M422" s="77" t="str">
        <f>IF(Main[[#This Row],[Tech Start Date]]&lt;1/1/1990,"",IF(Main[[#This Row],[Class]]="C",WORKDAY(Main[[#This Row],[Tech Start Date]],9),IF(Main[[#This Row],[Class]]="B", WORKDAY(Main[[#This Row],[Tech Start Date]],6),IF(Main[[#This Row],[Class]]="A",WORKDAY(Main[[#This Row],[Tech Start Date]],2),""))))</f>
        <v/>
      </c>
      <c r="N422" s="77" t="str">
        <f>IF(Main[[#This Row],[Tech Start Date]]&lt;1/1/1990,"",IF(Main[[#This Row],[Class]]="C",WORKDAY(Main[[#This Row],[Tech Start Date]],19),IF(Main[[#This Row],[Class]]="B", WORKDAY(Main[[#This Row],[Tech Start Date]],12),IF(Main[[#This Row],[Class]]="A",WORKDAY(Main[[#This Row],[Tech Start Date]],4),""))))</f>
        <v/>
      </c>
      <c r="O422" s="77" t="str">
        <f>IF(Main[[#This Row],[Tech Start Date]]&lt;1/1/1990,"",IF(Main[[#This Row],[Class]]="C",WORKDAY(Main[[#This Row],[Tech Start Date]],23),IF(Main[[#This Row],[Class]]="B", WORKDAY(Main[[#This Row],[Tech Start Date]],15),IF(Main[[#This Row],[Class]]="A",WORKDAY(Main[[#This Row],[Tech Start Date]],5),""))))</f>
        <v/>
      </c>
      <c r="P422" s="77" t="str">
        <f>IF(Main[[#This Row],[Tech Start Date]]&lt;1/1/1990,"",IF(Main[[#This Row],[Class]]="C",WORKDAY(Main[[#This Row],[Tech Start Date]],28),IF(Main[[#This Row],[Class]]="B", WORKDAY(Main[[#This Row],[Tech Start Date]],19),IF(Main[[#This Row],[Class]]="A",WORKDAY(Main[[#This Row],[Tech Start Date]],9),""))))</f>
        <v/>
      </c>
      <c r="Q422" s="74">
        <v>39891</v>
      </c>
      <c r="R422" s="74"/>
      <c r="S422" s="72" t="s">
        <v>11</v>
      </c>
      <c r="T422" s="80" t="s">
        <v>4</v>
      </c>
      <c r="U422" s="72" t="s">
        <v>12</v>
      </c>
      <c r="V422" s="72" t="s">
        <v>1932</v>
      </c>
      <c r="W422" s="72" t="s">
        <v>1937</v>
      </c>
      <c r="X422" s="72" t="s">
        <v>2917</v>
      </c>
      <c r="Y422" s="72" t="s">
        <v>4</v>
      </c>
      <c r="Z422" s="72" t="s">
        <v>4</v>
      </c>
      <c r="AA422" s="147" t="s">
        <v>2917</v>
      </c>
    </row>
    <row r="423" spans="1:27" ht="18.600000000000001" customHeight="1">
      <c r="A423" s="140" t="str">
        <f>IF(priority(Main[[#This Row],[Comments]])&lt;&gt;0, priority(Main[[#This Row],[Comments]]),"")</f>
        <v/>
      </c>
      <c r="B423" s="90" t="s">
        <v>1298</v>
      </c>
      <c r="C423" s="72" t="s">
        <v>214</v>
      </c>
      <c r="D423" s="73" t="s">
        <v>361</v>
      </c>
      <c r="E423" s="74"/>
      <c r="F423" s="74">
        <v>40087</v>
      </c>
      <c r="G423" s="75" t="str">
        <f>IF(stdProdLT(Main[[#This Row],[Comments]])=0.1,"N/A",IF(stdProdLT(Main[[#This Row],[Comments]])=0,"",stdProdLT(Main[[#This Row],[Comments]])))</f>
        <v/>
      </c>
      <c r="H423" s="76" t="str">
        <f>IF(AND(Main[[#This Row],[In Stock Date]]&lt;&gt;"",Main[[#This Row],[Revised Due Date]]&lt;&gt;""),Main[[#This Row],[In Stock Date]]-Main[[#This Row],[Revised Due Date]],"")</f>
        <v/>
      </c>
      <c r="I423" s="72" t="s">
        <v>4</v>
      </c>
      <c r="J423" s="72" t="s">
        <v>4</v>
      </c>
      <c r="K423" s="72" t="s">
        <v>4</v>
      </c>
      <c r="L423" s="74"/>
      <c r="M423" s="77" t="str">
        <f>IF(Main[[#This Row],[Tech Start Date]]&lt;1/1/1990,"",IF(Main[[#This Row],[Class]]="C",WORKDAY(Main[[#This Row],[Tech Start Date]],9),IF(Main[[#This Row],[Class]]="B", WORKDAY(Main[[#This Row],[Tech Start Date]],6),IF(Main[[#This Row],[Class]]="A",WORKDAY(Main[[#This Row],[Tech Start Date]],2),""))))</f>
        <v/>
      </c>
      <c r="N423" s="77" t="str">
        <f>IF(Main[[#This Row],[Tech Start Date]]&lt;1/1/1990,"",IF(Main[[#This Row],[Class]]="C",WORKDAY(Main[[#This Row],[Tech Start Date]],19),IF(Main[[#This Row],[Class]]="B", WORKDAY(Main[[#This Row],[Tech Start Date]],12),IF(Main[[#This Row],[Class]]="A",WORKDAY(Main[[#This Row],[Tech Start Date]],4),""))))</f>
        <v/>
      </c>
      <c r="O423" s="77" t="str">
        <f>IF(Main[[#This Row],[Tech Start Date]]&lt;1/1/1990,"",IF(Main[[#This Row],[Class]]="C",WORKDAY(Main[[#This Row],[Tech Start Date]],23),IF(Main[[#This Row],[Class]]="B", WORKDAY(Main[[#This Row],[Tech Start Date]],15),IF(Main[[#This Row],[Class]]="A",WORKDAY(Main[[#This Row],[Tech Start Date]],5),""))))</f>
        <v/>
      </c>
      <c r="P423" s="77" t="str">
        <f>IF(Main[[#This Row],[Tech Start Date]]&lt;1/1/1990,"",IF(Main[[#This Row],[Class]]="C",WORKDAY(Main[[#This Row],[Tech Start Date]],28),IF(Main[[#This Row],[Class]]="B", WORKDAY(Main[[#This Row],[Tech Start Date]],19),IF(Main[[#This Row],[Class]]="A",WORKDAY(Main[[#This Row],[Tech Start Date]],9),""))))</f>
        <v/>
      </c>
      <c r="Q423" s="74">
        <v>39891</v>
      </c>
      <c r="R423" s="74"/>
      <c r="S423" s="72" t="s">
        <v>11</v>
      </c>
      <c r="T423" s="80" t="s">
        <v>4</v>
      </c>
      <c r="U423" s="72" t="s">
        <v>12</v>
      </c>
      <c r="V423" s="72" t="s">
        <v>1932</v>
      </c>
      <c r="W423" s="72" t="s">
        <v>1937</v>
      </c>
      <c r="X423" s="72" t="s">
        <v>2917</v>
      </c>
      <c r="Y423" s="72" t="s">
        <v>4</v>
      </c>
      <c r="Z423" s="72" t="s">
        <v>4</v>
      </c>
      <c r="AA423" s="147" t="s">
        <v>2917</v>
      </c>
    </row>
    <row r="424" spans="1:27" ht="18.600000000000001" customHeight="1">
      <c r="A424" s="140" t="str">
        <f>IF(priority(Main[[#This Row],[Comments]])&lt;&gt;0, priority(Main[[#This Row],[Comments]]),"")</f>
        <v/>
      </c>
      <c r="B424" s="90" t="s">
        <v>2766</v>
      </c>
      <c r="C424" s="72" t="s">
        <v>4</v>
      </c>
      <c r="D424" s="73" t="s">
        <v>2767</v>
      </c>
      <c r="E424" s="74"/>
      <c r="F424" s="74"/>
      <c r="G424" s="75" t="str">
        <f>IF(stdProdLT(Main[[#This Row],[Comments]])=0.1,"N/A",IF(stdProdLT(Main[[#This Row],[Comments]])=0,"",stdProdLT(Main[[#This Row],[Comments]])))</f>
        <v/>
      </c>
      <c r="H424" s="76" t="str">
        <f>IF(AND(Main[[#This Row],[In Stock Date]]&lt;&gt;"",Main[[#This Row],[Revised Due Date]]&lt;&gt;""),Main[[#This Row],[In Stock Date]]-Main[[#This Row],[Revised Due Date]],"")</f>
        <v/>
      </c>
      <c r="I424" s="72" t="s">
        <v>4</v>
      </c>
      <c r="J424" s="72" t="s">
        <v>4</v>
      </c>
      <c r="K424" s="81" t="s">
        <v>4</v>
      </c>
      <c r="L424" s="74"/>
      <c r="M424" s="77" t="str">
        <f>IF(Main[[#This Row],[Tech Start Date]]&lt;1/1/1990,"",IF(Main[[#This Row],[Class]]="C",WORKDAY(Main[[#This Row],[Tech Start Date]],9),IF(Main[[#This Row],[Class]]="B", WORKDAY(Main[[#This Row],[Tech Start Date]],6),IF(Main[[#This Row],[Class]]="A",WORKDAY(Main[[#This Row],[Tech Start Date]],2),""))))</f>
        <v/>
      </c>
      <c r="N424" s="77" t="str">
        <f>IF(Main[[#This Row],[Tech Start Date]]&lt;1/1/1990,"",IF(Main[[#This Row],[Class]]="C",WORKDAY(Main[[#This Row],[Tech Start Date]],19),IF(Main[[#This Row],[Class]]="B", WORKDAY(Main[[#This Row],[Tech Start Date]],12),IF(Main[[#This Row],[Class]]="A",WORKDAY(Main[[#This Row],[Tech Start Date]],4),""))))</f>
        <v/>
      </c>
      <c r="O424" s="77" t="str">
        <f>IF(Main[[#This Row],[Tech Start Date]]&lt;1/1/1990,"",IF(Main[[#This Row],[Class]]="C",WORKDAY(Main[[#This Row],[Tech Start Date]],23),IF(Main[[#This Row],[Class]]="B", WORKDAY(Main[[#This Row],[Tech Start Date]],15),IF(Main[[#This Row],[Class]]="A",WORKDAY(Main[[#This Row],[Tech Start Date]],5),""))))</f>
        <v/>
      </c>
      <c r="P424" s="77" t="str">
        <f>IF(Main[[#This Row],[Tech Start Date]]&lt;1/1/1990,"",IF(Main[[#This Row],[Class]]="C",WORKDAY(Main[[#This Row],[Tech Start Date]],28),IF(Main[[#This Row],[Class]]="B", WORKDAY(Main[[#This Row],[Tech Start Date]],19),IF(Main[[#This Row],[Class]]="A",WORKDAY(Main[[#This Row],[Tech Start Date]],9),""))))</f>
        <v/>
      </c>
      <c r="Q424" s="74">
        <v>40896</v>
      </c>
      <c r="R424" s="74"/>
      <c r="S424" s="72" t="s">
        <v>17</v>
      </c>
      <c r="T424" s="80" t="s">
        <v>4</v>
      </c>
      <c r="U424" s="72" t="s">
        <v>14</v>
      </c>
      <c r="V424" s="72" t="s">
        <v>1935</v>
      </c>
      <c r="W424" s="72" t="s">
        <v>1940</v>
      </c>
      <c r="X424" s="72" t="s">
        <v>2963</v>
      </c>
      <c r="Y424" s="72" t="s">
        <v>3114</v>
      </c>
      <c r="Z424" s="72" t="s">
        <v>4</v>
      </c>
      <c r="AA424" s="147" t="s">
        <v>2963</v>
      </c>
    </row>
    <row r="425" spans="1:27" ht="18.600000000000001" customHeight="1">
      <c r="A425" s="140" t="str">
        <f>IF(priority(Main[[#This Row],[Comments]])&lt;&gt;0, priority(Main[[#This Row],[Comments]]),"")</f>
        <v/>
      </c>
      <c r="B425" s="90" t="s">
        <v>1299</v>
      </c>
      <c r="C425" s="72" t="s">
        <v>33</v>
      </c>
      <c r="D425" s="73" t="s">
        <v>363</v>
      </c>
      <c r="E425" s="74"/>
      <c r="F425" s="74"/>
      <c r="G425" s="75" t="str">
        <f>IF(stdProdLT(Main[[#This Row],[Comments]])=0.1,"N/A",IF(stdProdLT(Main[[#This Row],[Comments]])=0,"",stdProdLT(Main[[#This Row],[Comments]])))</f>
        <v/>
      </c>
      <c r="H425" s="76" t="str">
        <f>IF(AND(Main[[#This Row],[In Stock Date]]&lt;&gt;"",Main[[#This Row],[Revised Due Date]]&lt;&gt;""),Main[[#This Row],[In Stock Date]]-Main[[#This Row],[Revised Due Date]],"")</f>
        <v/>
      </c>
      <c r="I425" s="72" t="s">
        <v>4</v>
      </c>
      <c r="J425" s="72" t="s">
        <v>4</v>
      </c>
      <c r="K425" s="72" t="s">
        <v>4</v>
      </c>
      <c r="L425" s="74"/>
      <c r="M425" s="77" t="str">
        <f>IF(Main[[#This Row],[Tech Start Date]]&lt;1/1/1990,"",IF(Main[[#This Row],[Class]]="C",WORKDAY(Main[[#This Row],[Tech Start Date]],9),IF(Main[[#This Row],[Class]]="B", WORKDAY(Main[[#This Row],[Tech Start Date]],6),IF(Main[[#This Row],[Class]]="A",WORKDAY(Main[[#This Row],[Tech Start Date]],2),""))))</f>
        <v/>
      </c>
      <c r="N425" s="77" t="str">
        <f>IF(Main[[#This Row],[Tech Start Date]]&lt;1/1/1990,"",IF(Main[[#This Row],[Class]]="C",WORKDAY(Main[[#This Row],[Tech Start Date]],19),IF(Main[[#This Row],[Class]]="B", WORKDAY(Main[[#This Row],[Tech Start Date]],12),IF(Main[[#This Row],[Class]]="A",WORKDAY(Main[[#This Row],[Tech Start Date]],4),""))))</f>
        <v/>
      </c>
      <c r="O425" s="77" t="str">
        <f>IF(Main[[#This Row],[Tech Start Date]]&lt;1/1/1990,"",IF(Main[[#This Row],[Class]]="C",WORKDAY(Main[[#This Row],[Tech Start Date]],23),IF(Main[[#This Row],[Class]]="B", WORKDAY(Main[[#This Row],[Tech Start Date]],15),IF(Main[[#This Row],[Class]]="A",WORKDAY(Main[[#This Row],[Tech Start Date]],5),""))))</f>
        <v/>
      </c>
      <c r="P425" s="77" t="str">
        <f>IF(Main[[#This Row],[Tech Start Date]]&lt;1/1/1990,"",IF(Main[[#This Row],[Class]]="C",WORKDAY(Main[[#This Row],[Tech Start Date]],28),IF(Main[[#This Row],[Class]]="B", WORKDAY(Main[[#This Row],[Tech Start Date]],19),IF(Main[[#This Row],[Class]]="A",WORKDAY(Main[[#This Row],[Tech Start Date]],9),""))))</f>
        <v/>
      </c>
      <c r="Q425" s="74"/>
      <c r="R425" s="74"/>
      <c r="S425" s="72" t="s">
        <v>11</v>
      </c>
      <c r="T425" s="80" t="s">
        <v>4</v>
      </c>
      <c r="U425" s="72" t="s">
        <v>14</v>
      </c>
      <c r="V425" s="72" t="s">
        <v>1933</v>
      </c>
      <c r="W425" s="72" t="s">
        <v>1940</v>
      </c>
      <c r="X425" s="72" t="s">
        <v>2911</v>
      </c>
      <c r="Y425" s="72" t="s">
        <v>3035</v>
      </c>
      <c r="Z425" s="72" t="s">
        <v>4</v>
      </c>
      <c r="AA425" s="147" t="s">
        <v>2911</v>
      </c>
    </row>
    <row r="426" spans="1:27" ht="18.600000000000001" customHeight="1">
      <c r="A426" s="140" t="str">
        <f>IF(priority(Main[[#This Row],[Comments]])&lt;&gt;0, priority(Main[[#This Row],[Comments]]),"")</f>
        <v/>
      </c>
      <c r="B426" s="90" t="s">
        <v>1300</v>
      </c>
      <c r="C426" s="72" t="s">
        <v>33</v>
      </c>
      <c r="D426" s="73" t="s">
        <v>364</v>
      </c>
      <c r="E426" s="74"/>
      <c r="F426" s="74"/>
      <c r="G426" s="75" t="str">
        <f>IF(stdProdLT(Main[[#This Row],[Comments]])=0.1,"N/A",IF(stdProdLT(Main[[#This Row],[Comments]])=0,"",stdProdLT(Main[[#This Row],[Comments]])))</f>
        <v/>
      </c>
      <c r="H426" s="76" t="str">
        <f>IF(AND(Main[[#This Row],[In Stock Date]]&lt;&gt;"",Main[[#This Row],[Revised Due Date]]&lt;&gt;""),Main[[#This Row],[In Stock Date]]-Main[[#This Row],[Revised Due Date]],"")</f>
        <v/>
      </c>
      <c r="I426" s="72" t="s">
        <v>4</v>
      </c>
      <c r="J426" s="72" t="s">
        <v>4</v>
      </c>
      <c r="K426" s="72" t="s">
        <v>4</v>
      </c>
      <c r="L426" s="74"/>
      <c r="M426" s="77" t="str">
        <f>IF(Main[[#This Row],[Tech Start Date]]&lt;1/1/1990,"",IF(Main[[#This Row],[Class]]="C",WORKDAY(Main[[#This Row],[Tech Start Date]],9),IF(Main[[#This Row],[Class]]="B", WORKDAY(Main[[#This Row],[Tech Start Date]],6),IF(Main[[#This Row],[Class]]="A",WORKDAY(Main[[#This Row],[Tech Start Date]],2),""))))</f>
        <v/>
      </c>
      <c r="N426" s="77" t="str">
        <f>IF(Main[[#This Row],[Tech Start Date]]&lt;1/1/1990,"",IF(Main[[#This Row],[Class]]="C",WORKDAY(Main[[#This Row],[Tech Start Date]],19),IF(Main[[#This Row],[Class]]="B", WORKDAY(Main[[#This Row],[Tech Start Date]],12),IF(Main[[#This Row],[Class]]="A",WORKDAY(Main[[#This Row],[Tech Start Date]],4),""))))</f>
        <v/>
      </c>
      <c r="O426" s="77" t="str">
        <f>IF(Main[[#This Row],[Tech Start Date]]&lt;1/1/1990,"",IF(Main[[#This Row],[Class]]="C",WORKDAY(Main[[#This Row],[Tech Start Date]],23),IF(Main[[#This Row],[Class]]="B", WORKDAY(Main[[#This Row],[Tech Start Date]],15),IF(Main[[#This Row],[Class]]="A",WORKDAY(Main[[#This Row],[Tech Start Date]],5),""))))</f>
        <v/>
      </c>
      <c r="P426" s="77" t="str">
        <f>IF(Main[[#This Row],[Tech Start Date]]&lt;1/1/1990,"",IF(Main[[#This Row],[Class]]="C",WORKDAY(Main[[#This Row],[Tech Start Date]],28),IF(Main[[#This Row],[Class]]="B", WORKDAY(Main[[#This Row],[Tech Start Date]],19),IF(Main[[#This Row],[Class]]="A",WORKDAY(Main[[#This Row],[Tech Start Date]],9),""))))</f>
        <v/>
      </c>
      <c r="Q426" s="74"/>
      <c r="R426" s="74"/>
      <c r="S426" s="72" t="s">
        <v>11</v>
      </c>
      <c r="T426" s="80" t="s">
        <v>4</v>
      </c>
      <c r="U426" s="72" t="s">
        <v>14</v>
      </c>
      <c r="V426" s="72" t="s">
        <v>1933</v>
      </c>
      <c r="W426" s="72" t="s">
        <v>1940</v>
      </c>
      <c r="X426" s="72" t="s">
        <v>2911</v>
      </c>
      <c r="Y426" s="72" t="s">
        <v>3035</v>
      </c>
      <c r="Z426" s="72" t="s">
        <v>4</v>
      </c>
      <c r="AA426" s="147" t="s">
        <v>2911</v>
      </c>
    </row>
    <row r="427" spans="1:27" ht="18.600000000000001" customHeight="1">
      <c r="A427" s="140" t="str">
        <f>IF(priority(Main[[#This Row],[Comments]])&lt;&gt;0, priority(Main[[#This Row],[Comments]]),"")</f>
        <v/>
      </c>
      <c r="B427" s="124" t="s">
        <v>1301</v>
      </c>
      <c r="C427" s="117" t="s">
        <v>365</v>
      </c>
      <c r="D427" s="118" t="s">
        <v>366</v>
      </c>
      <c r="E427" s="119"/>
      <c r="F427" s="119"/>
      <c r="G427" s="120" t="str">
        <f>IF(stdProdLT(Main[[#This Row],[Comments]])=0.1,"N/A",IF(stdProdLT(Main[[#This Row],[Comments]])=0,"",stdProdLT(Main[[#This Row],[Comments]])))</f>
        <v/>
      </c>
      <c r="H427" s="121" t="str">
        <f>IF(AND(Main[[#This Row],[In Stock Date]]&lt;&gt;"",Main[[#This Row],[Revised Due Date]]&lt;&gt;""),Main[[#This Row],[In Stock Date]]-Main[[#This Row],[Revised Due Date]],"")</f>
        <v/>
      </c>
      <c r="I427" s="117" t="s">
        <v>4</v>
      </c>
      <c r="J427" s="117" t="s">
        <v>4</v>
      </c>
      <c r="K427" s="117" t="s">
        <v>4</v>
      </c>
      <c r="L427" s="119"/>
      <c r="M427" s="122" t="str">
        <f>IF(Main[[#This Row],[Tech Start Date]]&lt;1/1/1990,"",IF(Main[[#This Row],[Class]]="C",WORKDAY(Main[[#This Row],[Tech Start Date]],9),IF(Main[[#This Row],[Class]]="B", WORKDAY(Main[[#This Row],[Tech Start Date]],6),IF(Main[[#This Row],[Class]]="A",WORKDAY(Main[[#This Row],[Tech Start Date]],2),""))))</f>
        <v/>
      </c>
      <c r="N427" s="122" t="str">
        <f>IF(Main[[#This Row],[Tech Start Date]]&lt;1/1/1990,"",IF(Main[[#This Row],[Class]]="C",WORKDAY(Main[[#This Row],[Tech Start Date]],19),IF(Main[[#This Row],[Class]]="B", WORKDAY(Main[[#This Row],[Tech Start Date]],12),IF(Main[[#This Row],[Class]]="A",WORKDAY(Main[[#This Row],[Tech Start Date]],4),""))))</f>
        <v/>
      </c>
      <c r="O427" s="122" t="str">
        <f>IF(Main[[#This Row],[Tech Start Date]]&lt;1/1/1990,"",IF(Main[[#This Row],[Class]]="C",WORKDAY(Main[[#This Row],[Tech Start Date]],23),IF(Main[[#This Row],[Class]]="B", WORKDAY(Main[[#This Row],[Tech Start Date]],15),IF(Main[[#This Row],[Class]]="A",WORKDAY(Main[[#This Row],[Tech Start Date]],5),""))))</f>
        <v/>
      </c>
      <c r="P427" s="122" t="str">
        <f>IF(Main[[#This Row],[Tech Start Date]]&lt;1/1/1990,"",IF(Main[[#This Row],[Class]]="C",WORKDAY(Main[[#This Row],[Tech Start Date]],28),IF(Main[[#This Row],[Class]]="B", WORKDAY(Main[[#This Row],[Tech Start Date]],19),IF(Main[[#This Row],[Class]]="A",WORKDAY(Main[[#This Row],[Tech Start Date]],9),""))))</f>
        <v/>
      </c>
      <c r="Q427" s="119"/>
      <c r="R427" s="119"/>
      <c r="S427" s="117" t="s">
        <v>11</v>
      </c>
      <c r="T427" s="123" t="s">
        <v>4</v>
      </c>
      <c r="U427" s="117" t="s">
        <v>14</v>
      </c>
      <c r="V427" s="117" t="s">
        <v>1933</v>
      </c>
      <c r="W427" s="117" t="s">
        <v>1940</v>
      </c>
      <c r="X427" s="117" t="s">
        <v>2911</v>
      </c>
      <c r="Y427" s="117" t="s">
        <v>3035</v>
      </c>
      <c r="Z427" s="117" t="s">
        <v>4</v>
      </c>
      <c r="AA427" s="147" t="s">
        <v>2911</v>
      </c>
    </row>
    <row r="428" spans="1:27" ht="18.600000000000001" customHeight="1">
      <c r="A428" s="140" t="str">
        <f>IF(priority(Main[[#This Row],[Comments]])&lt;&gt;0, priority(Main[[#This Row],[Comments]]),"")</f>
        <v/>
      </c>
      <c r="B428" s="90" t="s">
        <v>1302</v>
      </c>
      <c r="C428" s="72" t="s">
        <v>367</v>
      </c>
      <c r="D428" s="73" t="s">
        <v>368</v>
      </c>
      <c r="E428" s="74"/>
      <c r="F428" s="74"/>
      <c r="G428" s="75" t="str">
        <f>IF(stdProdLT(Main[[#This Row],[Comments]])=0.1,"N/A",IF(stdProdLT(Main[[#This Row],[Comments]])=0,"",stdProdLT(Main[[#This Row],[Comments]])))</f>
        <v/>
      </c>
      <c r="H428" s="76" t="str">
        <f>IF(AND(Main[[#This Row],[In Stock Date]]&lt;&gt;"",Main[[#This Row],[Revised Due Date]]&lt;&gt;""),Main[[#This Row],[In Stock Date]]-Main[[#This Row],[Revised Due Date]],"")</f>
        <v/>
      </c>
      <c r="I428" s="72" t="s">
        <v>4</v>
      </c>
      <c r="J428" s="72" t="s">
        <v>4</v>
      </c>
      <c r="K428" s="72" t="s">
        <v>4</v>
      </c>
      <c r="L428" s="74"/>
      <c r="M428" s="77" t="str">
        <f>IF(Main[[#This Row],[Tech Start Date]]&lt;1/1/1990,"",IF(Main[[#This Row],[Class]]="C",WORKDAY(Main[[#This Row],[Tech Start Date]],9),IF(Main[[#This Row],[Class]]="B", WORKDAY(Main[[#This Row],[Tech Start Date]],6),IF(Main[[#This Row],[Class]]="A",WORKDAY(Main[[#This Row],[Tech Start Date]],2),""))))</f>
        <v/>
      </c>
      <c r="N428" s="77" t="str">
        <f>IF(Main[[#This Row],[Tech Start Date]]&lt;1/1/1990,"",IF(Main[[#This Row],[Class]]="C",WORKDAY(Main[[#This Row],[Tech Start Date]],19),IF(Main[[#This Row],[Class]]="B", WORKDAY(Main[[#This Row],[Tech Start Date]],12),IF(Main[[#This Row],[Class]]="A",WORKDAY(Main[[#This Row],[Tech Start Date]],4),""))))</f>
        <v/>
      </c>
      <c r="O428" s="77" t="str">
        <f>IF(Main[[#This Row],[Tech Start Date]]&lt;1/1/1990,"",IF(Main[[#This Row],[Class]]="C",WORKDAY(Main[[#This Row],[Tech Start Date]],23),IF(Main[[#This Row],[Class]]="B", WORKDAY(Main[[#This Row],[Tech Start Date]],15),IF(Main[[#This Row],[Class]]="A",WORKDAY(Main[[#This Row],[Tech Start Date]],5),""))))</f>
        <v/>
      </c>
      <c r="P428" s="77" t="str">
        <f>IF(Main[[#This Row],[Tech Start Date]]&lt;1/1/1990,"",IF(Main[[#This Row],[Class]]="C",WORKDAY(Main[[#This Row],[Tech Start Date]],28),IF(Main[[#This Row],[Class]]="B", WORKDAY(Main[[#This Row],[Tech Start Date]],19),IF(Main[[#This Row],[Class]]="A",WORKDAY(Main[[#This Row],[Tech Start Date]],9),""))))</f>
        <v/>
      </c>
      <c r="Q428" s="74"/>
      <c r="R428" s="74"/>
      <c r="S428" s="72" t="s">
        <v>11</v>
      </c>
      <c r="T428" s="80" t="s">
        <v>4</v>
      </c>
      <c r="U428" s="72" t="s">
        <v>14</v>
      </c>
      <c r="V428" s="72" t="s">
        <v>1933</v>
      </c>
      <c r="W428" s="72" t="s">
        <v>1940</v>
      </c>
      <c r="X428" s="72" t="s">
        <v>2911</v>
      </c>
      <c r="Y428" s="72" t="s">
        <v>3035</v>
      </c>
      <c r="Z428" s="72" t="s">
        <v>4</v>
      </c>
      <c r="AA428" s="147" t="s">
        <v>2911</v>
      </c>
    </row>
    <row r="429" spans="1:27" ht="18.600000000000001" customHeight="1">
      <c r="A429" s="140" t="str">
        <f>IF(priority(Main[[#This Row],[Comments]])&lt;&gt;0, priority(Main[[#This Row],[Comments]]),"")</f>
        <v/>
      </c>
      <c r="B429" s="90" t="s">
        <v>1303</v>
      </c>
      <c r="C429" s="72" t="s">
        <v>369</v>
      </c>
      <c r="D429" s="73" t="s">
        <v>370</v>
      </c>
      <c r="E429" s="74"/>
      <c r="F429" s="74"/>
      <c r="G429" s="75" t="str">
        <f>IF(stdProdLT(Main[[#This Row],[Comments]])=0.1,"N/A",IF(stdProdLT(Main[[#This Row],[Comments]])=0,"",stdProdLT(Main[[#This Row],[Comments]])))</f>
        <v/>
      </c>
      <c r="H429" s="76" t="str">
        <f>IF(AND(Main[[#This Row],[In Stock Date]]&lt;&gt;"",Main[[#This Row],[Revised Due Date]]&lt;&gt;""),Main[[#This Row],[In Stock Date]]-Main[[#This Row],[Revised Due Date]],"")</f>
        <v/>
      </c>
      <c r="I429" s="72" t="s">
        <v>4</v>
      </c>
      <c r="J429" s="72" t="s">
        <v>4</v>
      </c>
      <c r="K429" s="81" t="s">
        <v>4</v>
      </c>
      <c r="L429" s="74"/>
      <c r="M429" s="77" t="str">
        <f>IF(Main[[#This Row],[Tech Start Date]]&lt;1/1/1990,"",IF(Main[[#This Row],[Class]]="C",WORKDAY(Main[[#This Row],[Tech Start Date]],9),IF(Main[[#This Row],[Class]]="B", WORKDAY(Main[[#This Row],[Tech Start Date]],6),IF(Main[[#This Row],[Class]]="A",WORKDAY(Main[[#This Row],[Tech Start Date]],2),""))))</f>
        <v/>
      </c>
      <c r="N429" s="77" t="str">
        <f>IF(Main[[#This Row],[Tech Start Date]]&lt;1/1/1990,"",IF(Main[[#This Row],[Class]]="C",WORKDAY(Main[[#This Row],[Tech Start Date]],19),IF(Main[[#This Row],[Class]]="B", WORKDAY(Main[[#This Row],[Tech Start Date]],12),IF(Main[[#This Row],[Class]]="A",WORKDAY(Main[[#This Row],[Tech Start Date]],4),""))))</f>
        <v/>
      </c>
      <c r="O429" s="77" t="str">
        <f>IF(Main[[#This Row],[Tech Start Date]]&lt;1/1/1990,"",IF(Main[[#This Row],[Class]]="C",WORKDAY(Main[[#This Row],[Tech Start Date]],23),IF(Main[[#This Row],[Class]]="B", WORKDAY(Main[[#This Row],[Tech Start Date]],15),IF(Main[[#This Row],[Class]]="A",WORKDAY(Main[[#This Row],[Tech Start Date]],5),""))))</f>
        <v/>
      </c>
      <c r="P429" s="77" t="str">
        <f>IF(Main[[#This Row],[Tech Start Date]]&lt;1/1/1990,"",IF(Main[[#This Row],[Class]]="C",WORKDAY(Main[[#This Row],[Tech Start Date]],28),IF(Main[[#This Row],[Class]]="B", WORKDAY(Main[[#This Row],[Tech Start Date]],19),IF(Main[[#This Row],[Class]]="A",WORKDAY(Main[[#This Row],[Tech Start Date]],9),""))))</f>
        <v/>
      </c>
      <c r="Q429" s="74"/>
      <c r="R429" s="74"/>
      <c r="S429" s="72" t="s">
        <v>11</v>
      </c>
      <c r="T429" s="80" t="s">
        <v>4</v>
      </c>
      <c r="U429" s="72" t="s">
        <v>14</v>
      </c>
      <c r="V429" s="72" t="s">
        <v>1933</v>
      </c>
      <c r="W429" s="72" t="s">
        <v>1940</v>
      </c>
      <c r="X429" s="72" t="s">
        <v>2911</v>
      </c>
      <c r="Y429" s="72" t="s">
        <v>3035</v>
      </c>
      <c r="Z429" s="72" t="s">
        <v>4</v>
      </c>
      <c r="AA429" s="147" t="s">
        <v>2911</v>
      </c>
    </row>
    <row r="430" spans="1:27" ht="18.600000000000001" customHeight="1">
      <c r="A430" s="140" t="str">
        <f>IF(priority(Main[[#This Row],[Comments]])&lt;&gt;0, priority(Main[[#This Row],[Comments]]),"")</f>
        <v/>
      </c>
      <c r="B430" s="90" t="s">
        <v>1304</v>
      </c>
      <c r="C430" s="72" t="s">
        <v>371</v>
      </c>
      <c r="D430" s="73" t="s">
        <v>372</v>
      </c>
      <c r="E430" s="74">
        <v>40210.419814814813</v>
      </c>
      <c r="F430" s="74">
        <v>40405</v>
      </c>
      <c r="G430" s="75" t="str">
        <f>IF(stdProdLT(Main[[#This Row],[Comments]])=0.1,"N/A",IF(stdProdLT(Main[[#This Row],[Comments]])=0,"",stdProdLT(Main[[#This Row],[Comments]])))</f>
        <v/>
      </c>
      <c r="H430" s="76" t="str">
        <f>IF(AND(Main[[#This Row],[In Stock Date]]&lt;&gt;"",Main[[#This Row],[Revised Due Date]]&lt;&gt;""),Main[[#This Row],[In Stock Date]]-Main[[#This Row],[Revised Due Date]],"")</f>
        <v/>
      </c>
      <c r="I430" s="72" t="s">
        <v>165</v>
      </c>
      <c r="J430" s="72" t="s">
        <v>4</v>
      </c>
      <c r="K430" s="72" t="s">
        <v>1944</v>
      </c>
      <c r="L430" s="74"/>
      <c r="M430" s="77" t="str">
        <f>IF(Main[[#This Row],[Tech Start Date]]&lt;1/1/1990,"",IF(Main[[#This Row],[Class]]="C",WORKDAY(Main[[#This Row],[Tech Start Date]],9),IF(Main[[#This Row],[Class]]="B", WORKDAY(Main[[#This Row],[Tech Start Date]],6),IF(Main[[#This Row],[Class]]="A",WORKDAY(Main[[#This Row],[Tech Start Date]],2),""))))</f>
        <v/>
      </c>
      <c r="N430" s="77" t="str">
        <f>IF(Main[[#This Row],[Tech Start Date]]&lt;1/1/1990,"",IF(Main[[#This Row],[Class]]="C",WORKDAY(Main[[#This Row],[Tech Start Date]],19),IF(Main[[#This Row],[Class]]="B", WORKDAY(Main[[#This Row],[Tech Start Date]],12),IF(Main[[#This Row],[Class]]="A",WORKDAY(Main[[#This Row],[Tech Start Date]],4),""))))</f>
        <v/>
      </c>
      <c r="O430" s="77" t="str">
        <f>IF(Main[[#This Row],[Tech Start Date]]&lt;1/1/1990,"",IF(Main[[#This Row],[Class]]="C",WORKDAY(Main[[#This Row],[Tech Start Date]],23),IF(Main[[#This Row],[Class]]="B", WORKDAY(Main[[#This Row],[Tech Start Date]],15),IF(Main[[#This Row],[Class]]="A",WORKDAY(Main[[#This Row],[Tech Start Date]],5),""))))</f>
        <v/>
      </c>
      <c r="P430" s="77" t="str">
        <f>IF(Main[[#This Row],[Tech Start Date]]&lt;1/1/1990,"",IF(Main[[#This Row],[Class]]="C",WORKDAY(Main[[#This Row],[Tech Start Date]],28),IF(Main[[#This Row],[Class]]="B", WORKDAY(Main[[#This Row],[Tech Start Date]],19),IF(Main[[#This Row],[Class]]="A",WORKDAY(Main[[#This Row],[Tech Start Date]],9),""))))</f>
        <v/>
      </c>
      <c r="Q430" s="74">
        <v>40223</v>
      </c>
      <c r="R430" s="74"/>
      <c r="S430" s="72" t="s">
        <v>17</v>
      </c>
      <c r="T430" s="80" t="s">
        <v>4</v>
      </c>
      <c r="U430" s="72" t="s">
        <v>29</v>
      </c>
      <c r="V430" s="72" t="s">
        <v>1935</v>
      </c>
      <c r="W430" s="72" t="s">
        <v>1937</v>
      </c>
      <c r="X430" s="72" t="s">
        <v>559</v>
      </c>
      <c r="Y430" s="72" t="s">
        <v>4</v>
      </c>
      <c r="Z430" s="72" t="s">
        <v>4</v>
      </c>
      <c r="AA430" s="147" t="s">
        <v>559</v>
      </c>
    </row>
    <row r="431" spans="1:27" ht="18.600000000000001" customHeight="1">
      <c r="A431" s="140" t="str">
        <f>IF(priority(Main[[#This Row],[Comments]])&lt;&gt;0, priority(Main[[#This Row],[Comments]]),"")</f>
        <v/>
      </c>
      <c r="B431" s="90" t="s">
        <v>1308</v>
      </c>
      <c r="C431" s="72" t="s">
        <v>4</v>
      </c>
      <c r="D431" s="73" t="s">
        <v>417</v>
      </c>
      <c r="E431" s="74"/>
      <c r="F431" s="74"/>
      <c r="G431" s="75" t="str">
        <f>IF(stdProdLT(Main[[#This Row],[Comments]])=0.1,"N/A",IF(stdProdLT(Main[[#This Row],[Comments]])=0,"",stdProdLT(Main[[#This Row],[Comments]])))</f>
        <v/>
      </c>
      <c r="H431" s="76" t="str">
        <f>IF(AND(Main[[#This Row],[In Stock Date]]&lt;&gt;"",Main[[#This Row],[Revised Due Date]]&lt;&gt;""),Main[[#This Row],[In Stock Date]]-Main[[#This Row],[Revised Due Date]],"")</f>
        <v/>
      </c>
      <c r="I431" s="72" t="s">
        <v>310</v>
      </c>
      <c r="J431" s="72" t="s">
        <v>75</v>
      </c>
      <c r="K431" s="72" t="s">
        <v>1941</v>
      </c>
      <c r="L431" s="74"/>
      <c r="M431" s="77" t="str">
        <f>IF(Main[[#This Row],[Tech Start Date]]&lt;1/1/1990,"",IF(Main[[#This Row],[Class]]="C",WORKDAY(Main[[#This Row],[Tech Start Date]],9),IF(Main[[#This Row],[Class]]="B", WORKDAY(Main[[#This Row],[Tech Start Date]],6),IF(Main[[#This Row],[Class]]="A",WORKDAY(Main[[#This Row],[Tech Start Date]],2),""))))</f>
        <v/>
      </c>
      <c r="N431" s="77" t="str">
        <f>IF(Main[[#This Row],[Tech Start Date]]&lt;1/1/1990,"",IF(Main[[#This Row],[Class]]="C",WORKDAY(Main[[#This Row],[Tech Start Date]],19),IF(Main[[#This Row],[Class]]="B", WORKDAY(Main[[#This Row],[Tech Start Date]],12),IF(Main[[#This Row],[Class]]="A",WORKDAY(Main[[#This Row],[Tech Start Date]],4),""))))</f>
        <v/>
      </c>
      <c r="O431" s="77" t="str">
        <f>IF(Main[[#This Row],[Tech Start Date]]&lt;1/1/1990,"",IF(Main[[#This Row],[Class]]="C",WORKDAY(Main[[#This Row],[Tech Start Date]],23),IF(Main[[#This Row],[Class]]="B", WORKDAY(Main[[#This Row],[Tech Start Date]],15),IF(Main[[#This Row],[Class]]="A",WORKDAY(Main[[#This Row],[Tech Start Date]],5),""))))</f>
        <v/>
      </c>
      <c r="P431" s="77" t="str">
        <f>IF(Main[[#This Row],[Tech Start Date]]&lt;1/1/1990,"",IF(Main[[#This Row],[Class]]="C",WORKDAY(Main[[#This Row],[Tech Start Date]],28),IF(Main[[#This Row],[Class]]="B", WORKDAY(Main[[#This Row],[Tech Start Date]],19),IF(Main[[#This Row],[Class]]="A",WORKDAY(Main[[#This Row],[Tech Start Date]],9),""))))</f>
        <v/>
      </c>
      <c r="Q431" s="74">
        <v>40655</v>
      </c>
      <c r="R431" s="74"/>
      <c r="S431" s="72" t="s">
        <v>6</v>
      </c>
      <c r="T431" s="80" t="s">
        <v>4</v>
      </c>
      <c r="U431" s="72" t="s">
        <v>14</v>
      </c>
      <c r="V431" s="72" t="s">
        <v>1935</v>
      </c>
      <c r="W431" s="72" t="s">
        <v>1934</v>
      </c>
      <c r="X431" s="72" t="s">
        <v>2903</v>
      </c>
      <c r="Y431" s="72" t="s">
        <v>3019</v>
      </c>
      <c r="Z431" s="72" t="s">
        <v>44</v>
      </c>
      <c r="AA431" s="147" t="s">
        <v>2903</v>
      </c>
    </row>
    <row r="432" spans="1:27" ht="18.600000000000001" customHeight="1">
      <c r="A432" s="140" t="str">
        <f>IF(priority(Main[[#This Row],[Comments]])&lt;&gt;0, priority(Main[[#This Row],[Comments]]),"")</f>
        <v/>
      </c>
      <c r="B432" s="90" t="s">
        <v>1309</v>
      </c>
      <c r="C432" s="72" t="s">
        <v>214</v>
      </c>
      <c r="D432" s="73" t="s">
        <v>418</v>
      </c>
      <c r="E432" s="74"/>
      <c r="F432" s="74">
        <v>40452</v>
      </c>
      <c r="G432" s="75" t="str">
        <f>IF(stdProdLT(Main[[#This Row],[Comments]])=0.1,"N/A",IF(stdProdLT(Main[[#This Row],[Comments]])=0,"",stdProdLT(Main[[#This Row],[Comments]])))</f>
        <v/>
      </c>
      <c r="H432" s="76" t="str">
        <f>IF(AND(Main[[#This Row],[In Stock Date]]&lt;&gt;"",Main[[#This Row],[Revised Due Date]]&lt;&gt;""),Main[[#This Row],[In Stock Date]]-Main[[#This Row],[Revised Due Date]],"")</f>
        <v/>
      </c>
      <c r="I432" s="72" t="s">
        <v>4</v>
      </c>
      <c r="J432" s="72" t="s">
        <v>4</v>
      </c>
      <c r="K432" s="72" t="s">
        <v>4</v>
      </c>
      <c r="L432" s="74"/>
      <c r="M432" s="77" t="str">
        <f>IF(Main[[#This Row],[Tech Start Date]]&lt;1/1/1990,"",IF(Main[[#This Row],[Class]]="C",WORKDAY(Main[[#This Row],[Tech Start Date]],9),IF(Main[[#This Row],[Class]]="B", WORKDAY(Main[[#This Row],[Tech Start Date]],6),IF(Main[[#This Row],[Class]]="A",WORKDAY(Main[[#This Row],[Tech Start Date]],2),""))))</f>
        <v/>
      </c>
      <c r="N432" s="77" t="str">
        <f>IF(Main[[#This Row],[Tech Start Date]]&lt;1/1/1990,"",IF(Main[[#This Row],[Class]]="C",WORKDAY(Main[[#This Row],[Tech Start Date]],19),IF(Main[[#This Row],[Class]]="B", WORKDAY(Main[[#This Row],[Tech Start Date]],12),IF(Main[[#This Row],[Class]]="A",WORKDAY(Main[[#This Row],[Tech Start Date]],4),""))))</f>
        <v/>
      </c>
      <c r="O432" s="77" t="str">
        <f>IF(Main[[#This Row],[Tech Start Date]]&lt;1/1/1990,"",IF(Main[[#This Row],[Class]]="C",WORKDAY(Main[[#This Row],[Tech Start Date]],23),IF(Main[[#This Row],[Class]]="B", WORKDAY(Main[[#This Row],[Tech Start Date]],15),IF(Main[[#This Row],[Class]]="A",WORKDAY(Main[[#This Row],[Tech Start Date]],5),""))))</f>
        <v/>
      </c>
      <c r="P432" s="77" t="str">
        <f>IF(Main[[#This Row],[Tech Start Date]]&lt;1/1/1990,"",IF(Main[[#This Row],[Class]]="C",WORKDAY(Main[[#This Row],[Tech Start Date]],28),IF(Main[[#This Row],[Class]]="B", WORKDAY(Main[[#This Row],[Tech Start Date]],19),IF(Main[[#This Row],[Class]]="A",WORKDAY(Main[[#This Row],[Tech Start Date]],9),""))))</f>
        <v/>
      </c>
      <c r="Q432" s="74">
        <v>40357</v>
      </c>
      <c r="R432" s="74"/>
      <c r="S432" s="72" t="s">
        <v>11</v>
      </c>
      <c r="T432" s="80" t="s">
        <v>4</v>
      </c>
      <c r="U432" s="72" t="s">
        <v>12</v>
      </c>
      <c r="V432" s="72" t="s">
        <v>1932</v>
      </c>
      <c r="W432" s="72" t="s">
        <v>1940</v>
      </c>
      <c r="X432" s="72" t="s">
        <v>2917</v>
      </c>
      <c r="Y432" s="72" t="s">
        <v>4</v>
      </c>
      <c r="Z432" s="72" t="s">
        <v>4</v>
      </c>
      <c r="AA432" s="147" t="s">
        <v>2917</v>
      </c>
    </row>
    <row r="433" spans="1:27" ht="18.600000000000001" customHeight="1">
      <c r="A433" s="140" t="str">
        <f>IF(priority(Main[[#This Row],[Comments]])&lt;&gt;0, priority(Main[[#This Row],[Comments]]),"")</f>
        <v/>
      </c>
      <c r="B433" s="90" t="s">
        <v>1348</v>
      </c>
      <c r="C433" s="72" t="s">
        <v>4</v>
      </c>
      <c r="D433" s="73" t="s">
        <v>419</v>
      </c>
      <c r="E433" s="74"/>
      <c r="F433" s="74">
        <v>40633</v>
      </c>
      <c r="G433" s="75" t="str">
        <f>IF(stdProdLT(Main[[#This Row],[Comments]])=0.1,"N/A",IF(stdProdLT(Main[[#This Row],[Comments]])=0,"",stdProdLT(Main[[#This Row],[Comments]])))</f>
        <v/>
      </c>
      <c r="H433" s="76" t="str">
        <f>IF(AND(Main[[#This Row],[In Stock Date]]&lt;&gt;"",Main[[#This Row],[Revised Due Date]]&lt;&gt;""),Main[[#This Row],[In Stock Date]]-Main[[#This Row],[Revised Due Date]],"")</f>
        <v/>
      </c>
      <c r="I433" s="72" t="s">
        <v>420</v>
      </c>
      <c r="J433" s="72" t="s">
        <v>28</v>
      </c>
      <c r="K433" s="72" t="s">
        <v>1941</v>
      </c>
      <c r="L433" s="74"/>
      <c r="M433" s="77" t="str">
        <f>IF(Main[[#This Row],[Tech Start Date]]&lt;1/1/1990,"",IF(Main[[#This Row],[Class]]="C",WORKDAY(Main[[#This Row],[Tech Start Date]],9),IF(Main[[#This Row],[Class]]="B", WORKDAY(Main[[#This Row],[Tech Start Date]],6),IF(Main[[#This Row],[Class]]="A",WORKDAY(Main[[#This Row],[Tech Start Date]],2),""))))</f>
        <v/>
      </c>
      <c r="N433" s="77" t="str">
        <f>IF(Main[[#This Row],[Tech Start Date]]&lt;1/1/1990,"",IF(Main[[#This Row],[Class]]="C",WORKDAY(Main[[#This Row],[Tech Start Date]],19),IF(Main[[#This Row],[Class]]="B", WORKDAY(Main[[#This Row],[Tech Start Date]],12),IF(Main[[#This Row],[Class]]="A",WORKDAY(Main[[#This Row],[Tech Start Date]],4),""))))</f>
        <v/>
      </c>
      <c r="O433" s="77" t="str">
        <f>IF(Main[[#This Row],[Tech Start Date]]&lt;1/1/1990,"",IF(Main[[#This Row],[Class]]="C",WORKDAY(Main[[#This Row],[Tech Start Date]],23),IF(Main[[#This Row],[Class]]="B", WORKDAY(Main[[#This Row],[Tech Start Date]],15),IF(Main[[#This Row],[Class]]="A",WORKDAY(Main[[#This Row],[Tech Start Date]],5),""))))</f>
        <v/>
      </c>
      <c r="P433" s="77" t="str">
        <f>IF(Main[[#This Row],[Tech Start Date]]&lt;1/1/1990,"",IF(Main[[#This Row],[Class]]="C",WORKDAY(Main[[#This Row],[Tech Start Date]],28),IF(Main[[#This Row],[Class]]="B", WORKDAY(Main[[#This Row],[Tech Start Date]],19),IF(Main[[#This Row],[Class]]="A",WORKDAY(Main[[#This Row],[Tech Start Date]],9),""))))</f>
        <v/>
      </c>
      <c r="Q433" s="74">
        <v>40633</v>
      </c>
      <c r="R433" s="74"/>
      <c r="S433" s="72" t="s">
        <v>6</v>
      </c>
      <c r="T433" s="80" t="s">
        <v>4</v>
      </c>
      <c r="U433" s="72" t="s">
        <v>14</v>
      </c>
      <c r="V433" s="72" t="s">
        <v>1935</v>
      </c>
      <c r="W433" s="72" t="s">
        <v>1934</v>
      </c>
      <c r="X433" s="72" t="s">
        <v>2903</v>
      </c>
      <c r="Y433" s="72" t="s">
        <v>3019</v>
      </c>
      <c r="Z433" s="72" t="s">
        <v>30</v>
      </c>
      <c r="AA433" s="147" t="s">
        <v>2903</v>
      </c>
    </row>
    <row r="434" spans="1:27" ht="18.600000000000001" customHeight="1">
      <c r="A434" s="140" t="str">
        <f>IF(priority(Main[[#This Row],[Comments]])&lt;&gt;0, priority(Main[[#This Row],[Comments]]),"")</f>
        <v/>
      </c>
      <c r="B434" s="90" t="s">
        <v>1852</v>
      </c>
      <c r="C434" s="72" t="s">
        <v>4</v>
      </c>
      <c r="D434" s="73" t="s">
        <v>899</v>
      </c>
      <c r="E434" s="74">
        <v>40365.442546296297</v>
      </c>
      <c r="F434" s="74"/>
      <c r="G434" s="75" t="str">
        <f>IF(stdProdLT(Main[[#This Row],[Comments]])=0.1,"N/A",IF(stdProdLT(Main[[#This Row],[Comments]])=0,"",stdProdLT(Main[[#This Row],[Comments]])))</f>
        <v/>
      </c>
      <c r="H434" s="76" t="str">
        <f>IF(AND(Main[[#This Row],[In Stock Date]]&lt;&gt;"",Main[[#This Row],[Revised Due Date]]&lt;&gt;""),Main[[#This Row],[In Stock Date]]-Main[[#This Row],[Revised Due Date]],"")</f>
        <v/>
      </c>
      <c r="I434" s="72" t="s">
        <v>900</v>
      </c>
      <c r="J434" s="72" t="s">
        <v>28</v>
      </c>
      <c r="K434" s="72" t="s">
        <v>1944</v>
      </c>
      <c r="L434" s="74"/>
      <c r="M434" s="77" t="str">
        <f>IF(Main[[#This Row],[Tech Start Date]]&lt;1/1/1990,"",IF(Main[[#This Row],[Class]]="C",WORKDAY(Main[[#This Row],[Tech Start Date]],9),IF(Main[[#This Row],[Class]]="B", WORKDAY(Main[[#This Row],[Tech Start Date]],6),IF(Main[[#This Row],[Class]]="A",WORKDAY(Main[[#This Row],[Tech Start Date]],2),""))))</f>
        <v/>
      </c>
      <c r="N434" s="77" t="str">
        <f>IF(Main[[#This Row],[Tech Start Date]]&lt;1/1/1990,"",IF(Main[[#This Row],[Class]]="C",WORKDAY(Main[[#This Row],[Tech Start Date]],19),IF(Main[[#This Row],[Class]]="B", WORKDAY(Main[[#This Row],[Tech Start Date]],12),IF(Main[[#This Row],[Class]]="A",WORKDAY(Main[[#This Row],[Tech Start Date]],4),""))))</f>
        <v/>
      </c>
      <c r="O434" s="77" t="str">
        <f>IF(Main[[#This Row],[Tech Start Date]]&lt;1/1/1990,"",IF(Main[[#This Row],[Class]]="C",WORKDAY(Main[[#This Row],[Tech Start Date]],23),IF(Main[[#This Row],[Class]]="B", WORKDAY(Main[[#This Row],[Tech Start Date]],15),IF(Main[[#This Row],[Class]]="A",WORKDAY(Main[[#This Row],[Tech Start Date]],5),""))))</f>
        <v/>
      </c>
      <c r="P434" s="77" t="str">
        <f>IF(Main[[#This Row],[Tech Start Date]]&lt;1/1/1990,"",IF(Main[[#This Row],[Class]]="C",WORKDAY(Main[[#This Row],[Tech Start Date]],28),IF(Main[[#This Row],[Class]]="B", WORKDAY(Main[[#This Row],[Tech Start Date]],19),IF(Main[[#This Row],[Class]]="A",WORKDAY(Main[[#This Row],[Tech Start Date]],9),""))))</f>
        <v/>
      </c>
      <c r="Q434" s="74">
        <v>40420</v>
      </c>
      <c r="R434" s="74">
        <v>40420</v>
      </c>
      <c r="S434" s="72" t="s">
        <v>322</v>
      </c>
      <c r="T434" s="80" t="s">
        <v>4</v>
      </c>
      <c r="U434" s="72" t="s">
        <v>29</v>
      </c>
      <c r="V434" s="72" t="s">
        <v>1932</v>
      </c>
      <c r="W434" s="72" t="s">
        <v>1936</v>
      </c>
      <c r="X434" s="72" t="s">
        <v>129</v>
      </c>
      <c r="Y434" s="72" t="s">
        <v>3020</v>
      </c>
      <c r="Z434" s="72" t="s">
        <v>129</v>
      </c>
      <c r="AA434" s="147" t="s">
        <v>129</v>
      </c>
    </row>
    <row r="435" spans="1:27" ht="18.600000000000001" customHeight="1">
      <c r="A435" s="140" t="str">
        <f>IF(priority(Main[[#This Row],[Comments]])&lt;&gt;0, priority(Main[[#This Row],[Comments]]),"")</f>
        <v/>
      </c>
      <c r="B435" s="90" t="s">
        <v>1349</v>
      </c>
      <c r="C435" s="72" t="s">
        <v>31</v>
      </c>
      <c r="D435" s="73" t="s">
        <v>421</v>
      </c>
      <c r="E435" s="74"/>
      <c r="F435" s="74">
        <v>40330</v>
      </c>
      <c r="G435" s="75" t="str">
        <f>IF(stdProdLT(Main[[#This Row],[Comments]])=0.1,"N/A",IF(stdProdLT(Main[[#This Row],[Comments]])=0,"",stdProdLT(Main[[#This Row],[Comments]])))</f>
        <v/>
      </c>
      <c r="H435" s="76" t="str">
        <f>IF(AND(Main[[#This Row],[In Stock Date]]&lt;&gt;"",Main[[#This Row],[Revised Due Date]]&lt;&gt;""),Main[[#This Row],[In Stock Date]]-Main[[#This Row],[Revised Due Date]],"")</f>
        <v/>
      </c>
      <c r="I435" s="72" t="s">
        <v>422</v>
      </c>
      <c r="J435" s="72" t="s">
        <v>4</v>
      </c>
      <c r="K435" s="81" t="s">
        <v>4</v>
      </c>
      <c r="L435" s="74"/>
      <c r="M435" s="77" t="str">
        <f>IF(Main[[#This Row],[Tech Start Date]]&lt;1/1/1990,"",IF(Main[[#This Row],[Class]]="C",WORKDAY(Main[[#This Row],[Tech Start Date]],9),IF(Main[[#This Row],[Class]]="B", WORKDAY(Main[[#This Row],[Tech Start Date]],6),IF(Main[[#This Row],[Class]]="A",WORKDAY(Main[[#This Row],[Tech Start Date]],2),""))))</f>
        <v/>
      </c>
      <c r="N435" s="77" t="str">
        <f>IF(Main[[#This Row],[Tech Start Date]]&lt;1/1/1990,"",IF(Main[[#This Row],[Class]]="C",WORKDAY(Main[[#This Row],[Tech Start Date]],19),IF(Main[[#This Row],[Class]]="B", WORKDAY(Main[[#This Row],[Tech Start Date]],12),IF(Main[[#This Row],[Class]]="A",WORKDAY(Main[[#This Row],[Tech Start Date]],4),""))))</f>
        <v/>
      </c>
      <c r="O435" s="77" t="str">
        <f>IF(Main[[#This Row],[Tech Start Date]]&lt;1/1/1990,"",IF(Main[[#This Row],[Class]]="C",WORKDAY(Main[[#This Row],[Tech Start Date]],23),IF(Main[[#This Row],[Class]]="B", WORKDAY(Main[[#This Row],[Tech Start Date]],15),IF(Main[[#This Row],[Class]]="A",WORKDAY(Main[[#This Row],[Tech Start Date]],5),""))))</f>
        <v/>
      </c>
      <c r="P435" s="77" t="str">
        <f>IF(Main[[#This Row],[Tech Start Date]]&lt;1/1/1990,"",IF(Main[[#This Row],[Class]]="C",WORKDAY(Main[[#This Row],[Tech Start Date]],28),IF(Main[[#This Row],[Class]]="B", WORKDAY(Main[[#This Row],[Tech Start Date]],19),IF(Main[[#This Row],[Class]]="A",WORKDAY(Main[[#This Row],[Tech Start Date]],9),""))))</f>
        <v/>
      </c>
      <c r="Q435" s="74">
        <v>40210</v>
      </c>
      <c r="R435" s="74"/>
      <c r="S435" s="72" t="s">
        <v>11</v>
      </c>
      <c r="T435" s="80" t="s">
        <v>4</v>
      </c>
      <c r="U435" s="72" t="s">
        <v>14</v>
      </c>
      <c r="V435" s="72" t="s">
        <v>1935</v>
      </c>
      <c r="W435" s="72" t="s">
        <v>1938</v>
      </c>
      <c r="X435" s="72" t="s">
        <v>2908</v>
      </c>
      <c r="Y435" s="72" t="s">
        <v>3030</v>
      </c>
      <c r="Z435" s="72" t="s">
        <v>4</v>
      </c>
      <c r="AA435" s="147" t="s">
        <v>2908</v>
      </c>
    </row>
    <row r="436" spans="1:27" ht="18.600000000000001" customHeight="1">
      <c r="A436" s="140" t="str">
        <f>IF(priority(Main[[#This Row],[Comments]])&lt;&gt;0, priority(Main[[#This Row],[Comments]]),"")</f>
        <v/>
      </c>
      <c r="B436" s="90" t="s">
        <v>1350</v>
      </c>
      <c r="C436" s="72" t="s">
        <v>4</v>
      </c>
      <c r="D436" s="73" t="s">
        <v>423</v>
      </c>
      <c r="E436" s="74">
        <v>40305.512083333335</v>
      </c>
      <c r="F436" s="74"/>
      <c r="G436" s="75" t="str">
        <f>IF(stdProdLT(Main[[#This Row],[Comments]])=0.1,"N/A",IF(stdProdLT(Main[[#This Row],[Comments]])=0,"",stdProdLT(Main[[#This Row],[Comments]])))</f>
        <v/>
      </c>
      <c r="H436" s="76" t="str">
        <f>IF(AND(Main[[#This Row],[In Stock Date]]&lt;&gt;"",Main[[#This Row],[Revised Due Date]]&lt;&gt;""),Main[[#This Row],[In Stock Date]]-Main[[#This Row],[Revised Due Date]],"")</f>
        <v/>
      </c>
      <c r="I436" s="72" t="s">
        <v>4</v>
      </c>
      <c r="J436" s="72" t="s">
        <v>4</v>
      </c>
      <c r="K436" s="81" t="s">
        <v>4</v>
      </c>
      <c r="L436" s="74"/>
      <c r="M436" s="77" t="str">
        <f>IF(Main[[#This Row],[Tech Start Date]]&lt;1/1/1990,"",IF(Main[[#This Row],[Class]]="C",WORKDAY(Main[[#This Row],[Tech Start Date]],9),IF(Main[[#This Row],[Class]]="B", WORKDAY(Main[[#This Row],[Tech Start Date]],6),IF(Main[[#This Row],[Class]]="A",WORKDAY(Main[[#This Row],[Tech Start Date]],2),""))))</f>
        <v/>
      </c>
      <c r="N436" s="77" t="str">
        <f>IF(Main[[#This Row],[Tech Start Date]]&lt;1/1/1990,"",IF(Main[[#This Row],[Class]]="C",WORKDAY(Main[[#This Row],[Tech Start Date]],19),IF(Main[[#This Row],[Class]]="B", WORKDAY(Main[[#This Row],[Tech Start Date]],12),IF(Main[[#This Row],[Class]]="A",WORKDAY(Main[[#This Row],[Tech Start Date]],4),""))))</f>
        <v/>
      </c>
      <c r="O436" s="77" t="str">
        <f>IF(Main[[#This Row],[Tech Start Date]]&lt;1/1/1990,"",IF(Main[[#This Row],[Class]]="C",WORKDAY(Main[[#This Row],[Tech Start Date]],23),IF(Main[[#This Row],[Class]]="B", WORKDAY(Main[[#This Row],[Tech Start Date]],15),IF(Main[[#This Row],[Class]]="A",WORKDAY(Main[[#This Row],[Tech Start Date]],5),""))))</f>
        <v/>
      </c>
      <c r="P436" s="77" t="str">
        <f>IF(Main[[#This Row],[Tech Start Date]]&lt;1/1/1990,"",IF(Main[[#This Row],[Class]]="C",WORKDAY(Main[[#This Row],[Tech Start Date]],28),IF(Main[[#This Row],[Class]]="B", WORKDAY(Main[[#This Row],[Tech Start Date]],19),IF(Main[[#This Row],[Class]]="A",WORKDAY(Main[[#This Row],[Tech Start Date]],9),""))))</f>
        <v/>
      </c>
      <c r="Q436" s="74">
        <v>40312</v>
      </c>
      <c r="R436" s="74"/>
      <c r="S436" s="72" t="s">
        <v>6</v>
      </c>
      <c r="T436" s="80" t="s">
        <v>4</v>
      </c>
      <c r="U436" s="72" t="s">
        <v>7</v>
      </c>
      <c r="V436" s="72" t="s">
        <v>1932</v>
      </c>
      <c r="W436" s="72" t="s">
        <v>4</v>
      </c>
      <c r="X436" s="72" t="s">
        <v>102</v>
      </c>
      <c r="Y436" s="72" t="s">
        <v>3098</v>
      </c>
      <c r="Z436" s="72" t="s">
        <v>4</v>
      </c>
      <c r="AA436" s="147" t="s">
        <v>3596</v>
      </c>
    </row>
    <row r="437" spans="1:27" ht="18.600000000000001" customHeight="1">
      <c r="A437" s="140" t="str">
        <f>IF(priority(Main[[#This Row],[Comments]])&lt;&gt;0, priority(Main[[#This Row],[Comments]]),"")</f>
        <v/>
      </c>
      <c r="B437" s="90" t="s">
        <v>1311</v>
      </c>
      <c r="C437" s="72" t="s">
        <v>31</v>
      </c>
      <c r="D437" s="73" t="s">
        <v>375</v>
      </c>
      <c r="E437" s="74"/>
      <c r="F437" s="74"/>
      <c r="G437" s="75" t="str">
        <f>IF(stdProdLT(Main[[#This Row],[Comments]])=0.1,"N/A",IF(stdProdLT(Main[[#This Row],[Comments]])=0,"",stdProdLT(Main[[#This Row],[Comments]])))</f>
        <v/>
      </c>
      <c r="H437" s="76" t="str">
        <f>IF(AND(Main[[#This Row],[In Stock Date]]&lt;&gt;"",Main[[#This Row],[Revised Due Date]]&lt;&gt;""),Main[[#This Row],[In Stock Date]]-Main[[#This Row],[Revised Due Date]],"")</f>
        <v/>
      </c>
      <c r="I437" s="72" t="s">
        <v>4</v>
      </c>
      <c r="J437" s="72" t="s">
        <v>4</v>
      </c>
      <c r="K437" s="72" t="s">
        <v>4</v>
      </c>
      <c r="L437" s="74"/>
      <c r="M437" s="77" t="str">
        <f>IF(Main[[#This Row],[Tech Start Date]]&lt;1/1/1990,"",IF(Main[[#This Row],[Class]]="C",WORKDAY(Main[[#This Row],[Tech Start Date]],9),IF(Main[[#This Row],[Class]]="B", WORKDAY(Main[[#This Row],[Tech Start Date]],6),IF(Main[[#This Row],[Class]]="A",WORKDAY(Main[[#This Row],[Tech Start Date]],2),""))))</f>
        <v/>
      </c>
      <c r="N437" s="77" t="str">
        <f>IF(Main[[#This Row],[Tech Start Date]]&lt;1/1/1990,"",IF(Main[[#This Row],[Class]]="C",WORKDAY(Main[[#This Row],[Tech Start Date]],19),IF(Main[[#This Row],[Class]]="B", WORKDAY(Main[[#This Row],[Tech Start Date]],12),IF(Main[[#This Row],[Class]]="A",WORKDAY(Main[[#This Row],[Tech Start Date]],4),""))))</f>
        <v/>
      </c>
      <c r="O437" s="77" t="str">
        <f>IF(Main[[#This Row],[Tech Start Date]]&lt;1/1/1990,"",IF(Main[[#This Row],[Class]]="C",WORKDAY(Main[[#This Row],[Tech Start Date]],23),IF(Main[[#This Row],[Class]]="B", WORKDAY(Main[[#This Row],[Tech Start Date]],15),IF(Main[[#This Row],[Class]]="A",WORKDAY(Main[[#This Row],[Tech Start Date]],5),""))))</f>
        <v/>
      </c>
      <c r="P437" s="77" t="str">
        <f>IF(Main[[#This Row],[Tech Start Date]]&lt;1/1/1990,"",IF(Main[[#This Row],[Class]]="C",WORKDAY(Main[[#This Row],[Tech Start Date]],28),IF(Main[[#This Row],[Class]]="B", WORKDAY(Main[[#This Row],[Tech Start Date]],19),IF(Main[[#This Row],[Class]]="A",WORKDAY(Main[[#This Row],[Tech Start Date]],9),""))))</f>
        <v/>
      </c>
      <c r="Q437" s="74">
        <v>40318</v>
      </c>
      <c r="R437" s="74"/>
      <c r="S437" s="72" t="s">
        <v>11</v>
      </c>
      <c r="T437" s="80" t="s">
        <v>4</v>
      </c>
      <c r="U437" s="72" t="s">
        <v>14</v>
      </c>
      <c r="V437" s="72" t="s">
        <v>1935</v>
      </c>
      <c r="W437" s="72" t="s">
        <v>1934</v>
      </c>
      <c r="X437" s="72" t="s">
        <v>2914</v>
      </c>
      <c r="Y437" s="72" t="s">
        <v>4</v>
      </c>
      <c r="Z437" s="72" t="s">
        <v>4</v>
      </c>
      <c r="AA437" s="147" t="s">
        <v>2914</v>
      </c>
    </row>
    <row r="438" spans="1:27" ht="18.600000000000001" customHeight="1">
      <c r="A438" s="140" t="str">
        <f>IF(priority(Main[[#This Row],[Comments]])&lt;&gt;0, priority(Main[[#This Row],[Comments]]),"")</f>
        <v/>
      </c>
      <c r="B438" s="90" t="s">
        <v>1312</v>
      </c>
      <c r="C438" s="72" t="s">
        <v>4</v>
      </c>
      <c r="D438" s="73" t="s">
        <v>376</v>
      </c>
      <c r="E438" s="74">
        <v>40679.255486111113</v>
      </c>
      <c r="F438" s="74"/>
      <c r="G438" s="75" t="str">
        <f>IF(stdProdLT(Main[[#This Row],[Comments]])=0.1,"N/A",IF(stdProdLT(Main[[#This Row],[Comments]])=0,"",stdProdLT(Main[[#This Row],[Comments]])))</f>
        <v/>
      </c>
      <c r="H438" s="76" t="str">
        <f>IF(AND(Main[[#This Row],[In Stock Date]]&lt;&gt;"",Main[[#This Row],[Revised Due Date]]&lt;&gt;""),Main[[#This Row],[In Stock Date]]-Main[[#This Row],[Revised Due Date]],"")</f>
        <v/>
      </c>
      <c r="I438" s="72" t="s">
        <v>4</v>
      </c>
      <c r="J438" s="72" t="s">
        <v>4</v>
      </c>
      <c r="K438" s="72" t="s">
        <v>4</v>
      </c>
      <c r="L438" s="74"/>
      <c r="M438" s="77" t="str">
        <f>IF(Main[[#This Row],[Tech Start Date]]&lt;1/1/1990,"",IF(Main[[#This Row],[Class]]="C",WORKDAY(Main[[#This Row],[Tech Start Date]],9),IF(Main[[#This Row],[Class]]="B", WORKDAY(Main[[#This Row],[Tech Start Date]],6),IF(Main[[#This Row],[Class]]="A",WORKDAY(Main[[#This Row],[Tech Start Date]],2),""))))</f>
        <v/>
      </c>
      <c r="N438" s="77" t="str">
        <f>IF(Main[[#This Row],[Tech Start Date]]&lt;1/1/1990,"",IF(Main[[#This Row],[Class]]="C",WORKDAY(Main[[#This Row],[Tech Start Date]],19),IF(Main[[#This Row],[Class]]="B", WORKDAY(Main[[#This Row],[Tech Start Date]],12),IF(Main[[#This Row],[Class]]="A",WORKDAY(Main[[#This Row],[Tech Start Date]],4),""))))</f>
        <v/>
      </c>
      <c r="O438" s="77" t="str">
        <f>IF(Main[[#This Row],[Tech Start Date]]&lt;1/1/1990,"",IF(Main[[#This Row],[Class]]="C",WORKDAY(Main[[#This Row],[Tech Start Date]],23),IF(Main[[#This Row],[Class]]="B", WORKDAY(Main[[#This Row],[Tech Start Date]],15),IF(Main[[#This Row],[Class]]="A",WORKDAY(Main[[#This Row],[Tech Start Date]],5),""))))</f>
        <v/>
      </c>
      <c r="P438" s="77" t="str">
        <f>IF(Main[[#This Row],[Tech Start Date]]&lt;1/1/1990,"",IF(Main[[#This Row],[Class]]="C",WORKDAY(Main[[#This Row],[Tech Start Date]],28),IF(Main[[#This Row],[Class]]="B", WORKDAY(Main[[#This Row],[Tech Start Date]],19),IF(Main[[#This Row],[Class]]="A",WORKDAY(Main[[#This Row],[Tech Start Date]],9),""))))</f>
        <v/>
      </c>
      <c r="Q438" s="74">
        <v>40724</v>
      </c>
      <c r="R438" s="74"/>
      <c r="S438" s="72" t="s">
        <v>6</v>
      </c>
      <c r="T438" s="80" t="s">
        <v>4</v>
      </c>
      <c r="U438" s="72" t="s">
        <v>7</v>
      </c>
      <c r="V438" s="72" t="s">
        <v>1932</v>
      </c>
      <c r="W438" s="72" t="s">
        <v>4</v>
      </c>
      <c r="X438" s="72" t="s">
        <v>2906</v>
      </c>
      <c r="Y438" s="72" t="s">
        <v>3025</v>
      </c>
      <c r="Z438" s="72" t="s">
        <v>4</v>
      </c>
      <c r="AA438" s="147" t="s">
        <v>2906</v>
      </c>
    </row>
    <row r="439" spans="1:27" ht="18.600000000000001" customHeight="1">
      <c r="A439" s="140" t="str">
        <f>IF(priority(Main[[#This Row],[Comments]])&lt;&gt;0, priority(Main[[#This Row],[Comments]]),"")</f>
        <v/>
      </c>
      <c r="B439" s="90" t="s">
        <v>1313</v>
      </c>
      <c r="C439" s="72" t="s">
        <v>4</v>
      </c>
      <c r="D439" s="73" t="s">
        <v>377</v>
      </c>
      <c r="E439" s="74"/>
      <c r="F439" s="74"/>
      <c r="G439" s="75" t="str">
        <f>IF(stdProdLT(Main[[#This Row],[Comments]])=0.1,"N/A",IF(stdProdLT(Main[[#This Row],[Comments]])=0,"",stdProdLT(Main[[#This Row],[Comments]])))</f>
        <v/>
      </c>
      <c r="H439" s="76" t="str">
        <f>IF(AND(Main[[#This Row],[In Stock Date]]&lt;&gt;"",Main[[#This Row],[Revised Due Date]]&lt;&gt;""),Main[[#This Row],[In Stock Date]]-Main[[#This Row],[Revised Due Date]],"")</f>
        <v/>
      </c>
      <c r="I439" s="72" t="s">
        <v>4</v>
      </c>
      <c r="J439" s="72" t="s">
        <v>4</v>
      </c>
      <c r="K439" s="72" t="s">
        <v>4</v>
      </c>
      <c r="L439" s="74"/>
      <c r="M439" s="77" t="str">
        <f>IF(Main[[#This Row],[Tech Start Date]]&lt;1/1/1990,"",IF(Main[[#This Row],[Class]]="C",WORKDAY(Main[[#This Row],[Tech Start Date]],9),IF(Main[[#This Row],[Class]]="B", WORKDAY(Main[[#This Row],[Tech Start Date]],6),IF(Main[[#This Row],[Class]]="A",WORKDAY(Main[[#This Row],[Tech Start Date]],2),""))))</f>
        <v/>
      </c>
      <c r="N439" s="77" t="str">
        <f>IF(Main[[#This Row],[Tech Start Date]]&lt;1/1/1990,"",IF(Main[[#This Row],[Class]]="C",WORKDAY(Main[[#This Row],[Tech Start Date]],19),IF(Main[[#This Row],[Class]]="B", WORKDAY(Main[[#This Row],[Tech Start Date]],12),IF(Main[[#This Row],[Class]]="A",WORKDAY(Main[[#This Row],[Tech Start Date]],4),""))))</f>
        <v/>
      </c>
      <c r="O439" s="77" t="str">
        <f>IF(Main[[#This Row],[Tech Start Date]]&lt;1/1/1990,"",IF(Main[[#This Row],[Class]]="C",WORKDAY(Main[[#This Row],[Tech Start Date]],23),IF(Main[[#This Row],[Class]]="B", WORKDAY(Main[[#This Row],[Tech Start Date]],15),IF(Main[[#This Row],[Class]]="A",WORKDAY(Main[[#This Row],[Tech Start Date]],5),""))))</f>
        <v/>
      </c>
      <c r="P439" s="77" t="str">
        <f>IF(Main[[#This Row],[Tech Start Date]]&lt;1/1/1990,"",IF(Main[[#This Row],[Class]]="C",WORKDAY(Main[[#This Row],[Tech Start Date]],28),IF(Main[[#This Row],[Class]]="B", WORKDAY(Main[[#This Row],[Tech Start Date]],19),IF(Main[[#This Row],[Class]]="A",WORKDAY(Main[[#This Row],[Tech Start Date]],9),""))))</f>
        <v/>
      </c>
      <c r="Q439" s="74"/>
      <c r="R439" s="74"/>
      <c r="S439" s="72" t="s">
        <v>11</v>
      </c>
      <c r="T439" s="80" t="s">
        <v>4</v>
      </c>
      <c r="U439" s="72" t="s">
        <v>14</v>
      </c>
      <c r="V439" s="72" t="s">
        <v>1935</v>
      </c>
      <c r="W439" s="72" t="s">
        <v>1943</v>
      </c>
      <c r="X439" s="72" t="s">
        <v>310</v>
      </c>
      <c r="Y439" s="72" t="s">
        <v>4</v>
      </c>
      <c r="Z439" s="72" t="s">
        <v>4</v>
      </c>
      <c r="AA439" s="147" t="s">
        <v>3584</v>
      </c>
    </row>
    <row r="440" spans="1:27" ht="18.600000000000001" customHeight="1">
      <c r="A440" s="140" t="str">
        <f>IF(priority(Main[[#This Row],[Comments]])&lt;&gt;0, priority(Main[[#This Row],[Comments]]),"")</f>
        <v/>
      </c>
      <c r="B440" s="90" t="s">
        <v>2003</v>
      </c>
      <c r="C440" s="72" t="s">
        <v>4</v>
      </c>
      <c r="D440" s="73" t="s">
        <v>2004</v>
      </c>
      <c r="E440" s="74"/>
      <c r="F440" s="74"/>
      <c r="G440" s="75" t="str">
        <f>IF(stdProdLT(Main[[#This Row],[Comments]])=0.1,"N/A",IF(stdProdLT(Main[[#This Row],[Comments]])=0,"",stdProdLT(Main[[#This Row],[Comments]])))</f>
        <v/>
      </c>
      <c r="H440" s="76" t="str">
        <f>IF(AND(Main[[#This Row],[In Stock Date]]&lt;&gt;"",Main[[#This Row],[Revised Due Date]]&lt;&gt;""),Main[[#This Row],[In Stock Date]]-Main[[#This Row],[Revised Due Date]],"")</f>
        <v/>
      </c>
      <c r="I440" s="72" t="s">
        <v>4</v>
      </c>
      <c r="J440" s="72" t="s">
        <v>4</v>
      </c>
      <c r="K440" s="72" t="s">
        <v>4</v>
      </c>
      <c r="L440" s="74"/>
      <c r="M440" s="77" t="str">
        <f>IF(Main[[#This Row],[Tech Start Date]]&lt;1/1/1990,"",IF(Main[[#This Row],[Class]]="C",WORKDAY(Main[[#This Row],[Tech Start Date]],9),IF(Main[[#This Row],[Class]]="B", WORKDAY(Main[[#This Row],[Tech Start Date]],6),IF(Main[[#This Row],[Class]]="A",WORKDAY(Main[[#This Row],[Tech Start Date]],2),""))))</f>
        <v/>
      </c>
      <c r="N440" s="77" t="str">
        <f>IF(Main[[#This Row],[Tech Start Date]]&lt;1/1/1990,"",IF(Main[[#This Row],[Class]]="C",WORKDAY(Main[[#This Row],[Tech Start Date]],19),IF(Main[[#This Row],[Class]]="B", WORKDAY(Main[[#This Row],[Tech Start Date]],12),IF(Main[[#This Row],[Class]]="A",WORKDAY(Main[[#This Row],[Tech Start Date]],4),""))))</f>
        <v/>
      </c>
      <c r="O440" s="77" t="str">
        <f>IF(Main[[#This Row],[Tech Start Date]]&lt;1/1/1990,"",IF(Main[[#This Row],[Class]]="C",WORKDAY(Main[[#This Row],[Tech Start Date]],23),IF(Main[[#This Row],[Class]]="B", WORKDAY(Main[[#This Row],[Tech Start Date]],15),IF(Main[[#This Row],[Class]]="A",WORKDAY(Main[[#This Row],[Tech Start Date]],5),""))))</f>
        <v/>
      </c>
      <c r="P440" s="77" t="str">
        <f>IF(Main[[#This Row],[Tech Start Date]]&lt;1/1/1990,"",IF(Main[[#This Row],[Class]]="C",WORKDAY(Main[[#This Row],[Tech Start Date]],28),IF(Main[[#This Row],[Class]]="B", WORKDAY(Main[[#This Row],[Tech Start Date]],19),IF(Main[[#This Row],[Class]]="A",WORKDAY(Main[[#This Row],[Tech Start Date]],9),""))))</f>
        <v/>
      </c>
      <c r="Q440" s="74"/>
      <c r="R440" s="74"/>
      <c r="S440" s="72" t="s">
        <v>11</v>
      </c>
      <c r="T440" s="80" t="s">
        <v>4</v>
      </c>
      <c r="U440" s="72" t="s">
        <v>12</v>
      </c>
      <c r="V440" s="72" t="s">
        <v>1932</v>
      </c>
      <c r="W440" s="72" t="s">
        <v>1936</v>
      </c>
      <c r="X440" s="72" t="s">
        <v>949</v>
      </c>
      <c r="Y440" s="72" t="s">
        <v>3071</v>
      </c>
      <c r="Z440" s="72" t="s">
        <v>4</v>
      </c>
      <c r="AA440" s="147" t="s">
        <v>949</v>
      </c>
    </row>
    <row r="441" spans="1:27" ht="18.600000000000001" customHeight="1">
      <c r="A441" s="140" t="str">
        <f>IF(priority(Main[[#This Row],[Comments]])&lt;&gt;0, priority(Main[[#This Row],[Comments]]),"")</f>
        <v/>
      </c>
      <c r="B441" s="90" t="s">
        <v>1315</v>
      </c>
      <c r="C441" s="72" t="s">
        <v>4</v>
      </c>
      <c r="D441" s="73" t="s">
        <v>97</v>
      </c>
      <c r="E441" s="74"/>
      <c r="F441" s="74"/>
      <c r="G441" s="75" t="str">
        <f>IF(stdProdLT(Main[[#This Row],[Comments]])=0.1,"N/A",IF(stdProdLT(Main[[#This Row],[Comments]])=0,"",stdProdLT(Main[[#This Row],[Comments]])))</f>
        <v/>
      </c>
      <c r="H441" s="76" t="str">
        <f>IF(AND(Main[[#This Row],[In Stock Date]]&lt;&gt;"",Main[[#This Row],[Revised Due Date]]&lt;&gt;""),Main[[#This Row],[In Stock Date]]-Main[[#This Row],[Revised Due Date]],"")</f>
        <v/>
      </c>
      <c r="I441" s="72" t="s">
        <v>4</v>
      </c>
      <c r="J441" s="72" t="s">
        <v>4</v>
      </c>
      <c r="K441" s="72" t="s">
        <v>4</v>
      </c>
      <c r="L441" s="74"/>
      <c r="M441" s="77" t="str">
        <f>IF(Main[[#This Row],[Tech Start Date]]&lt;1/1/1990,"",IF(Main[[#This Row],[Class]]="C",WORKDAY(Main[[#This Row],[Tech Start Date]],9),IF(Main[[#This Row],[Class]]="B", WORKDAY(Main[[#This Row],[Tech Start Date]],6),IF(Main[[#This Row],[Class]]="A",WORKDAY(Main[[#This Row],[Tech Start Date]],2),""))))</f>
        <v/>
      </c>
      <c r="N441" s="77" t="str">
        <f>IF(Main[[#This Row],[Tech Start Date]]&lt;1/1/1990,"",IF(Main[[#This Row],[Class]]="C",WORKDAY(Main[[#This Row],[Tech Start Date]],19),IF(Main[[#This Row],[Class]]="B", WORKDAY(Main[[#This Row],[Tech Start Date]],12),IF(Main[[#This Row],[Class]]="A",WORKDAY(Main[[#This Row],[Tech Start Date]],4),""))))</f>
        <v/>
      </c>
      <c r="O441" s="77" t="str">
        <f>IF(Main[[#This Row],[Tech Start Date]]&lt;1/1/1990,"",IF(Main[[#This Row],[Class]]="C",WORKDAY(Main[[#This Row],[Tech Start Date]],23),IF(Main[[#This Row],[Class]]="B", WORKDAY(Main[[#This Row],[Tech Start Date]],15),IF(Main[[#This Row],[Class]]="A",WORKDAY(Main[[#This Row],[Tech Start Date]],5),""))))</f>
        <v/>
      </c>
      <c r="P441" s="77" t="str">
        <f>IF(Main[[#This Row],[Tech Start Date]]&lt;1/1/1990,"",IF(Main[[#This Row],[Class]]="C",WORKDAY(Main[[#This Row],[Tech Start Date]],28),IF(Main[[#This Row],[Class]]="B", WORKDAY(Main[[#This Row],[Tech Start Date]],19),IF(Main[[#This Row],[Class]]="A",WORKDAY(Main[[#This Row],[Tech Start Date]],9),""))))</f>
        <v/>
      </c>
      <c r="Q441" s="74">
        <v>40858</v>
      </c>
      <c r="R441" s="74"/>
      <c r="S441" s="72" t="s">
        <v>17</v>
      </c>
      <c r="T441" s="80" t="s">
        <v>4</v>
      </c>
      <c r="U441" s="72" t="s">
        <v>14</v>
      </c>
      <c r="V441" s="72" t="s">
        <v>1932</v>
      </c>
      <c r="W441" s="72" t="s">
        <v>1937</v>
      </c>
      <c r="X441" s="72" t="s">
        <v>50</v>
      </c>
      <c r="Y441" s="72" t="s">
        <v>3046</v>
      </c>
      <c r="Z441" s="72" t="s">
        <v>4</v>
      </c>
      <c r="AA441" s="147" t="s">
        <v>2912</v>
      </c>
    </row>
    <row r="442" spans="1:27" ht="18.600000000000001" customHeight="1">
      <c r="A442" s="140" t="str">
        <f>IF(priority(Main[[#This Row],[Comments]])&lt;&gt;0, priority(Main[[#This Row],[Comments]]),"")</f>
        <v/>
      </c>
      <c r="B442" s="90" t="s">
        <v>1316</v>
      </c>
      <c r="C442" s="72" t="s">
        <v>95</v>
      </c>
      <c r="D442" s="73" t="s">
        <v>379</v>
      </c>
      <c r="E442" s="74"/>
      <c r="F442" s="74">
        <v>40195</v>
      </c>
      <c r="G442" s="75" t="str">
        <f>IF(stdProdLT(Main[[#This Row],[Comments]])=0.1,"N/A",IF(stdProdLT(Main[[#This Row],[Comments]])=0,"",stdProdLT(Main[[#This Row],[Comments]])))</f>
        <v/>
      </c>
      <c r="H442" s="76" t="str">
        <f>IF(AND(Main[[#This Row],[In Stock Date]]&lt;&gt;"",Main[[#This Row],[Revised Due Date]]&lt;&gt;""),Main[[#This Row],[In Stock Date]]-Main[[#This Row],[Revised Due Date]],"")</f>
        <v/>
      </c>
      <c r="I442" s="72" t="s">
        <v>4</v>
      </c>
      <c r="J442" s="72" t="s">
        <v>4</v>
      </c>
      <c r="K442" s="72" t="s">
        <v>4</v>
      </c>
      <c r="L442" s="74"/>
      <c r="M442" s="77" t="str">
        <f>IF(Main[[#This Row],[Tech Start Date]]&lt;1/1/1990,"",IF(Main[[#This Row],[Class]]="C",WORKDAY(Main[[#This Row],[Tech Start Date]],9),IF(Main[[#This Row],[Class]]="B", WORKDAY(Main[[#This Row],[Tech Start Date]],6),IF(Main[[#This Row],[Class]]="A",WORKDAY(Main[[#This Row],[Tech Start Date]],2),""))))</f>
        <v/>
      </c>
      <c r="N442" s="77" t="str">
        <f>IF(Main[[#This Row],[Tech Start Date]]&lt;1/1/1990,"",IF(Main[[#This Row],[Class]]="C",WORKDAY(Main[[#This Row],[Tech Start Date]],19),IF(Main[[#This Row],[Class]]="B", WORKDAY(Main[[#This Row],[Tech Start Date]],12),IF(Main[[#This Row],[Class]]="A",WORKDAY(Main[[#This Row],[Tech Start Date]],4),""))))</f>
        <v/>
      </c>
      <c r="O442" s="77" t="str">
        <f>IF(Main[[#This Row],[Tech Start Date]]&lt;1/1/1990,"",IF(Main[[#This Row],[Class]]="C",WORKDAY(Main[[#This Row],[Tech Start Date]],23),IF(Main[[#This Row],[Class]]="B", WORKDAY(Main[[#This Row],[Tech Start Date]],15),IF(Main[[#This Row],[Class]]="A",WORKDAY(Main[[#This Row],[Tech Start Date]],5),""))))</f>
        <v/>
      </c>
      <c r="P442" s="77" t="str">
        <f>IF(Main[[#This Row],[Tech Start Date]]&lt;1/1/1990,"",IF(Main[[#This Row],[Class]]="C",WORKDAY(Main[[#This Row],[Tech Start Date]],28),IF(Main[[#This Row],[Class]]="B", WORKDAY(Main[[#This Row],[Tech Start Date]],19),IF(Main[[#This Row],[Class]]="A",WORKDAY(Main[[#This Row],[Tech Start Date]],9),""))))</f>
        <v/>
      </c>
      <c r="Q442" s="74">
        <v>40070</v>
      </c>
      <c r="R442" s="74"/>
      <c r="S442" s="72" t="s">
        <v>11</v>
      </c>
      <c r="T442" s="80" t="s">
        <v>4</v>
      </c>
      <c r="U442" s="72" t="s">
        <v>14</v>
      </c>
      <c r="V442" s="72" t="s">
        <v>1935</v>
      </c>
      <c r="W442" s="72" t="s">
        <v>1938</v>
      </c>
      <c r="X442" s="72" t="s">
        <v>2960</v>
      </c>
      <c r="Y442" s="72" t="s">
        <v>4</v>
      </c>
      <c r="Z442" s="72" t="s">
        <v>4</v>
      </c>
      <c r="AA442" s="147" t="s">
        <v>3594</v>
      </c>
    </row>
    <row r="443" spans="1:27" ht="18.600000000000001" customHeight="1">
      <c r="A443" s="140" t="str">
        <f>IF(priority(Main[[#This Row],[Comments]])&lt;&gt;0, priority(Main[[#This Row],[Comments]]),"")</f>
        <v/>
      </c>
      <c r="B443" s="90" t="s">
        <v>1844</v>
      </c>
      <c r="C443" s="72" t="s">
        <v>4</v>
      </c>
      <c r="D443" s="73" t="s">
        <v>889</v>
      </c>
      <c r="E443" s="74">
        <v>40122.528101851851</v>
      </c>
      <c r="F443" s="74"/>
      <c r="G443" s="75" t="str">
        <f>IF(stdProdLT(Main[[#This Row],[Comments]])=0.1,"N/A",IF(stdProdLT(Main[[#This Row],[Comments]])=0,"",stdProdLT(Main[[#This Row],[Comments]])))</f>
        <v/>
      </c>
      <c r="H443" s="76" t="str">
        <f>IF(AND(Main[[#This Row],[In Stock Date]]&lt;&gt;"",Main[[#This Row],[Revised Due Date]]&lt;&gt;""),Main[[#This Row],[In Stock Date]]-Main[[#This Row],[Revised Due Date]],"")</f>
        <v/>
      </c>
      <c r="I443" s="72" t="s">
        <v>4</v>
      </c>
      <c r="J443" s="72" t="s">
        <v>4</v>
      </c>
      <c r="K443" s="72" t="s">
        <v>4</v>
      </c>
      <c r="L443" s="74"/>
      <c r="M443" s="77" t="str">
        <f>IF(Main[[#This Row],[Tech Start Date]]&lt;1/1/1990,"",IF(Main[[#This Row],[Class]]="C",WORKDAY(Main[[#This Row],[Tech Start Date]],9),IF(Main[[#This Row],[Class]]="B", WORKDAY(Main[[#This Row],[Tech Start Date]],6),IF(Main[[#This Row],[Class]]="A",WORKDAY(Main[[#This Row],[Tech Start Date]],2),""))))</f>
        <v/>
      </c>
      <c r="N443" s="77" t="str">
        <f>IF(Main[[#This Row],[Tech Start Date]]&lt;1/1/1990,"",IF(Main[[#This Row],[Class]]="C",WORKDAY(Main[[#This Row],[Tech Start Date]],19),IF(Main[[#This Row],[Class]]="B", WORKDAY(Main[[#This Row],[Tech Start Date]],12),IF(Main[[#This Row],[Class]]="A",WORKDAY(Main[[#This Row],[Tech Start Date]],4),""))))</f>
        <v/>
      </c>
      <c r="O443" s="77" t="str">
        <f>IF(Main[[#This Row],[Tech Start Date]]&lt;1/1/1990,"",IF(Main[[#This Row],[Class]]="C",WORKDAY(Main[[#This Row],[Tech Start Date]],23),IF(Main[[#This Row],[Class]]="B", WORKDAY(Main[[#This Row],[Tech Start Date]],15),IF(Main[[#This Row],[Class]]="A",WORKDAY(Main[[#This Row],[Tech Start Date]],5),""))))</f>
        <v/>
      </c>
      <c r="P443" s="77" t="str">
        <f>IF(Main[[#This Row],[Tech Start Date]]&lt;1/1/1990,"",IF(Main[[#This Row],[Class]]="C",WORKDAY(Main[[#This Row],[Tech Start Date]],28),IF(Main[[#This Row],[Class]]="B", WORKDAY(Main[[#This Row],[Tech Start Date]],19),IF(Main[[#This Row],[Class]]="A",WORKDAY(Main[[#This Row],[Tech Start Date]],9),""))))</f>
        <v/>
      </c>
      <c r="Q443" s="74"/>
      <c r="R443" s="74">
        <v>40368</v>
      </c>
      <c r="S443" s="72" t="s">
        <v>17</v>
      </c>
      <c r="T443" s="80" t="s">
        <v>4</v>
      </c>
      <c r="U443" s="72" t="s">
        <v>29</v>
      </c>
      <c r="V443" s="72" t="s">
        <v>1933</v>
      </c>
      <c r="W443" s="72" t="s">
        <v>1937</v>
      </c>
      <c r="X443" s="72" t="s">
        <v>2946</v>
      </c>
      <c r="Y443" s="72" t="s">
        <v>3093</v>
      </c>
      <c r="Z443" s="72" t="s">
        <v>4</v>
      </c>
      <c r="AA443" s="147" t="s">
        <v>2946</v>
      </c>
    </row>
    <row r="444" spans="1:27" ht="18.600000000000001" customHeight="1">
      <c r="A444" s="140" t="str">
        <f>IF(priority(Main[[#This Row],[Comments]])&lt;&gt;0, priority(Main[[#This Row],[Comments]]),"")</f>
        <v/>
      </c>
      <c r="B444" s="90" t="s">
        <v>1870</v>
      </c>
      <c r="C444" s="72" t="s">
        <v>67</v>
      </c>
      <c r="D444" s="73" t="s">
        <v>919</v>
      </c>
      <c r="E444" s="74">
        <v>39981.49927083333</v>
      </c>
      <c r="F444" s="74"/>
      <c r="G444" s="75" t="str">
        <f>IF(stdProdLT(Main[[#This Row],[Comments]])=0.1,"N/A",IF(stdProdLT(Main[[#This Row],[Comments]])=0,"",stdProdLT(Main[[#This Row],[Comments]])))</f>
        <v/>
      </c>
      <c r="H444" s="76" t="str">
        <f>IF(AND(Main[[#This Row],[In Stock Date]]&lt;&gt;"",Main[[#This Row],[Revised Due Date]]&lt;&gt;""),Main[[#This Row],[In Stock Date]]-Main[[#This Row],[Revised Due Date]],"")</f>
        <v/>
      </c>
      <c r="I444" s="72" t="s">
        <v>986</v>
      </c>
      <c r="J444" s="72" t="s">
        <v>4</v>
      </c>
      <c r="K444" s="81" t="s">
        <v>1944</v>
      </c>
      <c r="L444" s="74"/>
      <c r="M444" s="77" t="str">
        <f>IF(Main[[#This Row],[Tech Start Date]]&lt;1/1/1990,"",IF(Main[[#This Row],[Class]]="C",WORKDAY(Main[[#This Row],[Tech Start Date]],9),IF(Main[[#This Row],[Class]]="B", WORKDAY(Main[[#This Row],[Tech Start Date]],6),IF(Main[[#This Row],[Class]]="A",WORKDAY(Main[[#This Row],[Tech Start Date]],2),""))))</f>
        <v/>
      </c>
      <c r="N444" s="77" t="str">
        <f>IF(Main[[#This Row],[Tech Start Date]]&lt;1/1/1990,"",IF(Main[[#This Row],[Class]]="C",WORKDAY(Main[[#This Row],[Tech Start Date]],19),IF(Main[[#This Row],[Class]]="B", WORKDAY(Main[[#This Row],[Tech Start Date]],12),IF(Main[[#This Row],[Class]]="A",WORKDAY(Main[[#This Row],[Tech Start Date]],4),""))))</f>
        <v/>
      </c>
      <c r="O444" s="77" t="str">
        <f>IF(Main[[#This Row],[Tech Start Date]]&lt;1/1/1990,"",IF(Main[[#This Row],[Class]]="C",WORKDAY(Main[[#This Row],[Tech Start Date]],23),IF(Main[[#This Row],[Class]]="B", WORKDAY(Main[[#This Row],[Tech Start Date]],15),IF(Main[[#This Row],[Class]]="A",WORKDAY(Main[[#This Row],[Tech Start Date]],5),""))))</f>
        <v/>
      </c>
      <c r="P444" s="77" t="str">
        <f>IF(Main[[#This Row],[Tech Start Date]]&lt;1/1/1990,"",IF(Main[[#This Row],[Class]]="C",WORKDAY(Main[[#This Row],[Tech Start Date]],28),IF(Main[[#This Row],[Class]]="B", WORKDAY(Main[[#This Row],[Tech Start Date]],19),IF(Main[[#This Row],[Class]]="A",WORKDAY(Main[[#This Row],[Tech Start Date]],9),""))))</f>
        <v/>
      </c>
      <c r="Q444" s="74">
        <v>40057</v>
      </c>
      <c r="R444" s="74">
        <v>40908</v>
      </c>
      <c r="S444" s="72" t="s">
        <v>17</v>
      </c>
      <c r="T444" s="80" t="s">
        <v>4</v>
      </c>
      <c r="U444" s="72" t="s">
        <v>29</v>
      </c>
      <c r="V444" s="72" t="s">
        <v>1935</v>
      </c>
      <c r="W444" s="72" t="s">
        <v>1937</v>
      </c>
      <c r="X444" s="72" t="s">
        <v>2904</v>
      </c>
      <c r="Y444" s="72" t="s">
        <v>3115</v>
      </c>
      <c r="Z444" s="72" t="s">
        <v>420</v>
      </c>
      <c r="AA444" s="147" t="s">
        <v>3597</v>
      </c>
    </row>
    <row r="445" spans="1:27" ht="18.600000000000001" customHeight="1">
      <c r="A445" s="140" t="str">
        <f>IF(priority(Main[[#This Row],[Comments]])&lt;&gt;0, priority(Main[[#This Row],[Comments]]),"")</f>
        <v/>
      </c>
      <c r="B445" s="90" t="s">
        <v>2102</v>
      </c>
      <c r="C445" s="72" t="s">
        <v>963</v>
      </c>
      <c r="D445" s="73" t="s">
        <v>2103</v>
      </c>
      <c r="E445" s="74"/>
      <c r="F445" s="74">
        <v>40871</v>
      </c>
      <c r="G445" s="75" t="str">
        <f>IF(stdProdLT(Main[[#This Row],[Comments]])=0.1,"N/A",IF(stdProdLT(Main[[#This Row],[Comments]])=0,"",stdProdLT(Main[[#This Row],[Comments]])))</f>
        <v/>
      </c>
      <c r="H445" s="76" t="str">
        <f>IF(AND(Main[[#This Row],[In Stock Date]]&lt;&gt;"",Main[[#This Row],[Revised Due Date]]&lt;&gt;""),Main[[#This Row],[In Stock Date]]-Main[[#This Row],[Revised Due Date]],"")</f>
        <v/>
      </c>
      <c r="I445" s="72" t="s">
        <v>4</v>
      </c>
      <c r="J445" s="72" t="s">
        <v>4</v>
      </c>
      <c r="K445" s="81" t="s">
        <v>4</v>
      </c>
      <c r="L445" s="74"/>
      <c r="M445" s="77" t="str">
        <f>IF(Main[[#This Row],[Tech Start Date]]&lt;1/1/1990,"",IF(Main[[#This Row],[Class]]="C",WORKDAY(Main[[#This Row],[Tech Start Date]],9),IF(Main[[#This Row],[Class]]="B", WORKDAY(Main[[#This Row],[Tech Start Date]],6),IF(Main[[#This Row],[Class]]="A",WORKDAY(Main[[#This Row],[Tech Start Date]],2),""))))</f>
        <v/>
      </c>
      <c r="N445" s="77" t="str">
        <f>IF(Main[[#This Row],[Tech Start Date]]&lt;1/1/1990,"",IF(Main[[#This Row],[Class]]="C",WORKDAY(Main[[#This Row],[Tech Start Date]],19),IF(Main[[#This Row],[Class]]="B", WORKDAY(Main[[#This Row],[Tech Start Date]],12),IF(Main[[#This Row],[Class]]="A",WORKDAY(Main[[#This Row],[Tech Start Date]],4),""))))</f>
        <v/>
      </c>
      <c r="O445" s="77" t="str">
        <f>IF(Main[[#This Row],[Tech Start Date]]&lt;1/1/1990,"",IF(Main[[#This Row],[Class]]="C",WORKDAY(Main[[#This Row],[Tech Start Date]],23),IF(Main[[#This Row],[Class]]="B", WORKDAY(Main[[#This Row],[Tech Start Date]],15),IF(Main[[#This Row],[Class]]="A",WORKDAY(Main[[#This Row],[Tech Start Date]],5),""))))</f>
        <v/>
      </c>
      <c r="P445" s="77" t="str">
        <f>IF(Main[[#This Row],[Tech Start Date]]&lt;1/1/1990,"",IF(Main[[#This Row],[Class]]="C",WORKDAY(Main[[#This Row],[Tech Start Date]],28),IF(Main[[#This Row],[Class]]="B", WORKDAY(Main[[#This Row],[Tech Start Date]],19),IF(Main[[#This Row],[Class]]="A",WORKDAY(Main[[#This Row],[Tech Start Date]],9),""))))</f>
        <v/>
      </c>
      <c r="Q445" s="74"/>
      <c r="R445" s="74"/>
      <c r="S445" s="72" t="s">
        <v>11</v>
      </c>
      <c r="T445" s="80" t="s">
        <v>4</v>
      </c>
      <c r="U445" s="72" t="s">
        <v>14</v>
      </c>
      <c r="V445" s="72" t="s">
        <v>1935</v>
      </c>
      <c r="W445" s="72" t="s">
        <v>1940</v>
      </c>
      <c r="X445" s="72" t="s">
        <v>50</v>
      </c>
      <c r="Y445" s="72" t="s">
        <v>3048</v>
      </c>
      <c r="Z445" s="72" t="s">
        <v>4</v>
      </c>
      <c r="AA445" s="147" t="s">
        <v>50</v>
      </c>
    </row>
    <row r="446" spans="1:27" ht="18.600000000000001" customHeight="1">
      <c r="A446" s="140" t="str">
        <f>IF(priority(Main[[#This Row],[Comments]])&lt;&gt;0, priority(Main[[#This Row],[Comments]]),"")</f>
        <v/>
      </c>
      <c r="B446" s="90" t="s">
        <v>1317</v>
      </c>
      <c r="C446" s="72" t="s">
        <v>380</v>
      </c>
      <c r="D446" s="73" t="s">
        <v>381</v>
      </c>
      <c r="E446" s="74">
        <v>39952.325474537036</v>
      </c>
      <c r="F446" s="74"/>
      <c r="G446" s="75" t="str">
        <f>IF(stdProdLT(Main[[#This Row],[Comments]])=0.1,"N/A",IF(stdProdLT(Main[[#This Row],[Comments]])=0,"",stdProdLT(Main[[#This Row],[Comments]])))</f>
        <v/>
      </c>
      <c r="H446" s="76" t="str">
        <f>IF(AND(Main[[#This Row],[In Stock Date]]&lt;&gt;"",Main[[#This Row],[Revised Due Date]]&lt;&gt;""),Main[[#This Row],[In Stock Date]]-Main[[#This Row],[Revised Due Date]],"")</f>
        <v/>
      </c>
      <c r="I446" s="72" t="s">
        <v>4</v>
      </c>
      <c r="J446" s="72" t="s">
        <v>4</v>
      </c>
      <c r="K446" s="72" t="s">
        <v>4</v>
      </c>
      <c r="L446" s="74"/>
      <c r="M446" s="77" t="str">
        <f>IF(Main[[#This Row],[Tech Start Date]]&lt;1/1/1990,"",IF(Main[[#This Row],[Class]]="C",WORKDAY(Main[[#This Row],[Tech Start Date]],9),IF(Main[[#This Row],[Class]]="B", WORKDAY(Main[[#This Row],[Tech Start Date]],6),IF(Main[[#This Row],[Class]]="A",WORKDAY(Main[[#This Row],[Tech Start Date]],2),""))))</f>
        <v/>
      </c>
      <c r="N446" s="77" t="str">
        <f>IF(Main[[#This Row],[Tech Start Date]]&lt;1/1/1990,"",IF(Main[[#This Row],[Class]]="C",WORKDAY(Main[[#This Row],[Tech Start Date]],19),IF(Main[[#This Row],[Class]]="B", WORKDAY(Main[[#This Row],[Tech Start Date]],12),IF(Main[[#This Row],[Class]]="A",WORKDAY(Main[[#This Row],[Tech Start Date]],4),""))))</f>
        <v/>
      </c>
      <c r="O446" s="77" t="str">
        <f>IF(Main[[#This Row],[Tech Start Date]]&lt;1/1/1990,"",IF(Main[[#This Row],[Class]]="C",WORKDAY(Main[[#This Row],[Tech Start Date]],23),IF(Main[[#This Row],[Class]]="B", WORKDAY(Main[[#This Row],[Tech Start Date]],15),IF(Main[[#This Row],[Class]]="A",WORKDAY(Main[[#This Row],[Tech Start Date]],5),""))))</f>
        <v/>
      </c>
      <c r="P446" s="77" t="str">
        <f>IF(Main[[#This Row],[Tech Start Date]]&lt;1/1/1990,"",IF(Main[[#This Row],[Class]]="C",WORKDAY(Main[[#This Row],[Tech Start Date]],28),IF(Main[[#This Row],[Class]]="B", WORKDAY(Main[[#This Row],[Tech Start Date]],19),IF(Main[[#This Row],[Class]]="A",WORKDAY(Main[[#This Row],[Tech Start Date]],9),""))))</f>
        <v/>
      </c>
      <c r="Q446" s="74"/>
      <c r="R446" s="74"/>
      <c r="S446" s="72" t="s">
        <v>17</v>
      </c>
      <c r="T446" s="80" t="s">
        <v>4</v>
      </c>
      <c r="U446" s="72" t="s">
        <v>7</v>
      </c>
      <c r="V446" s="72" t="s">
        <v>1935</v>
      </c>
      <c r="W446" s="72" t="s">
        <v>4</v>
      </c>
      <c r="X446" s="72" t="s">
        <v>2964</v>
      </c>
      <c r="Y446" s="72" t="s">
        <v>4</v>
      </c>
      <c r="Z446" s="72" t="s">
        <v>4</v>
      </c>
      <c r="AA446" s="147" t="s">
        <v>2964</v>
      </c>
    </row>
    <row r="447" spans="1:27" ht="18.600000000000001" customHeight="1">
      <c r="A447" s="140" t="str">
        <f>IF(priority(Main[[#This Row],[Comments]])&lt;&gt;0, priority(Main[[#This Row],[Comments]]),"")</f>
        <v/>
      </c>
      <c r="B447" s="90" t="s">
        <v>1318</v>
      </c>
      <c r="C447" s="72" t="s">
        <v>382</v>
      </c>
      <c r="D447" s="73" t="s">
        <v>383</v>
      </c>
      <c r="E447" s="74"/>
      <c r="F447" s="74">
        <v>40228</v>
      </c>
      <c r="G447" s="75" t="str">
        <f>IF(stdProdLT(Main[[#This Row],[Comments]])=0.1,"N/A",IF(stdProdLT(Main[[#This Row],[Comments]])=0,"",stdProdLT(Main[[#This Row],[Comments]])))</f>
        <v/>
      </c>
      <c r="H447" s="76" t="str">
        <f>IF(AND(Main[[#This Row],[In Stock Date]]&lt;&gt;"",Main[[#This Row],[Revised Due Date]]&lt;&gt;""),Main[[#This Row],[In Stock Date]]-Main[[#This Row],[Revised Due Date]],"")</f>
        <v/>
      </c>
      <c r="I447" s="72" t="s">
        <v>4</v>
      </c>
      <c r="J447" s="72" t="s">
        <v>4</v>
      </c>
      <c r="K447" s="72" t="s">
        <v>4</v>
      </c>
      <c r="L447" s="74"/>
      <c r="M447" s="77" t="str">
        <f>IF(Main[[#This Row],[Tech Start Date]]&lt;1/1/1990,"",IF(Main[[#This Row],[Class]]="C",WORKDAY(Main[[#This Row],[Tech Start Date]],9),IF(Main[[#This Row],[Class]]="B", WORKDAY(Main[[#This Row],[Tech Start Date]],6),IF(Main[[#This Row],[Class]]="A",WORKDAY(Main[[#This Row],[Tech Start Date]],2),""))))</f>
        <v/>
      </c>
      <c r="N447" s="77" t="str">
        <f>IF(Main[[#This Row],[Tech Start Date]]&lt;1/1/1990,"",IF(Main[[#This Row],[Class]]="C",WORKDAY(Main[[#This Row],[Tech Start Date]],19),IF(Main[[#This Row],[Class]]="B", WORKDAY(Main[[#This Row],[Tech Start Date]],12),IF(Main[[#This Row],[Class]]="A",WORKDAY(Main[[#This Row],[Tech Start Date]],4),""))))</f>
        <v/>
      </c>
      <c r="O447" s="77" t="str">
        <f>IF(Main[[#This Row],[Tech Start Date]]&lt;1/1/1990,"",IF(Main[[#This Row],[Class]]="C",WORKDAY(Main[[#This Row],[Tech Start Date]],23),IF(Main[[#This Row],[Class]]="B", WORKDAY(Main[[#This Row],[Tech Start Date]],15),IF(Main[[#This Row],[Class]]="A",WORKDAY(Main[[#This Row],[Tech Start Date]],5),""))))</f>
        <v/>
      </c>
      <c r="P447" s="77" t="str">
        <f>IF(Main[[#This Row],[Tech Start Date]]&lt;1/1/1990,"",IF(Main[[#This Row],[Class]]="C",WORKDAY(Main[[#This Row],[Tech Start Date]],28),IF(Main[[#This Row],[Class]]="B", WORKDAY(Main[[#This Row],[Tech Start Date]],19),IF(Main[[#This Row],[Class]]="A",WORKDAY(Main[[#This Row],[Tech Start Date]],9),""))))</f>
        <v/>
      </c>
      <c r="Q447" s="74">
        <v>40153</v>
      </c>
      <c r="R447" s="74"/>
      <c r="S447" s="72" t="s">
        <v>11</v>
      </c>
      <c r="T447" s="80" t="s">
        <v>4</v>
      </c>
      <c r="U447" s="72" t="s">
        <v>14</v>
      </c>
      <c r="V447" s="72" t="s">
        <v>1935</v>
      </c>
      <c r="W447" s="72" t="s">
        <v>1940</v>
      </c>
      <c r="X447" s="72" t="s">
        <v>2947</v>
      </c>
      <c r="Y447" s="72" t="s">
        <v>4</v>
      </c>
      <c r="Z447" s="72" t="s">
        <v>4</v>
      </c>
      <c r="AA447" s="147" t="s">
        <v>2947</v>
      </c>
    </row>
    <row r="448" spans="1:27" ht="18.600000000000001" customHeight="1">
      <c r="A448" s="140" t="str">
        <f>IF(priority(Main[[#This Row],[Comments]])&lt;&gt;0, priority(Main[[#This Row],[Comments]]),"")</f>
        <v/>
      </c>
      <c r="B448" s="90" t="s">
        <v>1320</v>
      </c>
      <c r="C448" s="72" t="s">
        <v>384</v>
      </c>
      <c r="D448" s="73" t="s">
        <v>385</v>
      </c>
      <c r="E448" s="74"/>
      <c r="F448" s="74"/>
      <c r="G448" s="75" t="str">
        <f>IF(stdProdLT(Main[[#This Row],[Comments]])=0.1,"N/A",IF(stdProdLT(Main[[#This Row],[Comments]])=0,"",stdProdLT(Main[[#This Row],[Comments]])))</f>
        <v/>
      </c>
      <c r="H448" s="76" t="str">
        <f>IF(AND(Main[[#This Row],[In Stock Date]]&lt;&gt;"",Main[[#This Row],[Revised Due Date]]&lt;&gt;""),Main[[#This Row],[In Stock Date]]-Main[[#This Row],[Revised Due Date]],"")</f>
        <v/>
      </c>
      <c r="I448" s="72" t="s">
        <v>4</v>
      </c>
      <c r="J448" s="72" t="s">
        <v>4</v>
      </c>
      <c r="K448" s="72" t="s">
        <v>4</v>
      </c>
      <c r="L448" s="74"/>
      <c r="M448" s="77" t="str">
        <f>IF(Main[[#This Row],[Tech Start Date]]&lt;1/1/1990,"",IF(Main[[#This Row],[Class]]="C",WORKDAY(Main[[#This Row],[Tech Start Date]],9),IF(Main[[#This Row],[Class]]="B", WORKDAY(Main[[#This Row],[Tech Start Date]],6),IF(Main[[#This Row],[Class]]="A",WORKDAY(Main[[#This Row],[Tech Start Date]],2),""))))</f>
        <v/>
      </c>
      <c r="N448" s="77" t="str">
        <f>IF(Main[[#This Row],[Tech Start Date]]&lt;1/1/1990,"",IF(Main[[#This Row],[Class]]="C",WORKDAY(Main[[#This Row],[Tech Start Date]],19),IF(Main[[#This Row],[Class]]="B", WORKDAY(Main[[#This Row],[Tech Start Date]],12),IF(Main[[#This Row],[Class]]="A",WORKDAY(Main[[#This Row],[Tech Start Date]],4),""))))</f>
        <v/>
      </c>
      <c r="O448" s="77" t="str">
        <f>IF(Main[[#This Row],[Tech Start Date]]&lt;1/1/1990,"",IF(Main[[#This Row],[Class]]="C",WORKDAY(Main[[#This Row],[Tech Start Date]],23),IF(Main[[#This Row],[Class]]="B", WORKDAY(Main[[#This Row],[Tech Start Date]],15),IF(Main[[#This Row],[Class]]="A",WORKDAY(Main[[#This Row],[Tech Start Date]],5),""))))</f>
        <v/>
      </c>
      <c r="P448" s="77" t="str">
        <f>IF(Main[[#This Row],[Tech Start Date]]&lt;1/1/1990,"",IF(Main[[#This Row],[Class]]="C",WORKDAY(Main[[#This Row],[Tech Start Date]],28),IF(Main[[#This Row],[Class]]="B", WORKDAY(Main[[#This Row],[Tech Start Date]],19),IF(Main[[#This Row],[Class]]="A",WORKDAY(Main[[#This Row],[Tech Start Date]],9),""))))</f>
        <v/>
      </c>
      <c r="Q448" s="74"/>
      <c r="R448" s="74"/>
      <c r="S448" s="72" t="s">
        <v>11</v>
      </c>
      <c r="T448" s="80" t="s">
        <v>4</v>
      </c>
      <c r="U448" s="72" t="s">
        <v>14</v>
      </c>
      <c r="V448" s="72" t="s">
        <v>1933</v>
      </c>
      <c r="W448" s="72" t="s">
        <v>1940</v>
      </c>
      <c r="X448" s="72" t="s">
        <v>2911</v>
      </c>
      <c r="Y448" s="72" t="s">
        <v>3035</v>
      </c>
      <c r="Z448" s="72" t="s">
        <v>4</v>
      </c>
      <c r="AA448" s="147" t="s">
        <v>2911</v>
      </c>
    </row>
    <row r="449" spans="1:27" ht="18.600000000000001" customHeight="1">
      <c r="A449" s="140" t="str">
        <f>IF(priority(Main[[#This Row],[Comments]])&lt;&gt;0, priority(Main[[#This Row],[Comments]]),"")</f>
        <v/>
      </c>
      <c r="B449" s="90" t="s">
        <v>1321</v>
      </c>
      <c r="C449" s="72" t="s">
        <v>386</v>
      </c>
      <c r="D449" s="73" t="s">
        <v>387</v>
      </c>
      <c r="E449" s="74"/>
      <c r="F449" s="74"/>
      <c r="G449" s="75" t="str">
        <f>IF(stdProdLT(Main[[#This Row],[Comments]])=0.1,"N/A",IF(stdProdLT(Main[[#This Row],[Comments]])=0,"",stdProdLT(Main[[#This Row],[Comments]])))</f>
        <v/>
      </c>
      <c r="H449" s="76" t="str">
        <f>IF(AND(Main[[#This Row],[In Stock Date]]&lt;&gt;"",Main[[#This Row],[Revised Due Date]]&lt;&gt;""),Main[[#This Row],[In Stock Date]]-Main[[#This Row],[Revised Due Date]],"")</f>
        <v/>
      </c>
      <c r="I449" s="72" t="s">
        <v>4</v>
      </c>
      <c r="J449" s="72" t="s">
        <v>4</v>
      </c>
      <c r="K449" s="72" t="s">
        <v>4</v>
      </c>
      <c r="L449" s="74"/>
      <c r="M449" s="77" t="str">
        <f>IF(Main[[#This Row],[Tech Start Date]]&lt;1/1/1990,"",IF(Main[[#This Row],[Class]]="C",WORKDAY(Main[[#This Row],[Tech Start Date]],9),IF(Main[[#This Row],[Class]]="B", WORKDAY(Main[[#This Row],[Tech Start Date]],6),IF(Main[[#This Row],[Class]]="A",WORKDAY(Main[[#This Row],[Tech Start Date]],2),""))))</f>
        <v/>
      </c>
      <c r="N449" s="77" t="str">
        <f>IF(Main[[#This Row],[Tech Start Date]]&lt;1/1/1990,"",IF(Main[[#This Row],[Class]]="C",WORKDAY(Main[[#This Row],[Tech Start Date]],19),IF(Main[[#This Row],[Class]]="B", WORKDAY(Main[[#This Row],[Tech Start Date]],12),IF(Main[[#This Row],[Class]]="A",WORKDAY(Main[[#This Row],[Tech Start Date]],4),""))))</f>
        <v/>
      </c>
      <c r="O449" s="77" t="str">
        <f>IF(Main[[#This Row],[Tech Start Date]]&lt;1/1/1990,"",IF(Main[[#This Row],[Class]]="C",WORKDAY(Main[[#This Row],[Tech Start Date]],23),IF(Main[[#This Row],[Class]]="B", WORKDAY(Main[[#This Row],[Tech Start Date]],15),IF(Main[[#This Row],[Class]]="A",WORKDAY(Main[[#This Row],[Tech Start Date]],5),""))))</f>
        <v/>
      </c>
      <c r="P449" s="77" t="str">
        <f>IF(Main[[#This Row],[Tech Start Date]]&lt;1/1/1990,"",IF(Main[[#This Row],[Class]]="C",WORKDAY(Main[[#This Row],[Tech Start Date]],28),IF(Main[[#This Row],[Class]]="B", WORKDAY(Main[[#This Row],[Tech Start Date]],19),IF(Main[[#This Row],[Class]]="A",WORKDAY(Main[[#This Row],[Tech Start Date]],9),""))))</f>
        <v/>
      </c>
      <c r="Q449" s="74"/>
      <c r="R449" s="74"/>
      <c r="S449" s="72" t="s">
        <v>11</v>
      </c>
      <c r="T449" s="80" t="s">
        <v>4</v>
      </c>
      <c r="U449" s="72" t="s">
        <v>14</v>
      </c>
      <c r="V449" s="72" t="s">
        <v>1933</v>
      </c>
      <c r="W449" s="72" t="s">
        <v>1940</v>
      </c>
      <c r="X449" s="72" t="s">
        <v>2911</v>
      </c>
      <c r="Y449" s="72" t="s">
        <v>3035</v>
      </c>
      <c r="Z449" s="72" t="s">
        <v>4</v>
      </c>
      <c r="AA449" s="147" t="s">
        <v>2911</v>
      </c>
    </row>
    <row r="450" spans="1:27" ht="18.600000000000001" customHeight="1">
      <c r="A450" s="140" t="str">
        <f>IF(priority(Main[[#This Row],[Comments]])&lt;&gt;0, priority(Main[[#This Row],[Comments]]),"")</f>
        <v/>
      </c>
      <c r="B450" s="137" t="s">
        <v>1343</v>
      </c>
      <c r="C450" s="130" t="s">
        <v>93</v>
      </c>
      <c r="D450" s="131" t="s">
        <v>388</v>
      </c>
      <c r="E450" s="132"/>
      <c r="F450" s="132">
        <v>40299</v>
      </c>
      <c r="G450" s="133" t="str">
        <f>IF(stdProdLT(Main[[#This Row],[Comments]])=0.1,"N/A",IF(stdProdLT(Main[[#This Row],[Comments]])=0,"",stdProdLT(Main[[#This Row],[Comments]])))</f>
        <v/>
      </c>
      <c r="H450" s="134" t="str">
        <f>IF(AND(Main[[#This Row],[In Stock Date]]&lt;&gt;"",Main[[#This Row],[Revised Due Date]]&lt;&gt;""),Main[[#This Row],[In Stock Date]]-Main[[#This Row],[Revised Due Date]],"")</f>
        <v/>
      </c>
      <c r="I450" s="130" t="s">
        <v>4</v>
      </c>
      <c r="J450" s="130" t="s">
        <v>4</v>
      </c>
      <c r="K450" s="130" t="s">
        <v>4</v>
      </c>
      <c r="L450" s="132"/>
      <c r="M450" s="135" t="str">
        <f>IF(Main[[#This Row],[Tech Start Date]]&lt;1/1/1990,"",IF(Main[[#This Row],[Class]]="C",WORKDAY(Main[[#This Row],[Tech Start Date]],9),IF(Main[[#This Row],[Class]]="B", WORKDAY(Main[[#This Row],[Tech Start Date]],6),IF(Main[[#This Row],[Class]]="A",WORKDAY(Main[[#This Row],[Tech Start Date]],2),""))))</f>
        <v/>
      </c>
      <c r="N450" s="135" t="str">
        <f>IF(Main[[#This Row],[Tech Start Date]]&lt;1/1/1990,"",IF(Main[[#This Row],[Class]]="C",WORKDAY(Main[[#This Row],[Tech Start Date]],19),IF(Main[[#This Row],[Class]]="B", WORKDAY(Main[[#This Row],[Tech Start Date]],12),IF(Main[[#This Row],[Class]]="A",WORKDAY(Main[[#This Row],[Tech Start Date]],4),""))))</f>
        <v/>
      </c>
      <c r="O450" s="135" t="str">
        <f>IF(Main[[#This Row],[Tech Start Date]]&lt;1/1/1990,"",IF(Main[[#This Row],[Class]]="C",WORKDAY(Main[[#This Row],[Tech Start Date]],23),IF(Main[[#This Row],[Class]]="B", WORKDAY(Main[[#This Row],[Tech Start Date]],15),IF(Main[[#This Row],[Class]]="A",WORKDAY(Main[[#This Row],[Tech Start Date]],5),""))))</f>
        <v/>
      </c>
      <c r="P450" s="135" t="str">
        <f>IF(Main[[#This Row],[Tech Start Date]]&lt;1/1/1990,"",IF(Main[[#This Row],[Class]]="C",WORKDAY(Main[[#This Row],[Tech Start Date]],28),IF(Main[[#This Row],[Class]]="B", WORKDAY(Main[[#This Row],[Tech Start Date]],19),IF(Main[[#This Row],[Class]]="A",WORKDAY(Main[[#This Row],[Tech Start Date]],9),""))))</f>
        <v/>
      </c>
      <c r="Q450" s="132">
        <v>40209</v>
      </c>
      <c r="R450" s="132"/>
      <c r="S450" s="130" t="s">
        <v>11</v>
      </c>
      <c r="T450" s="136" t="s">
        <v>4</v>
      </c>
      <c r="U450" s="130" t="s">
        <v>14</v>
      </c>
      <c r="V450" s="130" t="s">
        <v>1932</v>
      </c>
      <c r="W450" s="130" t="s">
        <v>1943</v>
      </c>
      <c r="X450" s="130" t="s">
        <v>2929</v>
      </c>
      <c r="Y450" s="130" t="s">
        <v>4</v>
      </c>
      <c r="Z450" s="130" t="s">
        <v>4</v>
      </c>
      <c r="AA450" s="147" t="s">
        <v>2929</v>
      </c>
    </row>
    <row r="451" spans="1:27" ht="18.600000000000001" customHeight="1">
      <c r="A451" s="140" t="str">
        <f>IF(priority(Main[[#This Row],[Comments]])&lt;&gt;0, priority(Main[[#This Row],[Comments]]),"")</f>
        <v/>
      </c>
      <c r="B451" s="90" t="s">
        <v>2106</v>
      </c>
      <c r="C451" s="72" t="s">
        <v>4</v>
      </c>
      <c r="D451" s="73" t="s">
        <v>2107</v>
      </c>
      <c r="E451" s="74">
        <v>40763.356041666666</v>
      </c>
      <c r="F451" s="74"/>
      <c r="G451" s="75" t="str">
        <f>IF(stdProdLT(Main[[#This Row],[Comments]])=0.1,"N/A",IF(stdProdLT(Main[[#This Row],[Comments]])=0,"",stdProdLT(Main[[#This Row],[Comments]])))</f>
        <v/>
      </c>
      <c r="H451" s="76" t="str">
        <f>IF(AND(Main[[#This Row],[In Stock Date]]&lt;&gt;"",Main[[#This Row],[Revised Due Date]]&lt;&gt;""),Main[[#This Row],[In Stock Date]]-Main[[#This Row],[Revised Due Date]],"")</f>
        <v/>
      </c>
      <c r="I451" s="72" t="s">
        <v>923</v>
      </c>
      <c r="J451" s="72" t="s">
        <v>52</v>
      </c>
      <c r="K451" s="72" t="s">
        <v>4</v>
      </c>
      <c r="L451" s="74"/>
      <c r="M451" s="77" t="str">
        <f>IF(Main[[#This Row],[Tech Start Date]]&lt;1/1/1990,"",IF(Main[[#This Row],[Class]]="C",WORKDAY(Main[[#This Row],[Tech Start Date]],9),IF(Main[[#This Row],[Class]]="B", WORKDAY(Main[[#This Row],[Tech Start Date]],6),IF(Main[[#This Row],[Class]]="A",WORKDAY(Main[[#This Row],[Tech Start Date]],2),""))))</f>
        <v/>
      </c>
      <c r="N451" s="77" t="str">
        <f>IF(Main[[#This Row],[Tech Start Date]]&lt;1/1/1990,"",IF(Main[[#This Row],[Class]]="C",WORKDAY(Main[[#This Row],[Tech Start Date]],19),IF(Main[[#This Row],[Class]]="B", WORKDAY(Main[[#This Row],[Tech Start Date]],12),IF(Main[[#This Row],[Class]]="A",WORKDAY(Main[[#This Row],[Tech Start Date]],4),""))))</f>
        <v/>
      </c>
      <c r="O451" s="77" t="str">
        <f>IF(Main[[#This Row],[Tech Start Date]]&lt;1/1/1990,"",IF(Main[[#This Row],[Class]]="C",WORKDAY(Main[[#This Row],[Tech Start Date]],23),IF(Main[[#This Row],[Class]]="B", WORKDAY(Main[[#This Row],[Tech Start Date]],15),IF(Main[[#This Row],[Class]]="A",WORKDAY(Main[[#This Row],[Tech Start Date]],5),""))))</f>
        <v/>
      </c>
      <c r="P451" s="77" t="str">
        <f>IF(Main[[#This Row],[Tech Start Date]]&lt;1/1/1990,"",IF(Main[[#This Row],[Class]]="C",WORKDAY(Main[[#This Row],[Tech Start Date]],28),IF(Main[[#This Row],[Class]]="B", WORKDAY(Main[[#This Row],[Tech Start Date]],19),IF(Main[[#This Row],[Class]]="A",WORKDAY(Main[[#This Row],[Tech Start Date]],9),""))))</f>
        <v/>
      </c>
      <c r="Q451" s="74">
        <v>40787</v>
      </c>
      <c r="R451" s="74"/>
      <c r="S451" s="72" t="s">
        <v>6</v>
      </c>
      <c r="T451" s="80" t="s">
        <v>4</v>
      </c>
      <c r="U451" s="72" t="s">
        <v>29</v>
      </c>
      <c r="V451" s="72" t="s">
        <v>1932</v>
      </c>
      <c r="W451" s="72" t="s">
        <v>4</v>
      </c>
      <c r="X451" s="72" t="s">
        <v>2906</v>
      </c>
      <c r="Y451" s="72" t="s">
        <v>3025</v>
      </c>
      <c r="Z451" s="72" t="s">
        <v>129</v>
      </c>
      <c r="AA451" s="147" t="s">
        <v>2906</v>
      </c>
    </row>
    <row r="452" spans="1:27" ht="18.600000000000001" customHeight="1">
      <c r="A452" s="140" t="str">
        <f>IF(priority(Main[[#This Row],[Comments]])&lt;&gt;0, priority(Main[[#This Row],[Comments]]),"")</f>
        <v/>
      </c>
      <c r="B452" s="90" t="s">
        <v>1680</v>
      </c>
      <c r="C452" s="72" t="s">
        <v>4</v>
      </c>
      <c r="D452" s="73" t="s">
        <v>735</v>
      </c>
      <c r="E452" s="74"/>
      <c r="F452" s="74"/>
      <c r="G452" s="75" t="str">
        <f>IF(stdProdLT(Main[[#This Row],[Comments]])=0.1,"N/A",IF(stdProdLT(Main[[#This Row],[Comments]])=0,"",stdProdLT(Main[[#This Row],[Comments]])))</f>
        <v/>
      </c>
      <c r="H452" s="76" t="str">
        <f>IF(AND(Main[[#This Row],[In Stock Date]]&lt;&gt;"",Main[[#This Row],[Revised Due Date]]&lt;&gt;""),Main[[#This Row],[In Stock Date]]-Main[[#This Row],[Revised Due Date]],"")</f>
        <v/>
      </c>
      <c r="I452" s="72" t="s">
        <v>905</v>
      </c>
      <c r="J452" s="72" t="s">
        <v>52</v>
      </c>
      <c r="K452" s="72" t="s">
        <v>1941</v>
      </c>
      <c r="L452" s="74"/>
      <c r="M452" s="77" t="str">
        <f>IF(Main[[#This Row],[Tech Start Date]]&lt;1/1/1990,"",IF(Main[[#This Row],[Class]]="C",WORKDAY(Main[[#This Row],[Tech Start Date]],9),IF(Main[[#This Row],[Class]]="B", WORKDAY(Main[[#This Row],[Tech Start Date]],6),IF(Main[[#This Row],[Class]]="A",WORKDAY(Main[[#This Row],[Tech Start Date]],2),""))))</f>
        <v/>
      </c>
      <c r="N452" s="77" t="str">
        <f>IF(Main[[#This Row],[Tech Start Date]]&lt;1/1/1990,"",IF(Main[[#This Row],[Class]]="C",WORKDAY(Main[[#This Row],[Tech Start Date]],19),IF(Main[[#This Row],[Class]]="B", WORKDAY(Main[[#This Row],[Tech Start Date]],12),IF(Main[[#This Row],[Class]]="A",WORKDAY(Main[[#This Row],[Tech Start Date]],4),""))))</f>
        <v/>
      </c>
      <c r="O452" s="77" t="str">
        <f>IF(Main[[#This Row],[Tech Start Date]]&lt;1/1/1990,"",IF(Main[[#This Row],[Class]]="C",WORKDAY(Main[[#This Row],[Tech Start Date]],23),IF(Main[[#This Row],[Class]]="B", WORKDAY(Main[[#This Row],[Tech Start Date]],15),IF(Main[[#This Row],[Class]]="A",WORKDAY(Main[[#This Row],[Tech Start Date]],5),""))))</f>
        <v/>
      </c>
      <c r="P452" s="77" t="str">
        <f>IF(Main[[#This Row],[Tech Start Date]]&lt;1/1/1990,"",IF(Main[[#This Row],[Class]]="C",WORKDAY(Main[[#This Row],[Tech Start Date]],28),IF(Main[[#This Row],[Class]]="B", WORKDAY(Main[[#This Row],[Tech Start Date]],19),IF(Main[[#This Row],[Class]]="A",WORKDAY(Main[[#This Row],[Tech Start Date]],9),""))))</f>
        <v/>
      </c>
      <c r="Q452" s="74">
        <v>40581</v>
      </c>
      <c r="R452" s="74"/>
      <c r="S452" s="72" t="s">
        <v>6</v>
      </c>
      <c r="T452" s="80" t="s">
        <v>4</v>
      </c>
      <c r="U452" s="72" t="s">
        <v>14</v>
      </c>
      <c r="V452" s="72" t="s">
        <v>1935</v>
      </c>
      <c r="W452" s="72" t="s">
        <v>1936</v>
      </c>
      <c r="X452" s="72" t="s">
        <v>2903</v>
      </c>
      <c r="Y452" s="72" t="s">
        <v>3019</v>
      </c>
      <c r="Z452" s="72" t="s">
        <v>44</v>
      </c>
      <c r="AA452" s="147" t="s">
        <v>2903</v>
      </c>
    </row>
    <row r="453" spans="1:27" ht="18.600000000000001" customHeight="1">
      <c r="A453" s="140" t="str">
        <f>IF(priority(Main[[#This Row],[Comments]])&lt;&gt;0, priority(Main[[#This Row],[Comments]]),"")</f>
        <v/>
      </c>
      <c r="B453" s="90" t="s">
        <v>1344</v>
      </c>
      <c r="C453" s="72" t="s">
        <v>31</v>
      </c>
      <c r="D453" s="73" t="s">
        <v>389</v>
      </c>
      <c r="E453" s="74"/>
      <c r="F453" s="74"/>
      <c r="G453" s="75" t="str">
        <f>IF(stdProdLT(Main[[#This Row],[Comments]])=0.1,"N/A",IF(stdProdLT(Main[[#This Row],[Comments]])=0,"",stdProdLT(Main[[#This Row],[Comments]])))</f>
        <v/>
      </c>
      <c r="H453" s="76" t="str">
        <f>IF(AND(Main[[#This Row],[In Stock Date]]&lt;&gt;"",Main[[#This Row],[Revised Due Date]]&lt;&gt;""),Main[[#This Row],[In Stock Date]]-Main[[#This Row],[Revised Due Date]],"")</f>
        <v/>
      </c>
      <c r="I453" s="72" t="s">
        <v>4</v>
      </c>
      <c r="J453" s="72" t="s">
        <v>4</v>
      </c>
      <c r="K453" s="72" t="s">
        <v>4</v>
      </c>
      <c r="L453" s="74"/>
      <c r="M453" s="77" t="str">
        <f>IF(Main[[#This Row],[Tech Start Date]]&lt;1/1/1990,"",IF(Main[[#This Row],[Class]]="C",WORKDAY(Main[[#This Row],[Tech Start Date]],9),IF(Main[[#This Row],[Class]]="B", WORKDAY(Main[[#This Row],[Tech Start Date]],6),IF(Main[[#This Row],[Class]]="A",WORKDAY(Main[[#This Row],[Tech Start Date]],2),""))))</f>
        <v/>
      </c>
      <c r="N453" s="77" t="str">
        <f>IF(Main[[#This Row],[Tech Start Date]]&lt;1/1/1990,"",IF(Main[[#This Row],[Class]]="C",WORKDAY(Main[[#This Row],[Tech Start Date]],19),IF(Main[[#This Row],[Class]]="B", WORKDAY(Main[[#This Row],[Tech Start Date]],12),IF(Main[[#This Row],[Class]]="A",WORKDAY(Main[[#This Row],[Tech Start Date]],4),""))))</f>
        <v/>
      </c>
      <c r="O453" s="77" t="str">
        <f>IF(Main[[#This Row],[Tech Start Date]]&lt;1/1/1990,"",IF(Main[[#This Row],[Class]]="C",WORKDAY(Main[[#This Row],[Tech Start Date]],23),IF(Main[[#This Row],[Class]]="B", WORKDAY(Main[[#This Row],[Tech Start Date]],15),IF(Main[[#This Row],[Class]]="A",WORKDAY(Main[[#This Row],[Tech Start Date]],5),""))))</f>
        <v/>
      </c>
      <c r="P453" s="77" t="str">
        <f>IF(Main[[#This Row],[Tech Start Date]]&lt;1/1/1990,"",IF(Main[[#This Row],[Class]]="C",WORKDAY(Main[[#This Row],[Tech Start Date]],28),IF(Main[[#This Row],[Class]]="B", WORKDAY(Main[[#This Row],[Tech Start Date]],19),IF(Main[[#This Row],[Class]]="A",WORKDAY(Main[[#This Row],[Tech Start Date]],9),""))))</f>
        <v/>
      </c>
      <c r="Q453" s="74">
        <v>40318</v>
      </c>
      <c r="R453" s="74"/>
      <c r="S453" s="72" t="s">
        <v>11</v>
      </c>
      <c r="T453" s="80" t="s">
        <v>4</v>
      </c>
      <c r="U453" s="72" t="s">
        <v>14</v>
      </c>
      <c r="V453" s="72" t="s">
        <v>1935</v>
      </c>
      <c r="W453" s="72" t="s">
        <v>1934</v>
      </c>
      <c r="X453" s="72" t="s">
        <v>2914</v>
      </c>
      <c r="Y453" s="72" t="s">
        <v>4</v>
      </c>
      <c r="Z453" s="72" t="s">
        <v>4</v>
      </c>
      <c r="AA453" s="147" t="s">
        <v>2914</v>
      </c>
    </row>
    <row r="454" spans="1:27" ht="18.600000000000001" customHeight="1">
      <c r="A454" s="140" t="str">
        <f>IF(priority(Main[[#This Row],[Comments]])&lt;&gt;0, priority(Main[[#This Row],[Comments]]),"")</f>
        <v/>
      </c>
      <c r="B454" s="124" t="s">
        <v>1345</v>
      </c>
      <c r="C454" s="117" t="s">
        <v>31</v>
      </c>
      <c r="D454" s="118" t="s">
        <v>390</v>
      </c>
      <c r="E454" s="119"/>
      <c r="F454" s="119"/>
      <c r="G454" s="120" t="str">
        <f>IF(stdProdLT(Main[[#This Row],[Comments]])=0.1,"N/A",IF(stdProdLT(Main[[#This Row],[Comments]])=0,"",stdProdLT(Main[[#This Row],[Comments]])))</f>
        <v/>
      </c>
      <c r="H454" s="121" t="str">
        <f>IF(AND(Main[[#This Row],[In Stock Date]]&lt;&gt;"",Main[[#This Row],[Revised Due Date]]&lt;&gt;""),Main[[#This Row],[In Stock Date]]-Main[[#This Row],[Revised Due Date]],"")</f>
        <v/>
      </c>
      <c r="I454" s="117" t="s">
        <v>4</v>
      </c>
      <c r="J454" s="117" t="s">
        <v>4</v>
      </c>
      <c r="K454" s="117" t="s">
        <v>4</v>
      </c>
      <c r="L454" s="119"/>
      <c r="M454" s="122" t="str">
        <f>IF(Main[[#This Row],[Tech Start Date]]&lt;1/1/1990,"",IF(Main[[#This Row],[Class]]="C",WORKDAY(Main[[#This Row],[Tech Start Date]],9),IF(Main[[#This Row],[Class]]="B", WORKDAY(Main[[#This Row],[Tech Start Date]],6),IF(Main[[#This Row],[Class]]="A",WORKDAY(Main[[#This Row],[Tech Start Date]],2),""))))</f>
        <v/>
      </c>
      <c r="N454" s="122" t="str">
        <f>IF(Main[[#This Row],[Tech Start Date]]&lt;1/1/1990,"",IF(Main[[#This Row],[Class]]="C",WORKDAY(Main[[#This Row],[Tech Start Date]],19),IF(Main[[#This Row],[Class]]="B", WORKDAY(Main[[#This Row],[Tech Start Date]],12),IF(Main[[#This Row],[Class]]="A",WORKDAY(Main[[#This Row],[Tech Start Date]],4),""))))</f>
        <v/>
      </c>
      <c r="O454" s="122" t="str">
        <f>IF(Main[[#This Row],[Tech Start Date]]&lt;1/1/1990,"",IF(Main[[#This Row],[Class]]="C",WORKDAY(Main[[#This Row],[Tech Start Date]],23),IF(Main[[#This Row],[Class]]="B", WORKDAY(Main[[#This Row],[Tech Start Date]],15),IF(Main[[#This Row],[Class]]="A",WORKDAY(Main[[#This Row],[Tech Start Date]],5),""))))</f>
        <v/>
      </c>
      <c r="P454" s="122" t="str">
        <f>IF(Main[[#This Row],[Tech Start Date]]&lt;1/1/1990,"",IF(Main[[#This Row],[Class]]="C",WORKDAY(Main[[#This Row],[Tech Start Date]],28),IF(Main[[#This Row],[Class]]="B", WORKDAY(Main[[#This Row],[Tech Start Date]],19),IF(Main[[#This Row],[Class]]="A",WORKDAY(Main[[#This Row],[Tech Start Date]],9),""))))</f>
        <v/>
      </c>
      <c r="Q454" s="119">
        <v>40318</v>
      </c>
      <c r="R454" s="119"/>
      <c r="S454" s="117" t="s">
        <v>11</v>
      </c>
      <c r="T454" s="123" t="s">
        <v>4</v>
      </c>
      <c r="U454" s="117" t="s">
        <v>14</v>
      </c>
      <c r="V454" s="117" t="s">
        <v>1942</v>
      </c>
      <c r="W454" s="117" t="s">
        <v>1943</v>
      </c>
      <c r="X454" s="117" t="s">
        <v>2914</v>
      </c>
      <c r="Y454" s="117" t="s">
        <v>4</v>
      </c>
      <c r="Z454" s="117" t="s">
        <v>4</v>
      </c>
      <c r="AA454" s="147" t="s">
        <v>2914</v>
      </c>
    </row>
    <row r="455" spans="1:27" ht="18.600000000000001" customHeight="1">
      <c r="A455" s="140" t="str">
        <f>IF(priority(Main[[#This Row],[Comments]])&lt;&gt;0, priority(Main[[#This Row],[Comments]]),"")</f>
        <v/>
      </c>
      <c r="B455" s="90" t="s">
        <v>2401</v>
      </c>
      <c r="C455" s="72" t="s">
        <v>4</v>
      </c>
      <c r="D455" s="73" t="s">
        <v>2402</v>
      </c>
      <c r="E455" s="74"/>
      <c r="F455" s="74"/>
      <c r="G455" s="75" t="str">
        <f>IF(stdProdLT(Main[[#This Row],[Comments]])=0.1,"N/A",IF(stdProdLT(Main[[#This Row],[Comments]])=0,"",stdProdLT(Main[[#This Row],[Comments]])))</f>
        <v/>
      </c>
      <c r="H455" s="76" t="str">
        <f>IF(AND(Main[[#This Row],[In Stock Date]]&lt;&gt;"",Main[[#This Row],[Revised Due Date]]&lt;&gt;""),Main[[#This Row],[In Stock Date]]-Main[[#This Row],[Revised Due Date]],"")</f>
        <v/>
      </c>
      <c r="I455" s="72" t="s">
        <v>4</v>
      </c>
      <c r="J455" s="72" t="s">
        <v>4</v>
      </c>
      <c r="K455" s="72" t="s">
        <v>4</v>
      </c>
      <c r="L455" s="74"/>
      <c r="M455" s="77" t="str">
        <f>IF(Main[[#This Row],[Tech Start Date]]&lt;1/1/1990,"",IF(Main[[#This Row],[Class]]="C",WORKDAY(Main[[#This Row],[Tech Start Date]],9),IF(Main[[#This Row],[Class]]="B", WORKDAY(Main[[#This Row],[Tech Start Date]],6),IF(Main[[#This Row],[Class]]="A",WORKDAY(Main[[#This Row],[Tech Start Date]],2),""))))</f>
        <v/>
      </c>
      <c r="N455" s="77" t="str">
        <f>IF(Main[[#This Row],[Tech Start Date]]&lt;1/1/1990,"",IF(Main[[#This Row],[Class]]="C",WORKDAY(Main[[#This Row],[Tech Start Date]],19),IF(Main[[#This Row],[Class]]="B", WORKDAY(Main[[#This Row],[Tech Start Date]],12),IF(Main[[#This Row],[Class]]="A",WORKDAY(Main[[#This Row],[Tech Start Date]],4),""))))</f>
        <v/>
      </c>
      <c r="O455" s="77" t="str">
        <f>IF(Main[[#This Row],[Tech Start Date]]&lt;1/1/1990,"",IF(Main[[#This Row],[Class]]="C",WORKDAY(Main[[#This Row],[Tech Start Date]],23),IF(Main[[#This Row],[Class]]="B", WORKDAY(Main[[#This Row],[Tech Start Date]],15),IF(Main[[#This Row],[Class]]="A",WORKDAY(Main[[#This Row],[Tech Start Date]],5),""))))</f>
        <v/>
      </c>
      <c r="P455" s="77" t="str">
        <f>IF(Main[[#This Row],[Tech Start Date]]&lt;1/1/1990,"",IF(Main[[#This Row],[Class]]="C",WORKDAY(Main[[#This Row],[Tech Start Date]],28),IF(Main[[#This Row],[Class]]="B", WORKDAY(Main[[#This Row],[Tech Start Date]],19),IF(Main[[#This Row],[Class]]="A",WORKDAY(Main[[#This Row],[Tech Start Date]],9),""))))</f>
        <v/>
      </c>
      <c r="Q455" s="74"/>
      <c r="R455" s="74"/>
      <c r="S455" s="72" t="s">
        <v>11</v>
      </c>
      <c r="T455" s="80" t="s">
        <v>4</v>
      </c>
      <c r="U455" s="72" t="s">
        <v>14</v>
      </c>
      <c r="V455" s="72" t="s">
        <v>1933</v>
      </c>
      <c r="W455" s="72" t="s">
        <v>4</v>
      </c>
      <c r="X455" s="72" t="s">
        <v>2278</v>
      </c>
      <c r="Y455" s="72" t="s">
        <v>4</v>
      </c>
      <c r="Z455" s="72" t="s">
        <v>4</v>
      </c>
      <c r="AA455" s="147" t="s">
        <v>4</v>
      </c>
    </row>
    <row r="456" spans="1:27" ht="18.600000000000001" customHeight="1">
      <c r="A456" s="140" t="str">
        <f>IF(priority(Main[[#This Row],[Comments]])&lt;&gt;0, priority(Main[[#This Row],[Comments]]),"")</f>
        <v/>
      </c>
      <c r="B456" s="90" t="s">
        <v>1346</v>
      </c>
      <c r="C456" s="72" t="s">
        <v>31</v>
      </c>
      <c r="D456" s="73" t="s">
        <v>391</v>
      </c>
      <c r="E456" s="74"/>
      <c r="F456" s="74"/>
      <c r="G456" s="75" t="str">
        <f>IF(stdProdLT(Main[[#This Row],[Comments]])=0.1,"N/A",IF(stdProdLT(Main[[#This Row],[Comments]])=0,"",stdProdLT(Main[[#This Row],[Comments]])))</f>
        <v/>
      </c>
      <c r="H456" s="76" t="str">
        <f>IF(AND(Main[[#This Row],[In Stock Date]]&lt;&gt;"",Main[[#This Row],[Revised Due Date]]&lt;&gt;""),Main[[#This Row],[In Stock Date]]-Main[[#This Row],[Revised Due Date]],"")</f>
        <v/>
      </c>
      <c r="I456" s="72" t="s">
        <v>4</v>
      </c>
      <c r="J456" s="72" t="s">
        <v>4</v>
      </c>
      <c r="K456" s="72" t="s">
        <v>4</v>
      </c>
      <c r="L456" s="74"/>
      <c r="M456" s="77" t="str">
        <f>IF(Main[[#This Row],[Tech Start Date]]&lt;1/1/1990,"",IF(Main[[#This Row],[Class]]="C",WORKDAY(Main[[#This Row],[Tech Start Date]],9),IF(Main[[#This Row],[Class]]="B", WORKDAY(Main[[#This Row],[Tech Start Date]],6),IF(Main[[#This Row],[Class]]="A",WORKDAY(Main[[#This Row],[Tech Start Date]],2),""))))</f>
        <v/>
      </c>
      <c r="N456" s="77" t="str">
        <f>IF(Main[[#This Row],[Tech Start Date]]&lt;1/1/1990,"",IF(Main[[#This Row],[Class]]="C",WORKDAY(Main[[#This Row],[Tech Start Date]],19),IF(Main[[#This Row],[Class]]="B", WORKDAY(Main[[#This Row],[Tech Start Date]],12),IF(Main[[#This Row],[Class]]="A",WORKDAY(Main[[#This Row],[Tech Start Date]],4),""))))</f>
        <v/>
      </c>
      <c r="O456" s="77" t="str">
        <f>IF(Main[[#This Row],[Tech Start Date]]&lt;1/1/1990,"",IF(Main[[#This Row],[Class]]="C",WORKDAY(Main[[#This Row],[Tech Start Date]],23),IF(Main[[#This Row],[Class]]="B", WORKDAY(Main[[#This Row],[Tech Start Date]],15),IF(Main[[#This Row],[Class]]="A",WORKDAY(Main[[#This Row],[Tech Start Date]],5),""))))</f>
        <v/>
      </c>
      <c r="P456" s="77" t="str">
        <f>IF(Main[[#This Row],[Tech Start Date]]&lt;1/1/1990,"",IF(Main[[#This Row],[Class]]="C",WORKDAY(Main[[#This Row],[Tech Start Date]],28),IF(Main[[#This Row],[Class]]="B", WORKDAY(Main[[#This Row],[Tech Start Date]],19),IF(Main[[#This Row],[Class]]="A",WORKDAY(Main[[#This Row],[Tech Start Date]],9),""))))</f>
        <v/>
      </c>
      <c r="Q456" s="74">
        <v>40318</v>
      </c>
      <c r="R456" s="74"/>
      <c r="S456" s="72" t="s">
        <v>11</v>
      </c>
      <c r="T456" s="80" t="s">
        <v>4</v>
      </c>
      <c r="U456" s="72" t="s">
        <v>14</v>
      </c>
      <c r="V456" s="72" t="s">
        <v>1942</v>
      </c>
      <c r="W456" s="72" t="s">
        <v>1934</v>
      </c>
      <c r="X456" s="72" t="s">
        <v>2914</v>
      </c>
      <c r="Y456" s="72" t="s">
        <v>4</v>
      </c>
      <c r="Z456" s="72" t="s">
        <v>4</v>
      </c>
      <c r="AA456" s="147" t="s">
        <v>2914</v>
      </c>
    </row>
    <row r="457" spans="1:27" ht="18.600000000000001" customHeight="1">
      <c r="A457" s="140" t="str">
        <f>IF(priority(Main[[#This Row],[Comments]])&lt;&gt;0, priority(Main[[#This Row],[Comments]]),"")</f>
        <v/>
      </c>
      <c r="B457" s="90" t="s">
        <v>1347</v>
      </c>
      <c r="C457" s="72" t="s">
        <v>31</v>
      </c>
      <c r="D457" s="73" t="s">
        <v>392</v>
      </c>
      <c r="E457" s="74"/>
      <c r="F457" s="74">
        <v>40288</v>
      </c>
      <c r="G457" s="75" t="str">
        <f>IF(stdProdLT(Main[[#This Row],[Comments]])=0.1,"N/A",IF(stdProdLT(Main[[#This Row],[Comments]])=0,"",stdProdLT(Main[[#This Row],[Comments]])))</f>
        <v/>
      </c>
      <c r="H457" s="76" t="str">
        <f>IF(AND(Main[[#This Row],[In Stock Date]]&lt;&gt;"",Main[[#This Row],[Revised Due Date]]&lt;&gt;""),Main[[#This Row],[In Stock Date]]-Main[[#This Row],[Revised Due Date]],"")</f>
        <v/>
      </c>
      <c r="I457" s="72" t="s">
        <v>4</v>
      </c>
      <c r="J457" s="72" t="s">
        <v>4</v>
      </c>
      <c r="K457" s="72" t="s">
        <v>4</v>
      </c>
      <c r="L457" s="74"/>
      <c r="M457" s="77" t="str">
        <f>IF(Main[[#This Row],[Tech Start Date]]&lt;1/1/1990,"",IF(Main[[#This Row],[Class]]="C",WORKDAY(Main[[#This Row],[Tech Start Date]],9),IF(Main[[#This Row],[Class]]="B", WORKDAY(Main[[#This Row],[Tech Start Date]],6),IF(Main[[#This Row],[Class]]="A",WORKDAY(Main[[#This Row],[Tech Start Date]],2),""))))</f>
        <v/>
      </c>
      <c r="N457" s="77" t="str">
        <f>IF(Main[[#This Row],[Tech Start Date]]&lt;1/1/1990,"",IF(Main[[#This Row],[Class]]="C",WORKDAY(Main[[#This Row],[Tech Start Date]],19),IF(Main[[#This Row],[Class]]="B", WORKDAY(Main[[#This Row],[Tech Start Date]],12),IF(Main[[#This Row],[Class]]="A",WORKDAY(Main[[#This Row],[Tech Start Date]],4),""))))</f>
        <v/>
      </c>
      <c r="O457" s="77" t="str">
        <f>IF(Main[[#This Row],[Tech Start Date]]&lt;1/1/1990,"",IF(Main[[#This Row],[Class]]="C",WORKDAY(Main[[#This Row],[Tech Start Date]],23),IF(Main[[#This Row],[Class]]="B", WORKDAY(Main[[#This Row],[Tech Start Date]],15),IF(Main[[#This Row],[Class]]="A",WORKDAY(Main[[#This Row],[Tech Start Date]],5),""))))</f>
        <v/>
      </c>
      <c r="P457" s="77" t="str">
        <f>IF(Main[[#This Row],[Tech Start Date]]&lt;1/1/1990,"",IF(Main[[#This Row],[Class]]="C",WORKDAY(Main[[#This Row],[Tech Start Date]],28),IF(Main[[#This Row],[Class]]="B", WORKDAY(Main[[#This Row],[Tech Start Date]],19),IF(Main[[#This Row],[Class]]="A",WORKDAY(Main[[#This Row],[Tech Start Date]],9),""))))</f>
        <v/>
      </c>
      <c r="Q457" s="74">
        <v>40106</v>
      </c>
      <c r="R457" s="74"/>
      <c r="S457" s="72" t="s">
        <v>11</v>
      </c>
      <c r="T457" s="80" t="s">
        <v>4</v>
      </c>
      <c r="U457" s="72" t="s">
        <v>14</v>
      </c>
      <c r="V457" s="72" t="s">
        <v>1935</v>
      </c>
      <c r="W457" s="72" t="s">
        <v>1943</v>
      </c>
      <c r="X457" s="72" t="s">
        <v>2914</v>
      </c>
      <c r="Y457" s="72" t="s">
        <v>4</v>
      </c>
      <c r="Z457" s="72" t="s">
        <v>4</v>
      </c>
      <c r="AA457" s="147" t="s">
        <v>2914</v>
      </c>
    </row>
    <row r="458" spans="1:27" ht="18.600000000000001" customHeight="1">
      <c r="A458" s="140" t="str">
        <f>IF(priority(Main[[#This Row],[Comments]])&lt;&gt;0, priority(Main[[#This Row],[Comments]]),"")</f>
        <v/>
      </c>
      <c r="B458" s="90" t="s">
        <v>1920</v>
      </c>
      <c r="C458" s="72" t="s">
        <v>281</v>
      </c>
      <c r="D458" s="73" t="s">
        <v>965</v>
      </c>
      <c r="E458" s="74"/>
      <c r="F458" s="74">
        <v>40543</v>
      </c>
      <c r="G458" s="75" t="str">
        <f>IF(stdProdLT(Main[[#This Row],[Comments]])=0.1,"N/A",IF(stdProdLT(Main[[#This Row],[Comments]])=0,"",stdProdLT(Main[[#This Row],[Comments]])))</f>
        <v/>
      </c>
      <c r="H458" s="76">
        <f>IF(AND(Main[[#This Row],[In Stock Date]]&lt;&gt;"",Main[[#This Row],[Revised Due Date]]&lt;&gt;""),Main[[#This Row],[In Stock Date]]-Main[[#This Row],[Revised Due Date]],"")</f>
        <v>-200</v>
      </c>
      <c r="I458" s="72" t="s">
        <v>165</v>
      </c>
      <c r="J458" s="72" t="s">
        <v>4</v>
      </c>
      <c r="K458" s="81" t="s">
        <v>1944</v>
      </c>
      <c r="L458" s="74"/>
      <c r="M458" s="77" t="str">
        <f>IF(Main[[#This Row],[Tech Start Date]]&lt;1/1/1990,"",IF(Main[[#This Row],[Class]]="C",WORKDAY(Main[[#This Row],[Tech Start Date]],9),IF(Main[[#This Row],[Class]]="B", WORKDAY(Main[[#This Row],[Tech Start Date]],6),IF(Main[[#This Row],[Class]]="A",WORKDAY(Main[[#This Row],[Tech Start Date]],2),""))))</f>
        <v/>
      </c>
      <c r="N458" s="77" t="str">
        <f>IF(Main[[#This Row],[Tech Start Date]]&lt;1/1/1990,"",IF(Main[[#This Row],[Class]]="C",WORKDAY(Main[[#This Row],[Tech Start Date]],19),IF(Main[[#This Row],[Class]]="B", WORKDAY(Main[[#This Row],[Tech Start Date]],12),IF(Main[[#This Row],[Class]]="A",WORKDAY(Main[[#This Row],[Tech Start Date]],4),""))))</f>
        <v/>
      </c>
      <c r="O458" s="77" t="str">
        <f>IF(Main[[#This Row],[Tech Start Date]]&lt;1/1/1990,"",IF(Main[[#This Row],[Class]]="C",WORKDAY(Main[[#This Row],[Tech Start Date]],23),IF(Main[[#This Row],[Class]]="B", WORKDAY(Main[[#This Row],[Tech Start Date]],15),IF(Main[[#This Row],[Class]]="A",WORKDAY(Main[[#This Row],[Tech Start Date]],5),""))))</f>
        <v/>
      </c>
      <c r="P458" s="77" t="str">
        <f>IF(Main[[#This Row],[Tech Start Date]]&lt;1/1/1990,"",IF(Main[[#This Row],[Class]]="C",WORKDAY(Main[[#This Row],[Tech Start Date]],28),IF(Main[[#This Row],[Class]]="B", WORKDAY(Main[[#This Row],[Tech Start Date]],19),IF(Main[[#This Row],[Class]]="A",WORKDAY(Main[[#This Row],[Tech Start Date]],9),""))))</f>
        <v/>
      </c>
      <c r="Q458" s="74">
        <v>40543</v>
      </c>
      <c r="R458" s="74">
        <v>40743</v>
      </c>
      <c r="S458" s="72" t="s">
        <v>17</v>
      </c>
      <c r="T458" s="80" t="s">
        <v>4</v>
      </c>
      <c r="U458" s="72" t="s">
        <v>14</v>
      </c>
      <c r="V458" s="72" t="s">
        <v>1935</v>
      </c>
      <c r="W458" s="72" t="s">
        <v>1934</v>
      </c>
      <c r="X458" s="72" t="s">
        <v>65</v>
      </c>
      <c r="Y458" s="72" t="s">
        <v>4</v>
      </c>
      <c r="Z458" s="72" t="s">
        <v>420</v>
      </c>
      <c r="AA458" s="147" t="s">
        <v>65</v>
      </c>
    </row>
    <row r="459" spans="1:27" ht="18.600000000000001" customHeight="1">
      <c r="A459" s="140" t="str">
        <f>IF(priority(Main[[#This Row],[Comments]])&lt;&gt;0, priority(Main[[#This Row],[Comments]]),"")</f>
        <v/>
      </c>
      <c r="B459" s="90" t="s">
        <v>1322</v>
      </c>
      <c r="C459" s="72" t="s">
        <v>4</v>
      </c>
      <c r="D459" s="73" t="s">
        <v>393</v>
      </c>
      <c r="E459" s="74"/>
      <c r="F459" s="74"/>
      <c r="G459" s="75" t="str">
        <f>IF(stdProdLT(Main[[#This Row],[Comments]])=0.1,"N/A",IF(stdProdLT(Main[[#This Row],[Comments]])=0,"",stdProdLT(Main[[#This Row],[Comments]])))</f>
        <v/>
      </c>
      <c r="H459" s="76" t="str">
        <f>IF(AND(Main[[#This Row],[In Stock Date]]&lt;&gt;"",Main[[#This Row],[Revised Due Date]]&lt;&gt;""),Main[[#This Row],[In Stock Date]]-Main[[#This Row],[Revised Due Date]],"")</f>
        <v/>
      </c>
      <c r="I459" s="72" t="s">
        <v>4</v>
      </c>
      <c r="J459" s="72" t="s">
        <v>4</v>
      </c>
      <c r="K459" s="81" t="s">
        <v>4</v>
      </c>
      <c r="L459" s="74"/>
      <c r="M459" s="77" t="str">
        <f>IF(Main[[#This Row],[Tech Start Date]]&lt;1/1/1990,"",IF(Main[[#This Row],[Class]]="C",WORKDAY(Main[[#This Row],[Tech Start Date]],9),IF(Main[[#This Row],[Class]]="B", WORKDAY(Main[[#This Row],[Tech Start Date]],6),IF(Main[[#This Row],[Class]]="A",WORKDAY(Main[[#This Row],[Tech Start Date]],2),""))))</f>
        <v/>
      </c>
      <c r="N459" s="77" t="str">
        <f>IF(Main[[#This Row],[Tech Start Date]]&lt;1/1/1990,"",IF(Main[[#This Row],[Class]]="C",WORKDAY(Main[[#This Row],[Tech Start Date]],19),IF(Main[[#This Row],[Class]]="B", WORKDAY(Main[[#This Row],[Tech Start Date]],12),IF(Main[[#This Row],[Class]]="A",WORKDAY(Main[[#This Row],[Tech Start Date]],4),""))))</f>
        <v/>
      </c>
      <c r="O459" s="77" t="str">
        <f>IF(Main[[#This Row],[Tech Start Date]]&lt;1/1/1990,"",IF(Main[[#This Row],[Class]]="C",WORKDAY(Main[[#This Row],[Tech Start Date]],23),IF(Main[[#This Row],[Class]]="B", WORKDAY(Main[[#This Row],[Tech Start Date]],15),IF(Main[[#This Row],[Class]]="A",WORKDAY(Main[[#This Row],[Tech Start Date]],5),""))))</f>
        <v/>
      </c>
      <c r="P459" s="77" t="str">
        <f>IF(Main[[#This Row],[Tech Start Date]]&lt;1/1/1990,"",IF(Main[[#This Row],[Class]]="C",WORKDAY(Main[[#This Row],[Tech Start Date]],28),IF(Main[[#This Row],[Class]]="B", WORKDAY(Main[[#This Row],[Tech Start Date]],19),IF(Main[[#This Row],[Class]]="A",WORKDAY(Main[[#This Row],[Tech Start Date]],9),""))))</f>
        <v/>
      </c>
      <c r="Q459" s="74"/>
      <c r="R459" s="74"/>
      <c r="S459" s="72" t="s">
        <v>4</v>
      </c>
      <c r="T459" s="80" t="s">
        <v>4</v>
      </c>
      <c r="U459" s="72" t="s">
        <v>14</v>
      </c>
      <c r="V459" s="72" t="s">
        <v>1933</v>
      </c>
      <c r="W459" s="72" t="s">
        <v>4</v>
      </c>
      <c r="X459" s="72" t="s">
        <v>933</v>
      </c>
      <c r="Y459" s="72" t="s">
        <v>4</v>
      </c>
      <c r="Z459" s="72" t="s">
        <v>4</v>
      </c>
      <c r="AA459" s="147" t="s">
        <v>4</v>
      </c>
    </row>
    <row r="460" spans="1:27" ht="18.600000000000001" customHeight="1">
      <c r="A460" s="140" t="str">
        <f>IF(priority(Main[[#This Row],[Comments]])&lt;&gt;0, priority(Main[[#This Row],[Comments]]),"")</f>
        <v/>
      </c>
      <c r="B460" s="137" t="s">
        <v>1323</v>
      </c>
      <c r="C460" s="130" t="s">
        <v>394</v>
      </c>
      <c r="D460" s="131" t="s">
        <v>395</v>
      </c>
      <c r="E460" s="132"/>
      <c r="F460" s="132">
        <v>40512</v>
      </c>
      <c r="G460" s="133" t="str">
        <f>IF(stdProdLT(Main[[#This Row],[Comments]])=0.1,"N/A",IF(stdProdLT(Main[[#This Row],[Comments]])=0,"",stdProdLT(Main[[#This Row],[Comments]])))</f>
        <v/>
      </c>
      <c r="H460" s="134" t="str">
        <f>IF(AND(Main[[#This Row],[In Stock Date]]&lt;&gt;"",Main[[#This Row],[Revised Due Date]]&lt;&gt;""),Main[[#This Row],[In Stock Date]]-Main[[#This Row],[Revised Due Date]],"")</f>
        <v/>
      </c>
      <c r="I460" s="130" t="s">
        <v>4</v>
      </c>
      <c r="J460" s="130" t="s">
        <v>4</v>
      </c>
      <c r="K460" s="130" t="s">
        <v>4</v>
      </c>
      <c r="L460" s="132"/>
      <c r="M460" s="135" t="str">
        <f>IF(Main[[#This Row],[Tech Start Date]]&lt;1/1/1990,"",IF(Main[[#This Row],[Class]]="C",WORKDAY(Main[[#This Row],[Tech Start Date]],9),IF(Main[[#This Row],[Class]]="B", WORKDAY(Main[[#This Row],[Tech Start Date]],6),IF(Main[[#This Row],[Class]]="A",WORKDAY(Main[[#This Row],[Tech Start Date]],2),""))))</f>
        <v/>
      </c>
      <c r="N460" s="135" t="str">
        <f>IF(Main[[#This Row],[Tech Start Date]]&lt;1/1/1990,"",IF(Main[[#This Row],[Class]]="C",WORKDAY(Main[[#This Row],[Tech Start Date]],19),IF(Main[[#This Row],[Class]]="B", WORKDAY(Main[[#This Row],[Tech Start Date]],12),IF(Main[[#This Row],[Class]]="A",WORKDAY(Main[[#This Row],[Tech Start Date]],4),""))))</f>
        <v/>
      </c>
      <c r="O460" s="135" t="str">
        <f>IF(Main[[#This Row],[Tech Start Date]]&lt;1/1/1990,"",IF(Main[[#This Row],[Class]]="C",WORKDAY(Main[[#This Row],[Tech Start Date]],23),IF(Main[[#This Row],[Class]]="B", WORKDAY(Main[[#This Row],[Tech Start Date]],15),IF(Main[[#This Row],[Class]]="A",WORKDAY(Main[[#This Row],[Tech Start Date]],5),""))))</f>
        <v/>
      </c>
      <c r="P460" s="135" t="str">
        <f>IF(Main[[#This Row],[Tech Start Date]]&lt;1/1/1990,"",IF(Main[[#This Row],[Class]]="C",WORKDAY(Main[[#This Row],[Tech Start Date]],28),IF(Main[[#This Row],[Class]]="B", WORKDAY(Main[[#This Row],[Tech Start Date]],19),IF(Main[[#This Row],[Class]]="A",WORKDAY(Main[[#This Row],[Tech Start Date]],9),""))))</f>
        <v/>
      </c>
      <c r="Q460" s="132">
        <v>40316</v>
      </c>
      <c r="R460" s="132"/>
      <c r="S460" s="130" t="s">
        <v>11</v>
      </c>
      <c r="T460" s="136" t="s">
        <v>4</v>
      </c>
      <c r="U460" s="130" t="s">
        <v>14</v>
      </c>
      <c r="V460" s="130" t="s">
        <v>1932</v>
      </c>
      <c r="W460" s="130" t="s">
        <v>1938</v>
      </c>
      <c r="X460" s="130" t="s">
        <v>2936</v>
      </c>
      <c r="Y460" s="130" t="s">
        <v>4</v>
      </c>
      <c r="Z460" s="130" t="s">
        <v>4</v>
      </c>
      <c r="AA460" s="147" t="s">
        <v>2936</v>
      </c>
    </row>
    <row r="461" spans="1:27" ht="18.600000000000001" customHeight="1">
      <c r="A461" s="140" t="str">
        <f>IF(priority(Main[[#This Row],[Comments]])&lt;&gt;0, priority(Main[[#This Row],[Comments]]),"")</f>
        <v/>
      </c>
      <c r="B461" s="137" t="s">
        <v>1324</v>
      </c>
      <c r="C461" s="130" t="s">
        <v>216</v>
      </c>
      <c r="D461" s="131" t="s">
        <v>396</v>
      </c>
      <c r="E461" s="132"/>
      <c r="F461" s="132">
        <v>40390</v>
      </c>
      <c r="G461" s="133" t="str">
        <f>IF(stdProdLT(Main[[#This Row],[Comments]])=0.1,"N/A",IF(stdProdLT(Main[[#This Row],[Comments]])=0,"",stdProdLT(Main[[#This Row],[Comments]])))</f>
        <v/>
      </c>
      <c r="H461" s="134" t="str">
        <f>IF(AND(Main[[#This Row],[In Stock Date]]&lt;&gt;"",Main[[#This Row],[Revised Due Date]]&lt;&gt;""),Main[[#This Row],[In Stock Date]]-Main[[#This Row],[Revised Due Date]],"")</f>
        <v/>
      </c>
      <c r="I461" s="130" t="s">
        <v>4</v>
      </c>
      <c r="J461" s="130" t="s">
        <v>4</v>
      </c>
      <c r="K461" s="130" t="s">
        <v>4</v>
      </c>
      <c r="L461" s="132"/>
      <c r="M461" s="135" t="str">
        <f>IF(Main[[#This Row],[Tech Start Date]]&lt;1/1/1990,"",IF(Main[[#This Row],[Class]]="C",WORKDAY(Main[[#This Row],[Tech Start Date]],9),IF(Main[[#This Row],[Class]]="B", WORKDAY(Main[[#This Row],[Tech Start Date]],6),IF(Main[[#This Row],[Class]]="A",WORKDAY(Main[[#This Row],[Tech Start Date]],2),""))))</f>
        <v/>
      </c>
      <c r="N461" s="135" t="str">
        <f>IF(Main[[#This Row],[Tech Start Date]]&lt;1/1/1990,"",IF(Main[[#This Row],[Class]]="C",WORKDAY(Main[[#This Row],[Tech Start Date]],19),IF(Main[[#This Row],[Class]]="B", WORKDAY(Main[[#This Row],[Tech Start Date]],12),IF(Main[[#This Row],[Class]]="A",WORKDAY(Main[[#This Row],[Tech Start Date]],4),""))))</f>
        <v/>
      </c>
      <c r="O461" s="135" t="str">
        <f>IF(Main[[#This Row],[Tech Start Date]]&lt;1/1/1990,"",IF(Main[[#This Row],[Class]]="C",WORKDAY(Main[[#This Row],[Tech Start Date]],23),IF(Main[[#This Row],[Class]]="B", WORKDAY(Main[[#This Row],[Tech Start Date]],15),IF(Main[[#This Row],[Class]]="A",WORKDAY(Main[[#This Row],[Tech Start Date]],5),""))))</f>
        <v/>
      </c>
      <c r="P461" s="135" t="str">
        <f>IF(Main[[#This Row],[Tech Start Date]]&lt;1/1/1990,"",IF(Main[[#This Row],[Class]]="C",WORKDAY(Main[[#This Row],[Tech Start Date]],28),IF(Main[[#This Row],[Class]]="B", WORKDAY(Main[[#This Row],[Tech Start Date]],19),IF(Main[[#This Row],[Class]]="A",WORKDAY(Main[[#This Row],[Tech Start Date]],9),""))))</f>
        <v/>
      </c>
      <c r="Q461" s="132">
        <v>40278</v>
      </c>
      <c r="R461" s="132"/>
      <c r="S461" s="130" t="s">
        <v>11</v>
      </c>
      <c r="T461" s="136" t="s">
        <v>4</v>
      </c>
      <c r="U461" s="130" t="s">
        <v>14</v>
      </c>
      <c r="V461" s="130" t="s">
        <v>1935</v>
      </c>
      <c r="W461" s="130" t="s">
        <v>1937</v>
      </c>
      <c r="X461" s="130" t="s">
        <v>559</v>
      </c>
      <c r="Y461" s="130" t="s">
        <v>4</v>
      </c>
      <c r="Z461" s="130" t="s">
        <v>4</v>
      </c>
      <c r="AA461" s="147" t="s">
        <v>559</v>
      </c>
    </row>
    <row r="462" spans="1:27" ht="18.600000000000001" customHeight="1">
      <c r="A462" s="144" t="str">
        <f>IF(priority(Main[[#This Row],[Comments]])&lt;&gt;0, priority(Main[[#This Row],[Comments]]),"")</f>
        <v/>
      </c>
      <c r="B462" s="137" t="s">
        <v>1325</v>
      </c>
      <c r="C462" s="130" t="s">
        <v>279</v>
      </c>
      <c r="D462" s="131" t="s">
        <v>397</v>
      </c>
      <c r="E462" s="132"/>
      <c r="F462" s="132">
        <v>40186</v>
      </c>
      <c r="G462" s="133" t="str">
        <f>IF(stdProdLT(Main[[#This Row],[Comments]])=0.1,"N/A",IF(stdProdLT(Main[[#This Row],[Comments]])=0,"",stdProdLT(Main[[#This Row],[Comments]])))</f>
        <v/>
      </c>
      <c r="H462" s="134" t="str">
        <f>IF(AND(Main[[#This Row],[In Stock Date]]&lt;&gt;"",Main[[#This Row],[Revised Due Date]]&lt;&gt;""),Main[[#This Row],[In Stock Date]]-Main[[#This Row],[Revised Due Date]],"")</f>
        <v/>
      </c>
      <c r="I462" s="130" t="s">
        <v>4</v>
      </c>
      <c r="J462" s="130" t="s">
        <v>4</v>
      </c>
      <c r="K462" s="130" t="s">
        <v>4</v>
      </c>
      <c r="L462" s="132"/>
      <c r="M462" s="135" t="str">
        <f>IF(Main[[#This Row],[Tech Start Date]]&lt;1/1/1990,"",IF(Main[[#This Row],[Class]]="C",WORKDAY(Main[[#This Row],[Tech Start Date]],9),IF(Main[[#This Row],[Class]]="B", WORKDAY(Main[[#This Row],[Tech Start Date]],6),IF(Main[[#This Row],[Class]]="A",WORKDAY(Main[[#This Row],[Tech Start Date]],2),""))))</f>
        <v/>
      </c>
      <c r="N462" s="135" t="str">
        <f>IF(Main[[#This Row],[Tech Start Date]]&lt;1/1/1990,"",IF(Main[[#This Row],[Class]]="C",WORKDAY(Main[[#This Row],[Tech Start Date]],19),IF(Main[[#This Row],[Class]]="B", WORKDAY(Main[[#This Row],[Tech Start Date]],12),IF(Main[[#This Row],[Class]]="A",WORKDAY(Main[[#This Row],[Tech Start Date]],4),""))))</f>
        <v/>
      </c>
      <c r="O462" s="135" t="str">
        <f>IF(Main[[#This Row],[Tech Start Date]]&lt;1/1/1990,"",IF(Main[[#This Row],[Class]]="C",WORKDAY(Main[[#This Row],[Tech Start Date]],23),IF(Main[[#This Row],[Class]]="B", WORKDAY(Main[[#This Row],[Tech Start Date]],15),IF(Main[[#This Row],[Class]]="A",WORKDAY(Main[[#This Row],[Tech Start Date]],5),""))))</f>
        <v/>
      </c>
      <c r="P462" s="135" t="str">
        <f>IF(Main[[#This Row],[Tech Start Date]]&lt;1/1/1990,"",IF(Main[[#This Row],[Class]]="C",WORKDAY(Main[[#This Row],[Tech Start Date]],28),IF(Main[[#This Row],[Class]]="B", WORKDAY(Main[[#This Row],[Tech Start Date]],19),IF(Main[[#This Row],[Class]]="A",WORKDAY(Main[[#This Row],[Tech Start Date]],9),""))))</f>
        <v/>
      </c>
      <c r="Q462" s="132">
        <v>40186</v>
      </c>
      <c r="R462" s="132"/>
      <c r="S462" s="130" t="s">
        <v>11</v>
      </c>
      <c r="T462" s="136" t="s">
        <v>4</v>
      </c>
      <c r="U462" s="130" t="s">
        <v>14</v>
      </c>
      <c r="V462" s="130" t="s">
        <v>1935</v>
      </c>
      <c r="W462" s="130" t="s">
        <v>1940</v>
      </c>
      <c r="X462" s="130" t="s">
        <v>2926</v>
      </c>
      <c r="Y462" s="130" t="s">
        <v>4</v>
      </c>
      <c r="Z462" s="130" t="s">
        <v>4</v>
      </c>
      <c r="AA462" s="147" t="s">
        <v>2926</v>
      </c>
    </row>
    <row r="463" spans="1:27" ht="18.600000000000001" customHeight="1">
      <c r="A463" s="140" t="str">
        <f>IF(priority(Main[[#This Row],[Comments]])&lt;&gt;0, priority(Main[[#This Row],[Comments]]),"")</f>
        <v/>
      </c>
      <c r="B463" s="137" t="s">
        <v>1326</v>
      </c>
      <c r="C463" s="130" t="s">
        <v>398</v>
      </c>
      <c r="D463" s="131" t="s">
        <v>399</v>
      </c>
      <c r="E463" s="132"/>
      <c r="F463" s="132"/>
      <c r="G463" s="133" t="str">
        <f>IF(stdProdLT(Main[[#This Row],[Comments]])=0.1,"N/A",IF(stdProdLT(Main[[#This Row],[Comments]])=0,"",stdProdLT(Main[[#This Row],[Comments]])))</f>
        <v/>
      </c>
      <c r="H463" s="134" t="str">
        <f>IF(AND(Main[[#This Row],[In Stock Date]]&lt;&gt;"",Main[[#This Row],[Revised Due Date]]&lt;&gt;""),Main[[#This Row],[In Stock Date]]-Main[[#This Row],[Revised Due Date]],"")</f>
        <v/>
      </c>
      <c r="I463" s="130" t="s">
        <v>4</v>
      </c>
      <c r="J463" s="130" t="s">
        <v>4</v>
      </c>
      <c r="K463" s="130" t="s">
        <v>4</v>
      </c>
      <c r="L463" s="132"/>
      <c r="M463" s="135" t="str">
        <f>IF(Main[[#This Row],[Tech Start Date]]&lt;1/1/1990,"",IF(Main[[#This Row],[Class]]="C",WORKDAY(Main[[#This Row],[Tech Start Date]],9),IF(Main[[#This Row],[Class]]="B", WORKDAY(Main[[#This Row],[Tech Start Date]],6),IF(Main[[#This Row],[Class]]="A",WORKDAY(Main[[#This Row],[Tech Start Date]],2),""))))</f>
        <v/>
      </c>
      <c r="N463" s="135" t="str">
        <f>IF(Main[[#This Row],[Tech Start Date]]&lt;1/1/1990,"",IF(Main[[#This Row],[Class]]="C",WORKDAY(Main[[#This Row],[Tech Start Date]],19),IF(Main[[#This Row],[Class]]="B", WORKDAY(Main[[#This Row],[Tech Start Date]],12),IF(Main[[#This Row],[Class]]="A",WORKDAY(Main[[#This Row],[Tech Start Date]],4),""))))</f>
        <v/>
      </c>
      <c r="O463" s="135" t="str">
        <f>IF(Main[[#This Row],[Tech Start Date]]&lt;1/1/1990,"",IF(Main[[#This Row],[Class]]="C",WORKDAY(Main[[#This Row],[Tech Start Date]],23),IF(Main[[#This Row],[Class]]="B", WORKDAY(Main[[#This Row],[Tech Start Date]],15),IF(Main[[#This Row],[Class]]="A",WORKDAY(Main[[#This Row],[Tech Start Date]],5),""))))</f>
        <v/>
      </c>
      <c r="P463" s="135" t="str">
        <f>IF(Main[[#This Row],[Tech Start Date]]&lt;1/1/1990,"",IF(Main[[#This Row],[Class]]="C",WORKDAY(Main[[#This Row],[Tech Start Date]],28),IF(Main[[#This Row],[Class]]="B", WORKDAY(Main[[#This Row],[Tech Start Date]],19),IF(Main[[#This Row],[Class]]="A",WORKDAY(Main[[#This Row],[Tech Start Date]],9),""))))</f>
        <v/>
      </c>
      <c r="Q463" s="132"/>
      <c r="R463" s="132"/>
      <c r="S463" s="130" t="s">
        <v>11</v>
      </c>
      <c r="T463" s="136" t="s">
        <v>4</v>
      </c>
      <c r="U463" s="130" t="s">
        <v>14</v>
      </c>
      <c r="V463" s="130" t="s">
        <v>1933</v>
      </c>
      <c r="W463" s="130" t="s">
        <v>1940</v>
      </c>
      <c r="X463" s="130" t="s">
        <v>2937</v>
      </c>
      <c r="Y463" s="130" t="s">
        <v>3078</v>
      </c>
      <c r="Z463" s="130" t="s">
        <v>4</v>
      </c>
      <c r="AA463" s="147" t="s">
        <v>2937</v>
      </c>
    </row>
    <row r="464" spans="1:27" ht="18.600000000000001" customHeight="1">
      <c r="A464" s="140" t="str">
        <f>IF(priority(Main[[#This Row],[Comments]])&lt;&gt;0, priority(Main[[#This Row],[Comments]]),"")</f>
        <v/>
      </c>
      <c r="B464" s="137" t="s">
        <v>1328</v>
      </c>
      <c r="C464" s="130" t="s">
        <v>4</v>
      </c>
      <c r="D464" s="131" t="s">
        <v>400</v>
      </c>
      <c r="E464" s="132">
        <v>40319.627523148149</v>
      </c>
      <c r="F464" s="132"/>
      <c r="G464" s="133" t="str">
        <f>IF(stdProdLT(Main[[#This Row],[Comments]])=0.1,"N/A",IF(stdProdLT(Main[[#This Row],[Comments]])=0,"",stdProdLT(Main[[#This Row],[Comments]])))</f>
        <v/>
      </c>
      <c r="H464" s="134" t="str">
        <f>IF(AND(Main[[#This Row],[In Stock Date]]&lt;&gt;"",Main[[#This Row],[Revised Due Date]]&lt;&gt;""),Main[[#This Row],[In Stock Date]]-Main[[#This Row],[Revised Due Date]],"")</f>
        <v/>
      </c>
      <c r="I464" s="130" t="s">
        <v>129</v>
      </c>
      <c r="J464" s="130" t="s">
        <v>4</v>
      </c>
      <c r="K464" s="130" t="s">
        <v>4</v>
      </c>
      <c r="L464" s="132"/>
      <c r="M464" s="135" t="str">
        <f>IF(Main[[#This Row],[Tech Start Date]]&lt;1/1/1990,"",IF(Main[[#This Row],[Class]]="C",WORKDAY(Main[[#This Row],[Tech Start Date]],9),IF(Main[[#This Row],[Class]]="B", WORKDAY(Main[[#This Row],[Tech Start Date]],6),IF(Main[[#This Row],[Class]]="A",WORKDAY(Main[[#This Row],[Tech Start Date]],2),""))))</f>
        <v/>
      </c>
      <c r="N464" s="135" t="str">
        <f>IF(Main[[#This Row],[Tech Start Date]]&lt;1/1/1990,"",IF(Main[[#This Row],[Class]]="C",WORKDAY(Main[[#This Row],[Tech Start Date]],19),IF(Main[[#This Row],[Class]]="B", WORKDAY(Main[[#This Row],[Tech Start Date]],12),IF(Main[[#This Row],[Class]]="A",WORKDAY(Main[[#This Row],[Tech Start Date]],4),""))))</f>
        <v/>
      </c>
      <c r="O464" s="135" t="str">
        <f>IF(Main[[#This Row],[Tech Start Date]]&lt;1/1/1990,"",IF(Main[[#This Row],[Class]]="C",WORKDAY(Main[[#This Row],[Tech Start Date]],23),IF(Main[[#This Row],[Class]]="B", WORKDAY(Main[[#This Row],[Tech Start Date]],15),IF(Main[[#This Row],[Class]]="A",WORKDAY(Main[[#This Row],[Tech Start Date]],5),""))))</f>
        <v/>
      </c>
      <c r="P464" s="135" t="str">
        <f>IF(Main[[#This Row],[Tech Start Date]]&lt;1/1/1990,"",IF(Main[[#This Row],[Class]]="C",WORKDAY(Main[[#This Row],[Tech Start Date]],28),IF(Main[[#This Row],[Class]]="B", WORKDAY(Main[[#This Row],[Tech Start Date]],19),IF(Main[[#This Row],[Class]]="A",WORKDAY(Main[[#This Row],[Tech Start Date]],9),""))))</f>
        <v/>
      </c>
      <c r="Q464" s="132">
        <v>40337</v>
      </c>
      <c r="R464" s="132"/>
      <c r="S464" s="130" t="s">
        <v>6</v>
      </c>
      <c r="T464" s="136" t="s">
        <v>4</v>
      </c>
      <c r="U464" s="130" t="s">
        <v>7</v>
      </c>
      <c r="V464" s="130" t="s">
        <v>1932</v>
      </c>
      <c r="W464" s="130" t="s">
        <v>1936</v>
      </c>
      <c r="X464" s="130" t="s">
        <v>2905</v>
      </c>
      <c r="Y464" s="130" t="s">
        <v>3023</v>
      </c>
      <c r="Z464" s="130" t="s">
        <v>4</v>
      </c>
      <c r="AA464" s="147" t="s">
        <v>2905</v>
      </c>
    </row>
    <row r="465" spans="1:27" ht="18.600000000000001" customHeight="1">
      <c r="A465" s="144" t="str">
        <f>IF(priority(Main[[#This Row],[Comments]])&lt;&gt;0, priority(Main[[#This Row],[Comments]]),"")</f>
        <v/>
      </c>
      <c r="B465" s="137" t="s">
        <v>1329</v>
      </c>
      <c r="C465" s="130" t="s">
        <v>93</v>
      </c>
      <c r="D465" s="131" t="s">
        <v>401</v>
      </c>
      <c r="E465" s="132"/>
      <c r="F465" s="132">
        <v>40132</v>
      </c>
      <c r="G465" s="133" t="str">
        <f>IF(stdProdLT(Main[[#This Row],[Comments]])=0.1,"N/A",IF(stdProdLT(Main[[#This Row],[Comments]])=0,"",stdProdLT(Main[[#This Row],[Comments]])))</f>
        <v/>
      </c>
      <c r="H465" s="134" t="str">
        <f>IF(AND(Main[[#This Row],[In Stock Date]]&lt;&gt;"",Main[[#This Row],[Revised Due Date]]&lt;&gt;""),Main[[#This Row],[In Stock Date]]-Main[[#This Row],[Revised Due Date]],"")</f>
        <v/>
      </c>
      <c r="I465" s="130" t="s">
        <v>4</v>
      </c>
      <c r="J465" s="130" t="s">
        <v>4</v>
      </c>
      <c r="K465" s="130" t="s">
        <v>4</v>
      </c>
      <c r="L465" s="132"/>
      <c r="M465" s="135" t="str">
        <f>IF(Main[[#This Row],[Tech Start Date]]&lt;1/1/1990,"",IF(Main[[#This Row],[Class]]="C",WORKDAY(Main[[#This Row],[Tech Start Date]],9),IF(Main[[#This Row],[Class]]="B", WORKDAY(Main[[#This Row],[Tech Start Date]],6),IF(Main[[#This Row],[Class]]="A",WORKDAY(Main[[#This Row],[Tech Start Date]],2),""))))</f>
        <v/>
      </c>
      <c r="N465" s="135" t="str">
        <f>IF(Main[[#This Row],[Tech Start Date]]&lt;1/1/1990,"",IF(Main[[#This Row],[Class]]="C",WORKDAY(Main[[#This Row],[Tech Start Date]],19),IF(Main[[#This Row],[Class]]="B", WORKDAY(Main[[#This Row],[Tech Start Date]],12),IF(Main[[#This Row],[Class]]="A",WORKDAY(Main[[#This Row],[Tech Start Date]],4),""))))</f>
        <v/>
      </c>
      <c r="O465" s="135" t="str">
        <f>IF(Main[[#This Row],[Tech Start Date]]&lt;1/1/1990,"",IF(Main[[#This Row],[Class]]="C",WORKDAY(Main[[#This Row],[Tech Start Date]],23),IF(Main[[#This Row],[Class]]="B", WORKDAY(Main[[#This Row],[Tech Start Date]],15),IF(Main[[#This Row],[Class]]="A",WORKDAY(Main[[#This Row],[Tech Start Date]],5),""))))</f>
        <v/>
      </c>
      <c r="P465" s="135" t="str">
        <f>IF(Main[[#This Row],[Tech Start Date]]&lt;1/1/1990,"",IF(Main[[#This Row],[Class]]="C",WORKDAY(Main[[#This Row],[Tech Start Date]],28),IF(Main[[#This Row],[Class]]="B", WORKDAY(Main[[#This Row],[Tech Start Date]],19),IF(Main[[#This Row],[Class]]="A",WORKDAY(Main[[#This Row],[Tech Start Date]],9),""))))</f>
        <v/>
      </c>
      <c r="Q465" s="132">
        <v>40132</v>
      </c>
      <c r="R465" s="132"/>
      <c r="S465" s="130" t="s">
        <v>11</v>
      </c>
      <c r="T465" s="136" t="s">
        <v>4</v>
      </c>
      <c r="U465" s="130" t="s">
        <v>14</v>
      </c>
      <c r="V465" s="130" t="s">
        <v>1942</v>
      </c>
      <c r="W465" s="130" t="s">
        <v>1943</v>
      </c>
      <c r="X465" s="130" t="s">
        <v>2940</v>
      </c>
      <c r="Y465" s="130" t="s">
        <v>4</v>
      </c>
      <c r="Z465" s="130" t="s">
        <v>4</v>
      </c>
      <c r="AA465" s="147" t="s">
        <v>2940</v>
      </c>
    </row>
    <row r="466" spans="1:27" ht="18.600000000000001" customHeight="1">
      <c r="A466" s="144" t="str">
        <f>IF(priority(Main[[#This Row],[Comments]])&lt;&gt;0, priority(Main[[#This Row],[Comments]]),"")</f>
        <v/>
      </c>
      <c r="B466" s="137" t="s">
        <v>1330</v>
      </c>
      <c r="C466" s="130" t="s">
        <v>4</v>
      </c>
      <c r="D466" s="131" t="s">
        <v>402</v>
      </c>
      <c r="E466" s="132"/>
      <c r="F466" s="132">
        <v>40385</v>
      </c>
      <c r="G466" s="133" t="str">
        <f>IF(stdProdLT(Main[[#This Row],[Comments]])=0.1,"N/A",IF(stdProdLT(Main[[#This Row],[Comments]])=0,"",stdProdLT(Main[[#This Row],[Comments]])))</f>
        <v/>
      </c>
      <c r="H466" s="134" t="str">
        <f>IF(AND(Main[[#This Row],[In Stock Date]]&lt;&gt;"",Main[[#This Row],[Revised Due Date]]&lt;&gt;""),Main[[#This Row],[In Stock Date]]-Main[[#This Row],[Revised Due Date]],"")</f>
        <v/>
      </c>
      <c r="I466" s="130" t="s">
        <v>403</v>
      </c>
      <c r="J466" s="130" t="s">
        <v>4</v>
      </c>
      <c r="K466" s="130" t="s">
        <v>4</v>
      </c>
      <c r="L466" s="132"/>
      <c r="M466" s="135" t="str">
        <f>IF(Main[[#This Row],[Tech Start Date]]&lt;1/1/1990,"",IF(Main[[#This Row],[Class]]="C",WORKDAY(Main[[#This Row],[Tech Start Date]],9),IF(Main[[#This Row],[Class]]="B", WORKDAY(Main[[#This Row],[Tech Start Date]],6),IF(Main[[#This Row],[Class]]="A",WORKDAY(Main[[#This Row],[Tech Start Date]],2),""))))</f>
        <v/>
      </c>
      <c r="N466" s="135" t="str">
        <f>IF(Main[[#This Row],[Tech Start Date]]&lt;1/1/1990,"",IF(Main[[#This Row],[Class]]="C",WORKDAY(Main[[#This Row],[Tech Start Date]],19),IF(Main[[#This Row],[Class]]="B", WORKDAY(Main[[#This Row],[Tech Start Date]],12),IF(Main[[#This Row],[Class]]="A",WORKDAY(Main[[#This Row],[Tech Start Date]],4),""))))</f>
        <v/>
      </c>
      <c r="O466" s="135" t="str">
        <f>IF(Main[[#This Row],[Tech Start Date]]&lt;1/1/1990,"",IF(Main[[#This Row],[Class]]="C",WORKDAY(Main[[#This Row],[Tech Start Date]],23),IF(Main[[#This Row],[Class]]="B", WORKDAY(Main[[#This Row],[Tech Start Date]],15),IF(Main[[#This Row],[Class]]="A",WORKDAY(Main[[#This Row],[Tech Start Date]],5),""))))</f>
        <v/>
      </c>
      <c r="P466" s="135" t="str">
        <f>IF(Main[[#This Row],[Tech Start Date]]&lt;1/1/1990,"",IF(Main[[#This Row],[Class]]="C",WORKDAY(Main[[#This Row],[Tech Start Date]],28),IF(Main[[#This Row],[Class]]="B", WORKDAY(Main[[#This Row],[Tech Start Date]],19),IF(Main[[#This Row],[Class]]="A",WORKDAY(Main[[#This Row],[Tech Start Date]],9),""))))</f>
        <v/>
      </c>
      <c r="Q466" s="132">
        <v>40359</v>
      </c>
      <c r="R466" s="132"/>
      <c r="S466" s="130" t="s">
        <v>11</v>
      </c>
      <c r="T466" s="136" t="s">
        <v>4</v>
      </c>
      <c r="U466" s="130" t="s">
        <v>14</v>
      </c>
      <c r="V466" s="130" t="s">
        <v>1935</v>
      </c>
      <c r="W466" s="130" t="s">
        <v>1938</v>
      </c>
      <c r="X466" s="130" t="s">
        <v>2965</v>
      </c>
      <c r="Y466" s="130" t="s">
        <v>3117</v>
      </c>
      <c r="Z466" s="130" t="s">
        <v>310</v>
      </c>
      <c r="AA466" s="147" t="s">
        <v>2965</v>
      </c>
    </row>
    <row r="467" spans="1:27" ht="18.600000000000001" customHeight="1">
      <c r="A467" s="140" t="str">
        <f>IF(priority(Main[[#This Row],[Comments]])&lt;&gt;0, priority(Main[[#This Row],[Comments]]),"")</f>
        <v/>
      </c>
      <c r="B467" s="90" t="s">
        <v>1331</v>
      </c>
      <c r="C467" s="72" t="s">
        <v>31</v>
      </c>
      <c r="D467" s="73" t="s">
        <v>404</v>
      </c>
      <c r="E467" s="74"/>
      <c r="F467" s="74">
        <v>40203</v>
      </c>
      <c r="G467" s="75" t="str">
        <f>IF(stdProdLT(Main[[#This Row],[Comments]])=0.1,"N/A",IF(stdProdLT(Main[[#This Row],[Comments]])=0,"",stdProdLT(Main[[#This Row],[Comments]])))</f>
        <v/>
      </c>
      <c r="H467" s="76" t="str">
        <f>IF(AND(Main[[#This Row],[In Stock Date]]&lt;&gt;"",Main[[#This Row],[Revised Due Date]]&lt;&gt;""),Main[[#This Row],[In Stock Date]]-Main[[#This Row],[Revised Due Date]],"")</f>
        <v/>
      </c>
      <c r="I467" s="72" t="s">
        <v>4</v>
      </c>
      <c r="J467" s="72" t="s">
        <v>4</v>
      </c>
      <c r="K467" s="72" t="s">
        <v>4</v>
      </c>
      <c r="L467" s="74"/>
      <c r="M467" s="77" t="str">
        <f>IF(Main[[#This Row],[Tech Start Date]]&lt;1/1/1990,"",IF(Main[[#This Row],[Class]]="C",WORKDAY(Main[[#This Row],[Tech Start Date]],9),IF(Main[[#This Row],[Class]]="B", WORKDAY(Main[[#This Row],[Tech Start Date]],6),IF(Main[[#This Row],[Class]]="A",WORKDAY(Main[[#This Row],[Tech Start Date]],2),""))))</f>
        <v/>
      </c>
      <c r="N467" s="77" t="str">
        <f>IF(Main[[#This Row],[Tech Start Date]]&lt;1/1/1990,"",IF(Main[[#This Row],[Class]]="C",WORKDAY(Main[[#This Row],[Tech Start Date]],19),IF(Main[[#This Row],[Class]]="B", WORKDAY(Main[[#This Row],[Tech Start Date]],12),IF(Main[[#This Row],[Class]]="A",WORKDAY(Main[[#This Row],[Tech Start Date]],4),""))))</f>
        <v/>
      </c>
      <c r="O467" s="77" t="str">
        <f>IF(Main[[#This Row],[Tech Start Date]]&lt;1/1/1990,"",IF(Main[[#This Row],[Class]]="C",WORKDAY(Main[[#This Row],[Tech Start Date]],23),IF(Main[[#This Row],[Class]]="B", WORKDAY(Main[[#This Row],[Tech Start Date]],15),IF(Main[[#This Row],[Class]]="A",WORKDAY(Main[[#This Row],[Tech Start Date]],5),""))))</f>
        <v/>
      </c>
      <c r="P467" s="77" t="str">
        <f>IF(Main[[#This Row],[Tech Start Date]]&lt;1/1/1990,"",IF(Main[[#This Row],[Class]]="C",WORKDAY(Main[[#This Row],[Tech Start Date]],28),IF(Main[[#This Row],[Class]]="B", WORKDAY(Main[[#This Row],[Tech Start Date]],19),IF(Main[[#This Row],[Class]]="A",WORKDAY(Main[[#This Row],[Tech Start Date]],9),""))))</f>
        <v/>
      </c>
      <c r="Q467" s="74">
        <v>40063</v>
      </c>
      <c r="R467" s="74"/>
      <c r="S467" s="72" t="s">
        <v>11</v>
      </c>
      <c r="T467" s="80" t="s">
        <v>4</v>
      </c>
      <c r="U467" s="72" t="s">
        <v>14</v>
      </c>
      <c r="V467" s="72" t="s">
        <v>1942</v>
      </c>
      <c r="W467" s="72" t="s">
        <v>1938</v>
      </c>
      <c r="X467" s="72" t="s">
        <v>2955</v>
      </c>
      <c r="Y467" s="72" t="s">
        <v>4</v>
      </c>
      <c r="Z467" s="72" t="s">
        <v>4</v>
      </c>
      <c r="AA467" s="147" t="s">
        <v>2955</v>
      </c>
    </row>
    <row r="468" spans="1:27" ht="18.600000000000001" customHeight="1">
      <c r="A468" s="140" t="str">
        <f>IF(priority(Main[[#This Row],[Comments]])&lt;&gt;0, priority(Main[[#This Row],[Comments]]),"")</f>
        <v/>
      </c>
      <c r="B468" s="90" t="s">
        <v>1671</v>
      </c>
      <c r="C468" s="72" t="s">
        <v>4</v>
      </c>
      <c r="D468" s="73" t="s">
        <v>730</v>
      </c>
      <c r="E468" s="74"/>
      <c r="F468" s="74"/>
      <c r="G468" s="75" t="str">
        <f>IF(stdProdLT(Main[[#This Row],[Comments]])=0.1,"N/A",IF(stdProdLT(Main[[#This Row],[Comments]])=0,"",stdProdLT(Main[[#This Row],[Comments]])))</f>
        <v/>
      </c>
      <c r="H468" s="76" t="str">
        <f>IF(AND(Main[[#This Row],[In Stock Date]]&lt;&gt;"",Main[[#This Row],[Revised Due Date]]&lt;&gt;""),Main[[#This Row],[In Stock Date]]-Main[[#This Row],[Revised Due Date]],"")</f>
        <v/>
      </c>
      <c r="I468" s="72" t="s">
        <v>4</v>
      </c>
      <c r="J468" s="72" t="s">
        <v>4</v>
      </c>
      <c r="K468" s="72" t="s">
        <v>4</v>
      </c>
      <c r="L468" s="74"/>
      <c r="M468" s="77" t="str">
        <f>IF(Main[[#This Row],[Tech Start Date]]&lt;1/1/1990,"",IF(Main[[#This Row],[Class]]="C",WORKDAY(Main[[#This Row],[Tech Start Date]],9),IF(Main[[#This Row],[Class]]="B", WORKDAY(Main[[#This Row],[Tech Start Date]],6),IF(Main[[#This Row],[Class]]="A",WORKDAY(Main[[#This Row],[Tech Start Date]],2),""))))</f>
        <v/>
      </c>
      <c r="N468" s="77" t="str">
        <f>IF(Main[[#This Row],[Tech Start Date]]&lt;1/1/1990,"",IF(Main[[#This Row],[Class]]="C",WORKDAY(Main[[#This Row],[Tech Start Date]],19),IF(Main[[#This Row],[Class]]="B", WORKDAY(Main[[#This Row],[Tech Start Date]],12),IF(Main[[#This Row],[Class]]="A",WORKDAY(Main[[#This Row],[Tech Start Date]],4),""))))</f>
        <v/>
      </c>
      <c r="O468" s="77" t="str">
        <f>IF(Main[[#This Row],[Tech Start Date]]&lt;1/1/1990,"",IF(Main[[#This Row],[Class]]="C",WORKDAY(Main[[#This Row],[Tech Start Date]],23),IF(Main[[#This Row],[Class]]="B", WORKDAY(Main[[#This Row],[Tech Start Date]],15),IF(Main[[#This Row],[Class]]="A",WORKDAY(Main[[#This Row],[Tech Start Date]],5),""))))</f>
        <v/>
      </c>
      <c r="P468" s="77" t="str">
        <f>IF(Main[[#This Row],[Tech Start Date]]&lt;1/1/1990,"",IF(Main[[#This Row],[Class]]="C",WORKDAY(Main[[#This Row],[Tech Start Date]],28),IF(Main[[#This Row],[Class]]="B", WORKDAY(Main[[#This Row],[Tech Start Date]],19),IF(Main[[#This Row],[Class]]="A",WORKDAY(Main[[#This Row],[Tech Start Date]],9),""))))</f>
        <v/>
      </c>
      <c r="Q468" s="74">
        <v>40676</v>
      </c>
      <c r="R468" s="74"/>
      <c r="S468" s="72" t="s">
        <v>6</v>
      </c>
      <c r="T468" s="80" t="s">
        <v>4</v>
      </c>
      <c r="U468" s="72" t="s">
        <v>14</v>
      </c>
      <c r="V468" s="72" t="s">
        <v>1932</v>
      </c>
      <c r="W468" s="72" t="s">
        <v>1936</v>
      </c>
      <c r="X468" s="72" t="s">
        <v>2905</v>
      </c>
      <c r="Y468" s="72" t="s">
        <v>3023</v>
      </c>
      <c r="Z468" s="72" t="s">
        <v>4</v>
      </c>
      <c r="AA468" s="147" t="s">
        <v>2905</v>
      </c>
    </row>
    <row r="469" spans="1:27" ht="18.600000000000001" customHeight="1">
      <c r="A469" s="140" t="str">
        <f>IF(priority(Main[[#This Row],[Comments]])&lt;&gt;0, priority(Main[[#This Row],[Comments]]),"")</f>
        <v/>
      </c>
      <c r="B469" s="90" t="s">
        <v>1332</v>
      </c>
      <c r="C469" s="72" t="s">
        <v>47</v>
      </c>
      <c r="D469" s="73" t="s">
        <v>147</v>
      </c>
      <c r="E469" s="74"/>
      <c r="F469" s="74"/>
      <c r="G469" s="75" t="str">
        <f>IF(stdProdLT(Main[[#This Row],[Comments]])=0.1,"N/A",IF(stdProdLT(Main[[#This Row],[Comments]])=0,"",stdProdLT(Main[[#This Row],[Comments]])))</f>
        <v/>
      </c>
      <c r="H469" s="76" t="str">
        <f>IF(AND(Main[[#This Row],[In Stock Date]]&lt;&gt;"",Main[[#This Row],[Revised Due Date]]&lt;&gt;""),Main[[#This Row],[In Stock Date]]-Main[[#This Row],[Revised Due Date]],"")</f>
        <v/>
      </c>
      <c r="I469" s="72" t="s">
        <v>4</v>
      </c>
      <c r="J469" s="72" t="s">
        <v>4</v>
      </c>
      <c r="K469" s="72" t="s">
        <v>4</v>
      </c>
      <c r="L469" s="74"/>
      <c r="M469" s="77" t="str">
        <f>IF(Main[[#This Row],[Tech Start Date]]&lt;1/1/1990,"",IF(Main[[#This Row],[Class]]="C",WORKDAY(Main[[#This Row],[Tech Start Date]],9),IF(Main[[#This Row],[Class]]="B", WORKDAY(Main[[#This Row],[Tech Start Date]],6),IF(Main[[#This Row],[Class]]="A",WORKDAY(Main[[#This Row],[Tech Start Date]],2),""))))</f>
        <v/>
      </c>
      <c r="N469" s="77" t="str">
        <f>IF(Main[[#This Row],[Tech Start Date]]&lt;1/1/1990,"",IF(Main[[#This Row],[Class]]="C",WORKDAY(Main[[#This Row],[Tech Start Date]],19),IF(Main[[#This Row],[Class]]="B", WORKDAY(Main[[#This Row],[Tech Start Date]],12),IF(Main[[#This Row],[Class]]="A",WORKDAY(Main[[#This Row],[Tech Start Date]],4),""))))</f>
        <v/>
      </c>
      <c r="O469" s="77" t="str">
        <f>IF(Main[[#This Row],[Tech Start Date]]&lt;1/1/1990,"",IF(Main[[#This Row],[Class]]="C",WORKDAY(Main[[#This Row],[Tech Start Date]],23),IF(Main[[#This Row],[Class]]="B", WORKDAY(Main[[#This Row],[Tech Start Date]],15),IF(Main[[#This Row],[Class]]="A",WORKDAY(Main[[#This Row],[Tech Start Date]],5),""))))</f>
        <v/>
      </c>
      <c r="P469" s="77" t="str">
        <f>IF(Main[[#This Row],[Tech Start Date]]&lt;1/1/1990,"",IF(Main[[#This Row],[Class]]="C",WORKDAY(Main[[#This Row],[Tech Start Date]],28),IF(Main[[#This Row],[Class]]="B", WORKDAY(Main[[#This Row],[Tech Start Date]],19),IF(Main[[#This Row],[Class]]="A",WORKDAY(Main[[#This Row],[Tech Start Date]],9),""))))</f>
        <v/>
      </c>
      <c r="Q469" s="74"/>
      <c r="R469" s="74"/>
      <c r="S469" s="72" t="s">
        <v>4</v>
      </c>
      <c r="T469" s="80" t="s">
        <v>4</v>
      </c>
      <c r="U469" s="72" t="s">
        <v>14</v>
      </c>
      <c r="V469" s="72" t="s">
        <v>1933</v>
      </c>
      <c r="W469" s="72" t="s">
        <v>4</v>
      </c>
      <c r="X469" s="72" t="s">
        <v>310</v>
      </c>
      <c r="Y469" s="72" t="s">
        <v>3028</v>
      </c>
      <c r="Z469" s="72" t="s">
        <v>4</v>
      </c>
      <c r="AA469" s="147" t="s">
        <v>3564</v>
      </c>
    </row>
    <row r="470" spans="1:27" ht="18.600000000000001" customHeight="1">
      <c r="A470" s="140" t="str">
        <f>IF(priority(Main[[#This Row],[Comments]])&lt;&gt;0, priority(Main[[#This Row],[Comments]]),"")</f>
        <v/>
      </c>
      <c r="B470" s="90" t="s">
        <v>1333</v>
      </c>
      <c r="C470" s="72" t="s">
        <v>405</v>
      </c>
      <c r="D470" s="73" t="s">
        <v>406</v>
      </c>
      <c r="E470" s="74"/>
      <c r="F470" s="74">
        <v>40447</v>
      </c>
      <c r="G470" s="75" t="str">
        <f>IF(stdProdLT(Main[[#This Row],[Comments]])=0.1,"N/A",IF(stdProdLT(Main[[#This Row],[Comments]])=0,"",stdProdLT(Main[[#This Row],[Comments]])))</f>
        <v/>
      </c>
      <c r="H470" s="76" t="str">
        <f>IF(AND(Main[[#This Row],[In Stock Date]]&lt;&gt;"",Main[[#This Row],[Revised Due Date]]&lt;&gt;""),Main[[#This Row],[In Stock Date]]-Main[[#This Row],[Revised Due Date]],"")</f>
        <v/>
      </c>
      <c r="I470" s="72" t="s">
        <v>4</v>
      </c>
      <c r="J470" s="72" t="s">
        <v>4</v>
      </c>
      <c r="K470" s="72" t="s">
        <v>4</v>
      </c>
      <c r="L470" s="74"/>
      <c r="M470" s="77" t="str">
        <f>IF(Main[[#This Row],[Tech Start Date]]&lt;1/1/1990,"",IF(Main[[#This Row],[Class]]="C",WORKDAY(Main[[#This Row],[Tech Start Date]],9),IF(Main[[#This Row],[Class]]="B", WORKDAY(Main[[#This Row],[Tech Start Date]],6),IF(Main[[#This Row],[Class]]="A",WORKDAY(Main[[#This Row],[Tech Start Date]],2),""))))</f>
        <v/>
      </c>
      <c r="N470" s="77" t="str">
        <f>IF(Main[[#This Row],[Tech Start Date]]&lt;1/1/1990,"",IF(Main[[#This Row],[Class]]="C",WORKDAY(Main[[#This Row],[Tech Start Date]],19),IF(Main[[#This Row],[Class]]="B", WORKDAY(Main[[#This Row],[Tech Start Date]],12),IF(Main[[#This Row],[Class]]="A",WORKDAY(Main[[#This Row],[Tech Start Date]],4),""))))</f>
        <v/>
      </c>
      <c r="O470" s="77" t="str">
        <f>IF(Main[[#This Row],[Tech Start Date]]&lt;1/1/1990,"",IF(Main[[#This Row],[Class]]="C",WORKDAY(Main[[#This Row],[Tech Start Date]],23),IF(Main[[#This Row],[Class]]="B", WORKDAY(Main[[#This Row],[Tech Start Date]],15),IF(Main[[#This Row],[Class]]="A",WORKDAY(Main[[#This Row],[Tech Start Date]],5),""))))</f>
        <v/>
      </c>
      <c r="P470" s="77" t="str">
        <f>IF(Main[[#This Row],[Tech Start Date]]&lt;1/1/1990,"",IF(Main[[#This Row],[Class]]="C",WORKDAY(Main[[#This Row],[Tech Start Date]],28),IF(Main[[#This Row],[Class]]="B", WORKDAY(Main[[#This Row],[Tech Start Date]],19),IF(Main[[#This Row],[Class]]="A",WORKDAY(Main[[#This Row],[Tech Start Date]],9),""))))</f>
        <v/>
      </c>
      <c r="Q470" s="74">
        <v>40349</v>
      </c>
      <c r="R470" s="74"/>
      <c r="S470" s="72" t="s">
        <v>11</v>
      </c>
      <c r="T470" s="80" t="s">
        <v>4</v>
      </c>
      <c r="U470" s="72" t="s">
        <v>14</v>
      </c>
      <c r="V470" s="72" t="s">
        <v>1942</v>
      </c>
      <c r="W470" s="72" t="s">
        <v>1937</v>
      </c>
      <c r="X470" s="72" t="s">
        <v>2934</v>
      </c>
      <c r="Y470" s="72" t="s">
        <v>4</v>
      </c>
      <c r="Z470" s="72" t="s">
        <v>4</v>
      </c>
      <c r="AA470" s="147" t="s">
        <v>2934</v>
      </c>
    </row>
    <row r="471" spans="1:27" ht="18.600000000000001" customHeight="1">
      <c r="A471" s="140" t="str">
        <f>IF(priority(Main[[#This Row],[Comments]])&lt;&gt;0, priority(Main[[#This Row],[Comments]]),"")</f>
        <v/>
      </c>
      <c r="B471" s="90" t="s">
        <v>2109</v>
      </c>
      <c r="C471" s="72" t="s">
        <v>47</v>
      </c>
      <c r="D471" s="73" t="s">
        <v>887</v>
      </c>
      <c r="E471" s="74"/>
      <c r="F471" s="74"/>
      <c r="G471" s="75" t="str">
        <f>IF(stdProdLT(Main[[#This Row],[Comments]])=0.1,"N/A",IF(stdProdLT(Main[[#This Row],[Comments]])=0,"",stdProdLT(Main[[#This Row],[Comments]])))</f>
        <v/>
      </c>
      <c r="H471" s="76" t="str">
        <f>IF(AND(Main[[#This Row],[In Stock Date]]&lt;&gt;"",Main[[#This Row],[Revised Due Date]]&lt;&gt;""),Main[[#This Row],[In Stock Date]]-Main[[#This Row],[Revised Due Date]],"")</f>
        <v/>
      </c>
      <c r="I471" s="72" t="s">
        <v>4</v>
      </c>
      <c r="J471" s="72" t="s">
        <v>4</v>
      </c>
      <c r="K471" s="72" t="s">
        <v>4</v>
      </c>
      <c r="L471" s="74"/>
      <c r="M471" s="77" t="str">
        <f>IF(Main[[#This Row],[Tech Start Date]]&lt;1/1/1990,"",IF(Main[[#This Row],[Class]]="C",WORKDAY(Main[[#This Row],[Tech Start Date]],9),IF(Main[[#This Row],[Class]]="B", WORKDAY(Main[[#This Row],[Tech Start Date]],6),IF(Main[[#This Row],[Class]]="A",WORKDAY(Main[[#This Row],[Tech Start Date]],2),""))))</f>
        <v/>
      </c>
      <c r="N471" s="77" t="str">
        <f>IF(Main[[#This Row],[Tech Start Date]]&lt;1/1/1990,"",IF(Main[[#This Row],[Class]]="C",WORKDAY(Main[[#This Row],[Tech Start Date]],19),IF(Main[[#This Row],[Class]]="B", WORKDAY(Main[[#This Row],[Tech Start Date]],12),IF(Main[[#This Row],[Class]]="A",WORKDAY(Main[[#This Row],[Tech Start Date]],4),""))))</f>
        <v/>
      </c>
      <c r="O471" s="77" t="str">
        <f>IF(Main[[#This Row],[Tech Start Date]]&lt;1/1/1990,"",IF(Main[[#This Row],[Class]]="C",WORKDAY(Main[[#This Row],[Tech Start Date]],23),IF(Main[[#This Row],[Class]]="B", WORKDAY(Main[[#This Row],[Tech Start Date]],15),IF(Main[[#This Row],[Class]]="A",WORKDAY(Main[[#This Row],[Tech Start Date]],5),""))))</f>
        <v/>
      </c>
      <c r="P471" s="77" t="str">
        <f>IF(Main[[#This Row],[Tech Start Date]]&lt;1/1/1990,"",IF(Main[[#This Row],[Class]]="C",WORKDAY(Main[[#This Row],[Tech Start Date]],28),IF(Main[[#This Row],[Class]]="B", WORKDAY(Main[[#This Row],[Tech Start Date]],19),IF(Main[[#This Row],[Class]]="A",WORKDAY(Main[[#This Row],[Tech Start Date]],9),""))))</f>
        <v/>
      </c>
      <c r="Q471" s="74">
        <v>40267</v>
      </c>
      <c r="R471" s="74"/>
      <c r="S471" s="72" t="s">
        <v>17</v>
      </c>
      <c r="T471" s="80" t="s">
        <v>4</v>
      </c>
      <c r="U471" s="72" t="s">
        <v>14</v>
      </c>
      <c r="V471" s="72" t="s">
        <v>1932</v>
      </c>
      <c r="W471" s="72" t="s">
        <v>1936</v>
      </c>
      <c r="X471" s="72" t="s">
        <v>2966</v>
      </c>
      <c r="Y471" s="72" t="s">
        <v>3028</v>
      </c>
      <c r="Z471" s="72" t="s">
        <v>4</v>
      </c>
      <c r="AA471" s="147" t="s">
        <v>3564</v>
      </c>
    </row>
    <row r="472" spans="1:27" ht="18.600000000000001" customHeight="1">
      <c r="A472" s="140" t="str">
        <f>IF(priority(Main[[#This Row],[Comments]])&lt;&gt;0, priority(Main[[#This Row],[Comments]]),"")</f>
        <v/>
      </c>
      <c r="B472" s="90" t="s">
        <v>1334</v>
      </c>
      <c r="C472" s="72" t="s">
        <v>113</v>
      </c>
      <c r="D472" s="73" t="s">
        <v>407</v>
      </c>
      <c r="E472" s="74"/>
      <c r="F472" s="74"/>
      <c r="G472" s="75" t="str">
        <f>IF(stdProdLT(Main[[#This Row],[Comments]])=0.1,"N/A",IF(stdProdLT(Main[[#This Row],[Comments]])=0,"",stdProdLT(Main[[#This Row],[Comments]])))</f>
        <v/>
      </c>
      <c r="H472" s="76" t="str">
        <f>IF(AND(Main[[#This Row],[In Stock Date]]&lt;&gt;"",Main[[#This Row],[Revised Due Date]]&lt;&gt;""),Main[[#This Row],[In Stock Date]]-Main[[#This Row],[Revised Due Date]],"")</f>
        <v/>
      </c>
      <c r="I472" s="72" t="s">
        <v>4</v>
      </c>
      <c r="J472" s="72" t="s">
        <v>4</v>
      </c>
      <c r="K472" s="72" t="s">
        <v>4</v>
      </c>
      <c r="L472" s="74"/>
      <c r="M472" s="77" t="str">
        <f>IF(Main[[#This Row],[Tech Start Date]]&lt;1/1/1990,"",IF(Main[[#This Row],[Class]]="C",WORKDAY(Main[[#This Row],[Tech Start Date]],9),IF(Main[[#This Row],[Class]]="B", WORKDAY(Main[[#This Row],[Tech Start Date]],6),IF(Main[[#This Row],[Class]]="A",WORKDAY(Main[[#This Row],[Tech Start Date]],2),""))))</f>
        <v/>
      </c>
      <c r="N472" s="77" t="str">
        <f>IF(Main[[#This Row],[Tech Start Date]]&lt;1/1/1990,"",IF(Main[[#This Row],[Class]]="C",WORKDAY(Main[[#This Row],[Tech Start Date]],19),IF(Main[[#This Row],[Class]]="B", WORKDAY(Main[[#This Row],[Tech Start Date]],12),IF(Main[[#This Row],[Class]]="A",WORKDAY(Main[[#This Row],[Tech Start Date]],4),""))))</f>
        <v/>
      </c>
      <c r="O472" s="77" t="str">
        <f>IF(Main[[#This Row],[Tech Start Date]]&lt;1/1/1990,"",IF(Main[[#This Row],[Class]]="C",WORKDAY(Main[[#This Row],[Tech Start Date]],23),IF(Main[[#This Row],[Class]]="B", WORKDAY(Main[[#This Row],[Tech Start Date]],15),IF(Main[[#This Row],[Class]]="A",WORKDAY(Main[[#This Row],[Tech Start Date]],5),""))))</f>
        <v/>
      </c>
      <c r="P472" s="77" t="str">
        <f>IF(Main[[#This Row],[Tech Start Date]]&lt;1/1/1990,"",IF(Main[[#This Row],[Class]]="C",WORKDAY(Main[[#This Row],[Tech Start Date]],28),IF(Main[[#This Row],[Class]]="B", WORKDAY(Main[[#This Row],[Tech Start Date]],19),IF(Main[[#This Row],[Class]]="A",WORKDAY(Main[[#This Row],[Tech Start Date]],9),""))))</f>
        <v/>
      </c>
      <c r="Q472" s="74"/>
      <c r="R472" s="74"/>
      <c r="S472" s="72" t="s">
        <v>11</v>
      </c>
      <c r="T472" s="80" t="s">
        <v>4</v>
      </c>
      <c r="U472" s="72" t="s">
        <v>14</v>
      </c>
      <c r="V472" s="72" t="s">
        <v>1935</v>
      </c>
      <c r="W472" s="72" t="s">
        <v>1940</v>
      </c>
      <c r="X472" s="72" t="s">
        <v>2928</v>
      </c>
      <c r="Y472" s="72" t="s">
        <v>3064</v>
      </c>
      <c r="Z472" s="72" t="s">
        <v>4</v>
      </c>
      <c r="AA472" s="147" t="s">
        <v>2928</v>
      </c>
    </row>
    <row r="473" spans="1:27" ht="18.600000000000001" customHeight="1">
      <c r="A473" s="140" t="str">
        <f>IF(priority(Main[[#This Row],[Comments]])&lt;&gt;0, priority(Main[[#This Row],[Comments]]),"")</f>
        <v/>
      </c>
      <c r="B473" s="137" t="s">
        <v>1335</v>
      </c>
      <c r="C473" s="130" t="s">
        <v>4</v>
      </c>
      <c r="D473" s="131" t="s">
        <v>408</v>
      </c>
      <c r="E473" s="132">
        <v>40585.595960648148</v>
      </c>
      <c r="F473" s="132"/>
      <c r="G473" s="133" t="str">
        <f>IF(stdProdLT(Main[[#This Row],[Comments]])=0.1,"N/A",IF(stdProdLT(Main[[#This Row],[Comments]])=0,"",stdProdLT(Main[[#This Row],[Comments]])))</f>
        <v/>
      </c>
      <c r="H473" s="134" t="str">
        <f>IF(AND(Main[[#This Row],[In Stock Date]]&lt;&gt;"",Main[[#This Row],[Revised Due Date]]&lt;&gt;""),Main[[#This Row],[In Stock Date]]-Main[[#This Row],[Revised Due Date]],"")</f>
        <v/>
      </c>
      <c r="I473" s="130" t="s">
        <v>74</v>
      </c>
      <c r="J473" s="130" t="s">
        <v>4</v>
      </c>
      <c r="K473" s="130" t="s">
        <v>4</v>
      </c>
      <c r="L473" s="132"/>
      <c r="M473" s="135" t="str">
        <f>IF(Main[[#This Row],[Tech Start Date]]&lt;1/1/1990,"",IF(Main[[#This Row],[Class]]="C",WORKDAY(Main[[#This Row],[Tech Start Date]],9),IF(Main[[#This Row],[Class]]="B", WORKDAY(Main[[#This Row],[Tech Start Date]],6),IF(Main[[#This Row],[Class]]="A",WORKDAY(Main[[#This Row],[Tech Start Date]],2),""))))</f>
        <v/>
      </c>
      <c r="N473" s="135" t="str">
        <f>IF(Main[[#This Row],[Tech Start Date]]&lt;1/1/1990,"",IF(Main[[#This Row],[Class]]="C",WORKDAY(Main[[#This Row],[Tech Start Date]],19),IF(Main[[#This Row],[Class]]="B", WORKDAY(Main[[#This Row],[Tech Start Date]],12),IF(Main[[#This Row],[Class]]="A",WORKDAY(Main[[#This Row],[Tech Start Date]],4),""))))</f>
        <v/>
      </c>
      <c r="O473" s="135" t="str">
        <f>IF(Main[[#This Row],[Tech Start Date]]&lt;1/1/1990,"",IF(Main[[#This Row],[Class]]="C",WORKDAY(Main[[#This Row],[Tech Start Date]],23),IF(Main[[#This Row],[Class]]="B", WORKDAY(Main[[#This Row],[Tech Start Date]],15),IF(Main[[#This Row],[Class]]="A",WORKDAY(Main[[#This Row],[Tech Start Date]],5),""))))</f>
        <v/>
      </c>
      <c r="P473" s="135" t="str">
        <f>IF(Main[[#This Row],[Tech Start Date]]&lt;1/1/1990,"",IF(Main[[#This Row],[Class]]="C",WORKDAY(Main[[#This Row],[Tech Start Date]],28),IF(Main[[#This Row],[Class]]="B", WORKDAY(Main[[#This Row],[Tech Start Date]],19),IF(Main[[#This Row],[Class]]="A",WORKDAY(Main[[#This Row],[Tech Start Date]],9),""))))</f>
        <v/>
      </c>
      <c r="Q473" s="132">
        <v>40592</v>
      </c>
      <c r="R473" s="132"/>
      <c r="S473" s="130" t="s">
        <v>6</v>
      </c>
      <c r="T473" s="136" t="s">
        <v>4</v>
      </c>
      <c r="U473" s="130" t="s">
        <v>29</v>
      </c>
      <c r="V473" s="130" t="s">
        <v>1935</v>
      </c>
      <c r="W473" s="130" t="s">
        <v>1936</v>
      </c>
      <c r="X473" s="130" t="s">
        <v>74</v>
      </c>
      <c r="Y473" s="130" t="s">
        <v>3118</v>
      </c>
      <c r="Z473" s="130" t="s">
        <v>420</v>
      </c>
      <c r="AA473" s="147" t="s">
        <v>74</v>
      </c>
    </row>
    <row r="474" spans="1:27" ht="18.600000000000001" customHeight="1">
      <c r="A474" s="140" t="str">
        <f>IF(priority(Main[[#This Row],[Comments]])&lt;&gt;0, priority(Main[[#This Row],[Comments]]),"")</f>
        <v/>
      </c>
      <c r="B474" s="90" t="s">
        <v>1336</v>
      </c>
      <c r="C474" s="72" t="s">
        <v>4</v>
      </c>
      <c r="D474" s="73" t="s">
        <v>409</v>
      </c>
      <c r="E474" s="74">
        <v>40387.702291666668</v>
      </c>
      <c r="F474" s="74"/>
      <c r="G474" s="75" t="str">
        <f>IF(stdProdLT(Main[[#This Row],[Comments]])=0.1,"N/A",IF(stdProdLT(Main[[#This Row],[Comments]])=0,"",stdProdLT(Main[[#This Row],[Comments]])))</f>
        <v/>
      </c>
      <c r="H474" s="76" t="str">
        <f>IF(AND(Main[[#This Row],[In Stock Date]]&lt;&gt;"",Main[[#This Row],[Revised Due Date]]&lt;&gt;""),Main[[#This Row],[In Stock Date]]-Main[[#This Row],[Revised Due Date]],"")</f>
        <v/>
      </c>
      <c r="I474" s="72" t="s">
        <v>4</v>
      </c>
      <c r="J474" s="72" t="s">
        <v>28</v>
      </c>
      <c r="K474" s="72" t="s">
        <v>4</v>
      </c>
      <c r="L474" s="74"/>
      <c r="M474" s="77" t="str">
        <f>IF(Main[[#This Row],[Tech Start Date]]&lt;1/1/1990,"",IF(Main[[#This Row],[Class]]="C",WORKDAY(Main[[#This Row],[Tech Start Date]],9),IF(Main[[#This Row],[Class]]="B", WORKDAY(Main[[#This Row],[Tech Start Date]],6),IF(Main[[#This Row],[Class]]="A",WORKDAY(Main[[#This Row],[Tech Start Date]],2),""))))</f>
        <v/>
      </c>
      <c r="N474" s="77" t="str">
        <f>IF(Main[[#This Row],[Tech Start Date]]&lt;1/1/1990,"",IF(Main[[#This Row],[Class]]="C",WORKDAY(Main[[#This Row],[Tech Start Date]],19),IF(Main[[#This Row],[Class]]="B", WORKDAY(Main[[#This Row],[Tech Start Date]],12),IF(Main[[#This Row],[Class]]="A",WORKDAY(Main[[#This Row],[Tech Start Date]],4),""))))</f>
        <v/>
      </c>
      <c r="O474" s="77" t="str">
        <f>IF(Main[[#This Row],[Tech Start Date]]&lt;1/1/1990,"",IF(Main[[#This Row],[Class]]="C",WORKDAY(Main[[#This Row],[Tech Start Date]],23),IF(Main[[#This Row],[Class]]="B", WORKDAY(Main[[#This Row],[Tech Start Date]],15),IF(Main[[#This Row],[Class]]="A",WORKDAY(Main[[#This Row],[Tech Start Date]],5),""))))</f>
        <v/>
      </c>
      <c r="P474" s="77" t="str">
        <f>IF(Main[[#This Row],[Tech Start Date]]&lt;1/1/1990,"",IF(Main[[#This Row],[Class]]="C",WORKDAY(Main[[#This Row],[Tech Start Date]],28),IF(Main[[#This Row],[Class]]="B", WORKDAY(Main[[#This Row],[Tech Start Date]],19),IF(Main[[#This Row],[Class]]="A",WORKDAY(Main[[#This Row],[Tech Start Date]],9),""))))</f>
        <v/>
      </c>
      <c r="Q474" s="74">
        <v>40400</v>
      </c>
      <c r="R474" s="74"/>
      <c r="S474" s="72" t="s">
        <v>6</v>
      </c>
      <c r="T474" s="80" t="s">
        <v>4</v>
      </c>
      <c r="U474" s="72" t="s">
        <v>7</v>
      </c>
      <c r="V474" s="72" t="s">
        <v>1932</v>
      </c>
      <c r="W474" s="72" t="s">
        <v>1934</v>
      </c>
      <c r="X474" s="72" t="s">
        <v>102</v>
      </c>
      <c r="Y474" s="72" t="s">
        <v>3119</v>
      </c>
      <c r="Z474" s="72" t="s">
        <v>129</v>
      </c>
      <c r="AA474" s="147" t="s">
        <v>3584</v>
      </c>
    </row>
    <row r="475" spans="1:27" ht="18.600000000000001" customHeight="1">
      <c r="A475" s="140" t="str">
        <f>IF(priority(Main[[#This Row],[Comments]])&lt;&gt;0, priority(Main[[#This Row],[Comments]]),"")</f>
        <v/>
      </c>
      <c r="B475" s="90" t="s">
        <v>1831</v>
      </c>
      <c r="C475" s="72" t="s">
        <v>95</v>
      </c>
      <c r="D475" s="73" t="s">
        <v>875</v>
      </c>
      <c r="E475" s="74"/>
      <c r="F475" s="74"/>
      <c r="G475" s="75" t="str">
        <f>IF(stdProdLT(Main[[#This Row],[Comments]])=0.1,"N/A",IF(stdProdLT(Main[[#This Row],[Comments]])=0,"",stdProdLT(Main[[#This Row],[Comments]])))</f>
        <v/>
      </c>
      <c r="H475" s="76" t="str">
        <f>IF(AND(Main[[#This Row],[In Stock Date]]&lt;&gt;"",Main[[#This Row],[Revised Due Date]]&lt;&gt;""),Main[[#This Row],[In Stock Date]]-Main[[#This Row],[Revised Due Date]],"")</f>
        <v/>
      </c>
      <c r="I475" s="72" t="s">
        <v>4</v>
      </c>
      <c r="J475" s="72" t="s">
        <v>4</v>
      </c>
      <c r="K475" s="72" t="s">
        <v>4</v>
      </c>
      <c r="L475" s="74"/>
      <c r="M475" s="77" t="str">
        <f>IF(Main[[#This Row],[Tech Start Date]]&lt;1/1/1990,"",IF(Main[[#This Row],[Class]]="C",WORKDAY(Main[[#This Row],[Tech Start Date]],9),IF(Main[[#This Row],[Class]]="B", WORKDAY(Main[[#This Row],[Tech Start Date]],6),IF(Main[[#This Row],[Class]]="A",WORKDAY(Main[[#This Row],[Tech Start Date]],2),""))))</f>
        <v/>
      </c>
      <c r="N475" s="77" t="str">
        <f>IF(Main[[#This Row],[Tech Start Date]]&lt;1/1/1990,"",IF(Main[[#This Row],[Class]]="C",WORKDAY(Main[[#This Row],[Tech Start Date]],19),IF(Main[[#This Row],[Class]]="B", WORKDAY(Main[[#This Row],[Tech Start Date]],12),IF(Main[[#This Row],[Class]]="A",WORKDAY(Main[[#This Row],[Tech Start Date]],4),""))))</f>
        <v/>
      </c>
      <c r="O475" s="77" t="str">
        <f>IF(Main[[#This Row],[Tech Start Date]]&lt;1/1/1990,"",IF(Main[[#This Row],[Class]]="C",WORKDAY(Main[[#This Row],[Tech Start Date]],23),IF(Main[[#This Row],[Class]]="B", WORKDAY(Main[[#This Row],[Tech Start Date]],15),IF(Main[[#This Row],[Class]]="A",WORKDAY(Main[[#This Row],[Tech Start Date]],5),""))))</f>
        <v/>
      </c>
      <c r="P475" s="77" t="str">
        <f>IF(Main[[#This Row],[Tech Start Date]]&lt;1/1/1990,"",IF(Main[[#This Row],[Class]]="C",WORKDAY(Main[[#This Row],[Tech Start Date]],28),IF(Main[[#This Row],[Class]]="B", WORKDAY(Main[[#This Row],[Tech Start Date]],19),IF(Main[[#This Row],[Class]]="A",WORKDAY(Main[[#This Row],[Tech Start Date]],9),""))))</f>
        <v/>
      </c>
      <c r="Q475" s="74">
        <v>40206</v>
      </c>
      <c r="R475" s="74">
        <v>40284</v>
      </c>
      <c r="S475" s="72" t="s">
        <v>11</v>
      </c>
      <c r="T475" s="80" t="s">
        <v>4</v>
      </c>
      <c r="U475" s="72" t="s">
        <v>14</v>
      </c>
      <c r="V475" s="72" t="s">
        <v>1933</v>
      </c>
      <c r="W475" s="72" t="s">
        <v>1934</v>
      </c>
      <c r="X475" s="72" t="s">
        <v>2921</v>
      </c>
      <c r="Y475" s="72" t="s">
        <v>3122</v>
      </c>
      <c r="Z475" s="72" t="s">
        <v>4</v>
      </c>
      <c r="AA475" s="147" t="s">
        <v>3600</v>
      </c>
    </row>
    <row r="476" spans="1:27" ht="18.600000000000001" customHeight="1">
      <c r="A476" s="140" t="str">
        <f>IF(priority(Main[[#This Row],[Comments]])&lt;&gt;0, priority(Main[[#This Row],[Comments]]),"")</f>
        <v/>
      </c>
      <c r="B476" s="90" t="s">
        <v>1621</v>
      </c>
      <c r="C476" s="72" t="s">
        <v>4</v>
      </c>
      <c r="D476" s="73" t="s">
        <v>686</v>
      </c>
      <c r="E476" s="74">
        <v>40619.658206018517</v>
      </c>
      <c r="F476" s="74"/>
      <c r="G476" s="75" t="str">
        <f>IF(stdProdLT(Main[[#This Row],[Comments]])=0.1,"N/A",IF(stdProdLT(Main[[#This Row],[Comments]])=0,"",stdProdLT(Main[[#This Row],[Comments]])))</f>
        <v/>
      </c>
      <c r="H476" s="76" t="str">
        <f>IF(AND(Main[[#This Row],[In Stock Date]]&lt;&gt;"",Main[[#This Row],[Revised Due Date]]&lt;&gt;""),Main[[#This Row],[In Stock Date]]-Main[[#This Row],[Revised Due Date]],"")</f>
        <v/>
      </c>
      <c r="I476" s="72" t="s">
        <v>933</v>
      </c>
      <c r="J476" s="72" t="s">
        <v>28</v>
      </c>
      <c r="K476" s="72" t="s">
        <v>1941</v>
      </c>
      <c r="L476" s="74"/>
      <c r="M476" s="77" t="str">
        <f>IF(Main[[#This Row],[Tech Start Date]]&lt;1/1/1990,"",IF(Main[[#This Row],[Class]]="C",WORKDAY(Main[[#This Row],[Tech Start Date]],9),IF(Main[[#This Row],[Class]]="B", WORKDAY(Main[[#This Row],[Tech Start Date]],6),IF(Main[[#This Row],[Class]]="A",WORKDAY(Main[[#This Row],[Tech Start Date]],2),""))))</f>
        <v/>
      </c>
      <c r="N476" s="77" t="str">
        <f>IF(Main[[#This Row],[Tech Start Date]]&lt;1/1/1990,"",IF(Main[[#This Row],[Class]]="C",WORKDAY(Main[[#This Row],[Tech Start Date]],19),IF(Main[[#This Row],[Class]]="B", WORKDAY(Main[[#This Row],[Tech Start Date]],12),IF(Main[[#This Row],[Class]]="A",WORKDAY(Main[[#This Row],[Tech Start Date]],4),""))))</f>
        <v/>
      </c>
      <c r="O476" s="77" t="str">
        <f>IF(Main[[#This Row],[Tech Start Date]]&lt;1/1/1990,"",IF(Main[[#This Row],[Class]]="C",WORKDAY(Main[[#This Row],[Tech Start Date]],23),IF(Main[[#This Row],[Class]]="B", WORKDAY(Main[[#This Row],[Tech Start Date]],15),IF(Main[[#This Row],[Class]]="A",WORKDAY(Main[[#This Row],[Tech Start Date]],5),""))))</f>
        <v/>
      </c>
      <c r="P476" s="77" t="str">
        <f>IF(Main[[#This Row],[Tech Start Date]]&lt;1/1/1990,"",IF(Main[[#This Row],[Class]]="C",WORKDAY(Main[[#This Row],[Tech Start Date]],28),IF(Main[[#This Row],[Class]]="B", WORKDAY(Main[[#This Row],[Tech Start Date]],19),IF(Main[[#This Row],[Class]]="A",WORKDAY(Main[[#This Row],[Tech Start Date]],9),""))))</f>
        <v/>
      </c>
      <c r="Q476" s="74"/>
      <c r="R476" s="74"/>
      <c r="S476" s="72" t="s">
        <v>6</v>
      </c>
      <c r="T476" s="80" t="s">
        <v>4</v>
      </c>
      <c r="U476" s="72" t="s">
        <v>29</v>
      </c>
      <c r="V476" s="72" t="s">
        <v>1947</v>
      </c>
      <c r="W476" s="72" t="s">
        <v>1934</v>
      </c>
      <c r="X476" s="72" t="s">
        <v>933</v>
      </c>
      <c r="Y476" s="72" t="s">
        <v>3069</v>
      </c>
      <c r="Z476" s="72" t="s">
        <v>2237</v>
      </c>
      <c r="AA476" s="147" t="s">
        <v>933</v>
      </c>
    </row>
    <row r="477" spans="1:27" ht="18.600000000000001" customHeight="1">
      <c r="A477" s="140" t="str">
        <f>IF(priority(Main[[#This Row],[Comments]])&lt;&gt;0, priority(Main[[#This Row],[Comments]]),"")</f>
        <v/>
      </c>
      <c r="B477" s="137" t="s">
        <v>1358</v>
      </c>
      <c r="C477" s="130" t="s">
        <v>4</v>
      </c>
      <c r="D477" s="131" t="s">
        <v>435</v>
      </c>
      <c r="E477" s="132">
        <v>40585.693101851852</v>
      </c>
      <c r="F477" s="132"/>
      <c r="G477" s="133" t="str">
        <f>IF(stdProdLT(Main[[#This Row],[Comments]])=0.1,"N/A",IF(stdProdLT(Main[[#This Row],[Comments]])=0,"",stdProdLT(Main[[#This Row],[Comments]])))</f>
        <v/>
      </c>
      <c r="H477" s="134" t="str">
        <f>IF(AND(Main[[#This Row],[In Stock Date]]&lt;&gt;"",Main[[#This Row],[Revised Due Date]]&lt;&gt;""),Main[[#This Row],[In Stock Date]]-Main[[#This Row],[Revised Due Date]],"")</f>
        <v/>
      </c>
      <c r="I477" s="130" t="s">
        <v>436</v>
      </c>
      <c r="J477" s="130" t="s">
        <v>21</v>
      </c>
      <c r="K477" s="130" t="s">
        <v>4</v>
      </c>
      <c r="L477" s="132"/>
      <c r="M477" s="135" t="str">
        <f>IF(Main[[#This Row],[Tech Start Date]]&lt;1/1/1990,"",IF(Main[[#This Row],[Class]]="C",WORKDAY(Main[[#This Row],[Tech Start Date]],9),IF(Main[[#This Row],[Class]]="B", WORKDAY(Main[[#This Row],[Tech Start Date]],6),IF(Main[[#This Row],[Class]]="A",WORKDAY(Main[[#This Row],[Tech Start Date]],2),""))))</f>
        <v/>
      </c>
      <c r="N477" s="135" t="str">
        <f>IF(Main[[#This Row],[Tech Start Date]]&lt;1/1/1990,"",IF(Main[[#This Row],[Class]]="C",WORKDAY(Main[[#This Row],[Tech Start Date]],19),IF(Main[[#This Row],[Class]]="B", WORKDAY(Main[[#This Row],[Tech Start Date]],12),IF(Main[[#This Row],[Class]]="A",WORKDAY(Main[[#This Row],[Tech Start Date]],4),""))))</f>
        <v/>
      </c>
      <c r="O477" s="135" t="str">
        <f>IF(Main[[#This Row],[Tech Start Date]]&lt;1/1/1990,"",IF(Main[[#This Row],[Class]]="C",WORKDAY(Main[[#This Row],[Tech Start Date]],23),IF(Main[[#This Row],[Class]]="B", WORKDAY(Main[[#This Row],[Tech Start Date]],15),IF(Main[[#This Row],[Class]]="A",WORKDAY(Main[[#This Row],[Tech Start Date]],5),""))))</f>
        <v/>
      </c>
      <c r="P477" s="135" t="str">
        <f>IF(Main[[#This Row],[Tech Start Date]]&lt;1/1/1990,"",IF(Main[[#This Row],[Class]]="C",WORKDAY(Main[[#This Row],[Tech Start Date]],28),IF(Main[[#This Row],[Class]]="B", WORKDAY(Main[[#This Row],[Tech Start Date]],19),IF(Main[[#This Row],[Class]]="A",WORKDAY(Main[[#This Row],[Tech Start Date]],9),""))))</f>
        <v/>
      </c>
      <c r="Q477" s="132">
        <v>40602</v>
      </c>
      <c r="R477" s="132"/>
      <c r="S477" s="130" t="s">
        <v>6</v>
      </c>
      <c r="T477" s="136" t="s">
        <v>4</v>
      </c>
      <c r="U477" s="130" t="s">
        <v>29</v>
      </c>
      <c r="V477" s="130" t="s">
        <v>1935</v>
      </c>
      <c r="W477" s="130" t="s">
        <v>1936</v>
      </c>
      <c r="X477" s="130" t="s">
        <v>30</v>
      </c>
      <c r="Y477" s="130" t="s">
        <v>3044</v>
      </c>
      <c r="Z477" s="130" t="s">
        <v>420</v>
      </c>
      <c r="AA477" s="147" t="s">
        <v>30</v>
      </c>
    </row>
    <row r="478" spans="1:27" ht="18.600000000000001" customHeight="1">
      <c r="A478" s="140" t="str">
        <f>IF(priority(Main[[#This Row],[Comments]])&lt;&gt;0, priority(Main[[#This Row],[Comments]]),"")</f>
        <v/>
      </c>
      <c r="B478" s="90" t="s">
        <v>1359</v>
      </c>
      <c r="C478" s="72" t="s">
        <v>4</v>
      </c>
      <c r="D478" s="73" t="s">
        <v>437</v>
      </c>
      <c r="E478" s="74"/>
      <c r="F478" s="74"/>
      <c r="G478" s="75" t="str">
        <f>IF(stdProdLT(Main[[#This Row],[Comments]])=0.1,"N/A",IF(stdProdLT(Main[[#This Row],[Comments]])=0,"",stdProdLT(Main[[#This Row],[Comments]])))</f>
        <v/>
      </c>
      <c r="H478" s="76" t="str">
        <f>IF(AND(Main[[#This Row],[In Stock Date]]&lt;&gt;"",Main[[#This Row],[Revised Due Date]]&lt;&gt;""),Main[[#This Row],[In Stock Date]]-Main[[#This Row],[Revised Due Date]],"")</f>
        <v/>
      </c>
      <c r="I478" s="72" t="s">
        <v>4</v>
      </c>
      <c r="J478" s="72" t="s">
        <v>4</v>
      </c>
      <c r="K478" s="72" t="s">
        <v>4</v>
      </c>
      <c r="L478" s="74"/>
      <c r="M478" s="77" t="str">
        <f>IF(Main[[#This Row],[Tech Start Date]]&lt;1/1/1990,"",IF(Main[[#This Row],[Class]]="C",WORKDAY(Main[[#This Row],[Tech Start Date]],9),IF(Main[[#This Row],[Class]]="B", WORKDAY(Main[[#This Row],[Tech Start Date]],6),IF(Main[[#This Row],[Class]]="A",WORKDAY(Main[[#This Row],[Tech Start Date]],2),""))))</f>
        <v/>
      </c>
      <c r="N478" s="77" t="str">
        <f>IF(Main[[#This Row],[Tech Start Date]]&lt;1/1/1990,"",IF(Main[[#This Row],[Class]]="C",WORKDAY(Main[[#This Row],[Tech Start Date]],19),IF(Main[[#This Row],[Class]]="B", WORKDAY(Main[[#This Row],[Tech Start Date]],12),IF(Main[[#This Row],[Class]]="A",WORKDAY(Main[[#This Row],[Tech Start Date]],4),""))))</f>
        <v/>
      </c>
      <c r="O478" s="77" t="str">
        <f>IF(Main[[#This Row],[Tech Start Date]]&lt;1/1/1990,"",IF(Main[[#This Row],[Class]]="C",WORKDAY(Main[[#This Row],[Tech Start Date]],23),IF(Main[[#This Row],[Class]]="B", WORKDAY(Main[[#This Row],[Tech Start Date]],15),IF(Main[[#This Row],[Class]]="A",WORKDAY(Main[[#This Row],[Tech Start Date]],5),""))))</f>
        <v/>
      </c>
      <c r="P478" s="77" t="str">
        <f>IF(Main[[#This Row],[Tech Start Date]]&lt;1/1/1990,"",IF(Main[[#This Row],[Class]]="C",WORKDAY(Main[[#This Row],[Tech Start Date]],28),IF(Main[[#This Row],[Class]]="B", WORKDAY(Main[[#This Row],[Tech Start Date]],19),IF(Main[[#This Row],[Class]]="A",WORKDAY(Main[[#This Row],[Tech Start Date]],9),""))))</f>
        <v/>
      </c>
      <c r="Q478" s="74"/>
      <c r="R478" s="74"/>
      <c r="S478" s="72" t="s">
        <v>4</v>
      </c>
      <c r="T478" s="80" t="s">
        <v>4</v>
      </c>
      <c r="U478" s="72" t="s">
        <v>14</v>
      </c>
      <c r="V478" s="72" t="s">
        <v>1932</v>
      </c>
      <c r="W478" s="72" t="s">
        <v>1946</v>
      </c>
      <c r="X478" s="72" t="s">
        <v>933</v>
      </c>
      <c r="Y478" s="72" t="s">
        <v>4</v>
      </c>
      <c r="Z478" s="72" t="s">
        <v>4</v>
      </c>
      <c r="AA478" s="147" t="s">
        <v>4</v>
      </c>
    </row>
    <row r="479" spans="1:27" ht="18.600000000000001" customHeight="1">
      <c r="A479" s="140" t="str">
        <f>IF(priority(Main[[#This Row],[Comments]])&lt;&gt;0, priority(Main[[#This Row],[Comments]]),"")</f>
        <v/>
      </c>
      <c r="B479" s="90" t="s">
        <v>1361</v>
      </c>
      <c r="C479" s="72" t="s">
        <v>31</v>
      </c>
      <c r="D479" s="73" t="s">
        <v>440</v>
      </c>
      <c r="E479" s="74"/>
      <c r="F479" s="74"/>
      <c r="G479" s="75" t="str">
        <f>IF(stdProdLT(Main[[#This Row],[Comments]])=0.1,"N/A",IF(stdProdLT(Main[[#This Row],[Comments]])=0,"",stdProdLT(Main[[#This Row],[Comments]])))</f>
        <v/>
      </c>
      <c r="H479" s="76" t="str">
        <f>IF(AND(Main[[#This Row],[In Stock Date]]&lt;&gt;"",Main[[#This Row],[Revised Due Date]]&lt;&gt;""),Main[[#This Row],[In Stock Date]]-Main[[#This Row],[Revised Due Date]],"")</f>
        <v/>
      </c>
      <c r="I479" s="72" t="s">
        <v>4</v>
      </c>
      <c r="J479" s="72" t="s">
        <v>4</v>
      </c>
      <c r="K479" s="72" t="s">
        <v>4</v>
      </c>
      <c r="L479" s="74"/>
      <c r="M479" s="77" t="str">
        <f>IF(Main[[#This Row],[Tech Start Date]]&lt;1/1/1990,"",IF(Main[[#This Row],[Class]]="C",WORKDAY(Main[[#This Row],[Tech Start Date]],9),IF(Main[[#This Row],[Class]]="B", WORKDAY(Main[[#This Row],[Tech Start Date]],6),IF(Main[[#This Row],[Class]]="A",WORKDAY(Main[[#This Row],[Tech Start Date]],2),""))))</f>
        <v/>
      </c>
      <c r="N479" s="77" t="str">
        <f>IF(Main[[#This Row],[Tech Start Date]]&lt;1/1/1990,"",IF(Main[[#This Row],[Class]]="C",WORKDAY(Main[[#This Row],[Tech Start Date]],19),IF(Main[[#This Row],[Class]]="B", WORKDAY(Main[[#This Row],[Tech Start Date]],12),IF(Main[[#This Row],[Class]]="A",WORKDAY(Main[[#This Row],[Tech Start Date]],4),""))))</f>
        <v/>
      </c>
      <c r="O479" s="77" t="str">
        <f>IF(Main[[#This Row],[Tech Start Date]]&lt;1/1/1990,"",IF(Main[[#This Row],[Class]]="C",WORKDAY(Main[[#This Row],[Tech Start Date]],23),IF(Main[[#This Row],[Class]]="B", WORKDAY(Main[[#This Row],[Tech Start Date]],15),IF(Main[[#This Row],[Class]]="A",WORKDAY(Main[[#This Row],[Tech Start Date]],5),""))))</f>
        <v/>
      </c>
      <c r="P479" s="77" t="str">
        <f>IF(Main[[#This Row],[Tech Start Date]]&lt;1/1/1990,"",IF(Main[[#This Row],[Class]]="C",WORKDAY(Main[[#This Row],[Tech Start Date]],28),IF(Main[[#This Row],[Class]]="B", WORKDAY(Main[[#This Row],[Tech Start Date]],19),IF(Main[[#This Row],[Class]]="A",WORKDAY(Main[[#This Row],[Tech Start Date]],9),""))))</f>
        <v/>
      </c>
      <c r="Q479" s="74">
        <v>40318</v>
      </c>
      <c r="R479" s="74"/>
      <c r="S479" s="72" t="s">
        <v>11</v>
      </c>
      <c r="T479" s="80" t="s">
        <v>4</v>
      </c>
      <c r="U479" s="72" t="s">
        <v>14</v>
      </c>
      <c r="V479" s="72" t="s">
        <v>1935</v>
      </c>
      <c r="W479" s="72" t="s">
        <v>1934</v>
      </c>
      <c r="X479" s="72" t="s">
        <v>2914</v>
      </c>
      <c r="Y479" s="72" t="s">
        <v>4</v>
      </c>
      <c r="Z479" s="72" t="s">
        <v>4</v>
      </c>
      <c r="AA479" s="147" t="s">
        <v>2914</v>
      </c>
    </row>
    <row r="480" spans="1:27" ht="18.600000000000001" customHeight="1">
      <c r="A480" s="140" t="str">
        <f>IF(priority(Main[[#This Row],[Comments]])&lt;&gt;0, priority(Main[[#This Row],[Comments]]),"")</f>
        <v/>
      </c>
      <c r="B480" s="90" t="s">
        <v>1362</v>
      </c>
      <c r="C480" s="72" t="s">
        <v>441</v>
      </c>
      <c r="D480" s="73" t="s">
        <v>442</v>
      </c>
      <c r="E480" s="74"/>
      <c r="F480" s="74">
        <v>40056</v>
      </c>
      <c r="G480" s="75" t="str">
        <f>IF(stdProdLT(Main[[#This Row],[Comments]])=0.1,"N/A",IF(stdProdLT(Main[[#This Row],[Comments]])=0,"",stdProdLT(Main[[#This Row],[Comments]])))</f>
        <v/>
      </c>
      <c r="H480" s="76" t="str">
        <f>IF(AND(Main[[#This Row],[In Stock Date]]&lt;&gt;"",Main[[#This Row],[Revised Due Date]]&lt;&gt;""),Main[[#This Row],[In Stock Date]]-Main[[#This Row],[Revised Due Date]],"")</f>
        <v/>
      </c>
      <c r="I480" s="72" t="s">
        <v>4</v>
      </c>
      <c r="J480" s="72" t="s">
        <v>4</v>
      </c>
      <c r="K480" s="81" t="s">
        <v>4</v>
      </c>
      <c r="L480" s="74"/>
      <c r="M480" s="77" t="str">
        <f>IF(Main[[#This Row],[Tech Start Date]]&lt;1/1/1990,"",IF(Main[[#This Row],[Class]]="C",WORKDAY(Main[[#This Row],[Tech Start Date]],9),IF(Main[[#This Row],[Class]]="B", WORKDAY(Main[[#This Row],[Tech Start Date]],6),IF(Main[[#This Row],[Class]]="A",WORKDAY(Main[[#This Row],[Tech Start Date]],2),""))))</f>
        <v/>
      </c>
      <c r="N480" s="77" t="str">
        <f>IF(Main[[#This Row],[Tech Start Date]]&lt;1/1/1990,"",IF(Main[[#This Row],[Class]]="C",WORKDAY(Main[[#This Row],[Tech Start Date]],19),IF(Main[[#This Row],[Class]]="B", WORKDAY(Main[[#This Row],[Tech Start Date]],12),IF(Main[[#This Row],[Class]]="A",WORKDAY(Main[[#This Row],[Tech Start Date]],4),""))))</f>
        <v/>
      </c>
      <c r="O480" s="77" t="str">
        <f>IF(Main[[#This Row],[Tech Start Date]]&lt;1/1/1990,"",IF(Main[[#This Row],[Class]]="C",WORKDAY(Main[[#This Row],[Tech Start Date]],23),IF(Main[[#This Row],[Class]]="B", WORKDAY(Main[[#This Row],[Tech Start Date]],15),IF(Main[[#This Row],[Class]]="A",WORKDAY(Main[[#This Row],[Tech Start Date]],5),""))))</f>
        <v/>
      </c>
      <c r="P480" s="77" t="str">
        <f>IF(Main[[#This Row],[Tech Start Date]]&lt;1/1/1990,"",IF(Main[[#This Row],[Class]]="C",WORKDAY(Main[[#This Row],[Tech Start Date]],28),IF(Main[[#This Row],[Class]]="B", WORKDAY(Main[[#This Row],[Tech Start Date]],19),IF(Main[[#This Row],[Class]]="A",WORKDAY(Main[[#This Row],[Tech Start Date]],9),""))))</f>
        <v/>
      </c>
      <c r="Q480" s="74"/>
      <c r="R480" s="74"/>
      <c r="S480" s="72" t="s">
        <v>11</v>
      </c>
      <c r="T480" s="80" t="s">
        <v>4</v>
      </c>
      <c r="U480" s="72" t="s">
        <v>14</v>
      </c>
      <c r="V480" s="72" t="s">
        <v>1932</v>
      </c>
      <c r="W480" s="72" t="s">
        <v>1940</v>
      </c>
      <c r="X480" s="72" t="s">
        <v>2937</v>
      </c>
      <c r="Y480" s="72" t="s">
        <v>3078</v>
      </c>
      <c r="Z480" s="72" t="s">
        <v>4</v>
      </c>
      <c r="AA480" s="147" t="s">
        <v>2937</v>
      </c>
    </row>
    <row r="481" spans="1:27" ht="18.600000000000001" customHeight="1">
      <c r="A481" s="140" t="str">
        <f>IF(priority(Main[[#This Row],[Comments]])&lt;&gt;0, priority(Main[[#This Row],[Comments]]),"")</f>
        <v/>
      </c>
      <c r="B481" s="90" t="s">
        <v>1363</v>
      </c>
      <c r="C481" s="72" t="s">
        <v>31</v>
      </c>
      <c r="D481" s="73" t="s">
        <v>443</v>
      </c>
      <c r="E481" s="74"/>
      <c r="F481" s="74"/>
      <c r="G481" s="75" t="str">
        <f>IF(stdProdLT(Main[[#This Row],[Comments]])=0.1,"N/A",IF(stdProdLT(Main[[#This Row],[Comments]])=0,"",stdProdLT(Main[[#This Row],[Comments]])))</f>
        <v/>
      </c>
      <c r="H481" s="76" t="str">
        <f>IF(AND(Main[[#This Row],[In Stock Date]]&lt;&gt;"",Main[[#This Row],[Revised Due Date]]&lt;&gt;""),Main[[#This Row],[In Stock Date]]-Main[[#This Row],[Revised Due Date]],"")</f>
        <v/>
      </c>
      <c r="I481" s="72" t="s">
        <v>4</v>
      </c>
      <c r="J481" s="72" t="s">
        <v>4</v>
      </c>
      <c r="K481" s="72" t="s">
        <v>4</v>
      </c>
      <c r="L481" s="74"/>
      <c r="M481" s="77" t="str">
        <f>IF(Main[[#This Row],[Tech Start Date]]&lt;1/1/1990,"",IF(Main[[#This Row],[Class]]="C",WORKDAY(Main[[#This Row],[Tech Start Date]],9),IF(Main[[#This Row],[Class]]="B", WORKDAY(Main[[#This Row],[Tech Start Date]],6),IF(Main[[#This Row],[Class]]="A",WORKDAY(Main[[#This Row],[Tech Start Date]],2),""))))</f>
        <v/>
      </c>
      <c r="N481" s="77" t="str">
        <f>IF(Main[[#This Row],[Tech Start Date]]&lt;1/1/1990,"",IF(Main[[#This Row],[Class]]="C",WORKDAY(Main[[#This Row],[Tech Start Date]],19),IF(Main[[#This Row],[Class]]="B", WORKDAY(Main[[#This Row],[Tech Start Date]],12),IF(Main[[#This Row],[Class]]="A",WORKDAY(Main[[#This Row],[Tech Start Date]],4),""))))</f>
        <v/>
      </c>
      <c r="O481" s="77" t="str">
        <f>IF(Main[[#This Row],[Tech Start Date]]&lt;1/1/1990,"",IF(Main[[#This Row],[Class]]="C",WORKDAY(Main[[#This Row],[Tech Start Date]],23),IF(Main[[#This Row],[Class]]="B", WORKDAY(Main[[#This Row],[Tech Start Date]],15),IF(Main[[#This Row],[Class]]="A",WORKDAY(Main[[#This Row],[Tech Start Date]],5),""))))</f>
        <v/>
      </c>
      <c r="P481" s="77" t="str">
        <f>IF(Main[[#This Row],[Tech Start Date]]&lt;1/1/1990,"",IF(Main[[#This Row],[Class]]="C",WORKDAY(Main[[#This Row],[Tech Start Date]],28),IF(Main[[#This Row],[Class]]="B", WORKDAY(Main[[#This Row],[Tech Start Date]],19),IF(Main[[#This Row],[Class]]="A",WORKDAY(Main[[#This Row],[Tech Start Date]],9),""))))</f>
        <v/>
      </c>
      <c r="Q481" s="74">
        <v>40318</v>
      </c>
      <c r="R481" s="74"/>
      <c r="S481" s="72" t="s">
        <v>11</v>
      </c>
      <c r="T481" s="80" t="s">
        <v>4</v>
      </c>
      <c r="U481" s="72" t="s">
        <v>14</v>
      </c>
      <c r="V481" s="72" t="s">
        <v>1935</v>
      </c>
      <c r="W481" s="72" t="s">
        <v>1943</v>
      </c>
      <c r="X481" s="72" t="s">
        <v>2914</v>
      </c>
      <c r="Y481" s="72" t="s">
        <v>4</v>
      </c>
      <c r="Z481" s="72" t="s">
        <v>4</v>
      </c>
      <c r="AA481" s="147" t="s">
        <v>2914</v>
      </c>
    </row>
    <row r="482" spans="1:27" ht="18.600000000000001" customHeight="1">
      <c r="A482" s="140" t="str">
        <f>IF(priority(Main[[#This Row],[Comments]])&lt;&gt;0, priority(Main[[#This Row],[Comments]]),"")</f>
        <v/>
      </c>
      <c r="B482" s="90" t="s">
        <v>1364</v>
      </c>
      <c r="C482" s="72" t="s">
        <v>31</v>
      </c>
      <c r="D482" s="73" t="s">
        <v>444</v>
      </c>
      <c r="E482" s="74"/>
      <c r="F482" s="74"/>
      <c r="G482" s="75" t="str">
        <f>IF(stdProdLT(Main[[#This Row],[Comments]])=0.1,"N/A",IF(stdProdLT(Main[[#This Row],[Comments]])=0,"",stdProdLT(Main[[#This Row],[Comments]])))</f>
        <v/>
      </c>
      <c r="H482" s="76" t="str">
        <f>IF(AND(Main[[#This Row],[In Stock Date]]&lt;&gt;"",Main[[#This Row],[Revised Due Date]]&lt;&gt;""),Main[[#This Row],[In Stock Date]]-Main[[#This Row],[Revised Due Date]],"")</f>
        <v/>
      </c>
      <c r="I482" s="72" t="s">
        <v>4</v>
      </c>
      <c r="J482" s="72" t="s">
        <v>4</v>
      </c>
      <c r="K482" s="72" t="s">
        <v>4</v>
      </c>
      <c r="L482" s="74"/>
      <c r="M482" s="77" t="str">
        <f>IF(Main[[#This Row],[Tech Start Date]]&lt;1/1/1990,"",IF(Main[[#This Row],[Class]]="C",WORKDAY(Main[[#This Row],[Tech Start Date]],9),IF(Main[[#This Row],[Class]]="B", WORKDAY(Main[[#This Row],[Tech Start Date]],6),IF(Main[[#This Row],[Class]]="A",WORKDAY(Main[[#This Row],[Tech Start Date]],2),""))))</f>
        <v/>
      </c>
      <c r="N482" s="77" t="str">
        <f>IF(Main[[#This Row],[Tech Start Date]]&lt;1/1/1990,"",IF(Main[[#This Row],[Class]]="C",WORKDAY(Main[[#This Row],[Tech Start Date]],19),IF(Main[[#This Row],[Class]]="B", WORKDAY(Main[[#This Row],[Tech Start Date]],12),IF(Main[[#This Row],[Class]]="A",WORKDAY(Main[[#This Row],[Tech Start Date]],4),""))))</f>
        <v/>
      </c>
      <c r="O482" s="77" t="str">
        <f>IF(Main[[#This Row],[Tech Start Date]]&lt;1/1/1990,"",IF(Main[[#This Row],[Class]]="C",WORKDAY(Main[[#This Row],[Tech Start Date]],23),IF(Main[[#This Row],[Class]]="B", WORKDAY(Main[[#This Row],[Tech Start Date]],15),IF(Main[[#This Row],[Class]]="A",WORKDAY(Main[[#This Row],[Tech Start Date]],5),""))))</f>
        <v/>
      </c>
      <c r="P482" s="77" t="str">
        <f>IF(Main[[#This Row],[Tech Start Date]]&lt;1/1/1990,"",IF(Main[[#This Row],[Class]]="C",WORKDAY(Main[[#This Row],[Tech Start Date]],28),IF(Main[[#This Row],[Class]]="B", WORKDAY(Main[[#This Row],[Tech Start Date]],19),IF(Main[[#This Row],[Class]]="A",WORKDAY(Main[[#This Row],[Tech Start Date]],9),""))))</f>
        <v/>
      </c>
      <c r="Q482" s="74">
        <v>40318</v>
      </c>
      <c r="R482" s="74"/>
      <c r="S482" s="72" t="s">
        <v>11</v>
      </c>
      <c r="T482" s="80" t="s">
        <v>4</v>
      </c>
      <c r="U482" s="72" t="s">
        <v>14</v>
      </c>
      <c r="V482" s="72" t="s">
        <v>1935</v>
      </c>
      <c r="W482" s="72" t="s">
        <v>1934</v>
      </c>
      <c r="X482" s="72" t="s">
        <v>2914</v>
      </c>
      <c r="Y482" s="72" t="s">
        <v>4</v>
      </c>
      <c r="Z482" s="72" t="s">
        <v>4</v>
      </c>
      <c r="AA482" s="147" t="s">
        <v>2914</v>
      </c>
    </row>
    <row r="483" spans="1:27" ht="18.600000000000001" customHeight="1">
      <c r="A483" s="140" t="str">
        <f>IF(priority(Main[[#This Row],[Comments]])&lt;&gt;0, priority(Main[[#This Row],[Comments]]),"")</f>
        <v/>
      </c>
      <c r="B483" s="124" t="s">
        <v>1366</v>
      </c>
      <c r="C483" s="117" t="s">
        <v>4</v>
      </c>
      <c r="D483" s="118" t="s">
        <v>446</v>
      </c>
      <c r="E483" s="119">
        <v>40371.342870370368</v>
      </c>
      <c r="F483" s="119"/>
      <c r="G483" s="120" t="str">
        <f>IF(stdProdLT(Main[[#This Row],[Comments]])=0.1,"N/A",IF(stdProdLT(Main[[#This Row],[Comments]])=0,"",stdProdLT(Main[[#This Row],[Comments]])))</f>
        <v/>
      </c>
      <c r="H483" s="121" t="str">
        <f>IF(AND(Main[[#This Row],[In Stock Date]]&lt;&gt;"",Main[[#This Row],[Revised Due Date]]&lt;&gt;""),Main[[#This Row],[In Stock Date]]-Main[[#This Row],[Revised Due Date]],"")</f>
        <v/>
      </c>
      <c r="I483" s="117" t="s">
        <v>4</v>
      </c>
      <c r="J483" s="117" t="s">
        <v>4</v>
      </c>
      <c r="K483" s="117" t="s">
        <v>4</v>
      </c>
      <c r="L483" s="119"/>
      <c r="M483" s="122" t="str">
        <f>IF(Main[[#This Row],[Tech Start Date]]&lt;1/1/1990,"",IF(Main[[#This Row],[Class]]="C",WORKDAY(Main[[#This Row],[Tech Start Date]],9),IF(Main[[#This Row],[Class]]="B", WORKDAY(Main[[#This Row],[Tech Start Date]],6),IF(Main[[#This Row],[Class]]="A",WORKDAY(Main[[#This Row],[Tech Start Date]],2),""))))</f>
        <v/>
      </c>
      <c r="N483" s="122" t="str">
        <f>IF(Main[[#This Row],[Tech Start Date]]&lt;1/1/1990,"",IF(Main[[#This Row],[Class]]="C",WORKDAY(Main[[#This Row],[Tech Start Date]],19),IF(Main[[#This Row],[Class]]="B", WORKDAY(Main[[#This Row],[Tech Start Date]],12),IF(Main[[#This Row],[Class]]="A",WORKDAY(Main[[#This Row],[Tech Start Date]],4),""))))</f>
        <v/>
      </c>
      <c r="O483" s="122" t="str">
        <f>IF(Main[[#This Row],[Tech Start Date]]&lt;1/1/1990,"",IF(Main[[#This Row],[Class]]="C",WORKDAY(Main[[#This Row],[Tech Start Date]],23),IF(Main[[#This Row],[Class]]="B", WORKDAY(Main[[#This Row],[Tech Start Date]],15),IF(Main[[#This Row],[Class]]="A",WORKDAY(Main[[#This Row],[Tech Start Date]],5),""))))</f>
        <v/>
      </c>
      <c r="P483" s="122" t="str">
        <f>IF(Main[[#This Row],[Tech Start Date]]&lt;1/1/1990,"",IF(Main[[#This Row],[Class]]="C",WORKDAY(Main[[#This Row],[Tech Start Date]],28),IF(Main[[#This Row],[Class]]="B", WORKDAY(Main[[#This Row],[Tech Start Date]],19),IF(Main[[#This Row],[Class]]="A",WORKDAY(Main[[#This Row],[Tech Start Date]],9),""))))</f>
        <v/>
      </c>
      <c r="Q483" s="119">
        <v>40385</v>
      </c>
      <c r="R483" s="119"/>
      <c r="S483" s="117" t="s">
        <v>6</v>
      </c>
      <c r="T483" s="123" t="s">
        <v>4</v>
      </c>
      <c r="U483" s="117" t="s">
        <v>7</v>
      </c>
      <c r="V483" s="117" t="s">
        <v>1932</v>
      </c>
      <c r="W483" s="117" t="s">
        <v>1934</v>
      </c>
      <c r="X483" s="117" t="s">
        <v>102</v>
      </c>
      <c r="Y483" s="117" t="s">
        <v>3119</v>
      </c>
      <c r="Z483" s="117" t="s">
        <v>4</v>
      </c>
      <c r="AA483" s="147" t="s">
        <v>3584</v>
      </c>
    </row>
    <row r="484" spans="1:27" ht="18.600000000000001" customHeight="1">
      <c r="A484" s="140" t="str">
        <f>IF(priority(Main[[#This Row],[Comments]])&lt;&gt;0, priority(Main[[#This Row],[Comments]]),"")</f>
        <v/>
      </c>
      <c r="B484" s="90" t="s">
        <v>1367</v>
      </c>
      <c r="C484" s="72" t="s">
        <v>4</v>
      </c>
      <c r="D484" s="73" t="s">
        <v>447</v>
      </c>
      <c r="E484" s="74">
        <v>40679.250891203701</v>
      </c>
      <c r="F484" s="74"/>
      <c r="G484" s="75" t="str">
        <f>IF(stdProdLT(Main[[#This Row],[Comments]])=0.1,"N/A",IF(stdProdLT(Main[[#This Row],[Comments]])=0,"",stdProdLT(Main[[#This Row],[Comments]])))</f>
        <v/>
      </c>
      <c r="H484" s="76" t="str">
        <f>IF(AND(Main[[#This Row],[In Stock Date]]&lt;&gt;"",Main[[#This Row],[Revised Due Date]]&lt;&gt;""),Main[[#This Row],[In Stock Date]]-Main[[#This Row],[Revised Due Date]],"")</f>
        <v/>
      </c>
      <c r="I484" s="72" t="s">
        <v>4</v>
      </c>
      <c r="J484" s="72" t="s">
        <v>4</v>
      </c>
      <c r="K484" s="72" t="s">
        <v>4</v>
      </c>
      <c r="L484" s="74"/>
      <c r="M484" s="77" t="str">
        <f>IF(Main[[#This Row],[Tech Start Date]]&lt;1/1/1990,"",IF(Main[[#This Row],[Class]]="C",WORKDAY(Main[[#This Row],[Tech Start Date]],9),IF(Main[[#This Row],[Class]]="B", WORKDAY(Main[[#This Row],[Tech Start Date]],6),IF(Main[[#This Row],[Class]]="A",WORKDAY(Main[[#This Row],[Tech Start Date]],2),""))))</f>
        <v/>
      </c>
      <c r="N484" s="77" t="str">
        <f>IF(Main[[#This Row],[Tech Start Date]]&lt;1/1/1990,"",IF(Main[[#This Row],[Class]]="C",WORKDAY(Main[[#This Row],[Tech Start Date]],19),IF(Main[[#This Row],[Class]]="B", WORKDAY(Main[[#This Row],[Tech Start Date]],12),IF(Main[[#This Row],[Class]]="A",WORKDAY(Main[[#This Row],[Tech Start Date]],4),""))))</f>
        <v/>
      </c>
      <c r="O484" s="77" t="str">
        <f>IF(Main[[#This Row],[Tech Start Date]]&lt;1/1/1990,"",IF(Main[[#This Row],[Class]]="C",WORKDAY(Main[[#This Row],[Tech Start Date]],23),IF(Main[[#This Row],[Class]]="B", WORKDAY(Main[[#This Row],[Tech Start Date]],15),IF(Main[[#This Row],[Class]]="A",WORKDAY(Main[[#This Row],[Tech Start Date]],5),""))))</f>
        <v/>
      </c>
      <c r="P484" s="77" t="str">
        <f>IF(Main[[#This Row],[Tech Start Date]]&lt;1/1/1990,"",IF(Main[[#This Row],[Class]]="C",WORKDAY(Main[[#This Row],[Tech Start Date]],28),IF(Main[[#This Row],[Class]]="B", WORKDAY(Main[[#This Row],[Tech Start Date]],19),IF(Main[[#This Row],[Class]]="A",WORKDAY(Main[[#This Row],[Tech Start Date]],9),""))))</f>
        <v/>
      </c>
      <c r="Q484" s="74">
        <v>40724</v>
      </c>
      <c r="R484" s="74"/>
      <c r="S484" s="72" t="s">
        <v>6</v>
      </c>
      <c r="T484" s="80" t="s">
        <v>4</v>
      </c>
      <c r="U484" s="72" t="s">
        <v>7</v>
      </c>
      <c r="V484" s="72" t="s">
        <v>1932</v>
      </c>
      <c r="W484" s="72" t="s">
        <v>4</v>
      </c>
      <c r="X484" s="72" t="s">
        <v>2906</v>
      </c>
      <c r="Y484" s="72" t="s">
        <v>3025</v>
      </c>
      <c r="Z484" s="72" t="s">
        <v>4</v>
      </c>
      <c r="AA484" s="147" t="s">
        <v>2906</v>
      </c>
    </row>
    <row r="485" spans="1:27" ht="18.600000000000001" customHeight="1">
      <c r="A485" s="140" t="str">
        <f>IF(priority(Main[[#This Row],[Comments]])&lt;&gt;0, priority(Main[[#This Row],[Comments]]),"")</f>
        <v/>
      </c>
      <c r="B485" s="90" t="s">
        <v>1368</v>
      </c>
      <c r="C485" s="72" t="s">
        <v>4</v>
      </c>
      <c r="D485" s="73" t="s">
        <v>448</v>
      </c>
      <c r="E485" s="74"/>
      <c r="F485" s="74"/>
      <c r="G485" s="75" t="str">
        <f>IF(stdProdLT(Main[[#This Row],[Comments]])=0.1,"N/A",IF(stdProdLT(Main[[#This Row],[Comments]])=0,"",stdProdLT(Main[[#This Row],[Comments]])))</f>
        <v/>
      </c>
      <c r="H485" s="76" t="str">
        <f>IF(AND(Main[[#This Row],[In Stock Date]]&lt;&gt;"",Main[[#This Row],[Revised Due Date]]&lt;&gt;""),Main[[#This Row],[In Stock Date]]-Main[[#This Row],[Revised Due Date]],"")</f>
        <v/>
      </c>
      <c r="I485" s="72" t="s">
        <v>4</v>
      </c>
      <c r="J485" s="72" t="s">
        <v>4</v>
      </c>
      <c r="K485" s="72" t="s">
        <v>4</v>
      </c>
      <c r="L485" s="74"/>
      <c r="M485" s="77" t="str">
        <f>IF(Main[[#This Row],[Tech Start Date]]&lt;1/1/1990,"",IF(Main[[#This Row],[Class]]="C",WORKDAY(Main[[#This Row],[Tech Start Date]],9),IF(Main[[#This Row],[Class]]="B", WORKDAY(Main[[#This Row],[Tech Start Date]],6),IF(Main[[#This Row],[Class]]="A",WORKDAY(Main[[#This Row],[Tech Start Date]],2),""))))</f>
        <v/>
      </c>
      <c r="N485" s="77" t="str">
        <f>IF(Main[[#This Row],[Tech Start Date]]&lt;1/1/1990,"",IF(Main[[#This Row],[Class]]="C",WORKDAY(Main[[#This Row],[Tech Start Date]],19),IF(Main[[#This Row],[Class]]="B", WORKDAY(Main[[#This Row],[Tech Start Date]],12),IF(Main[[#This Row],[Class]]="A",WORKDAY(Main[[#This Row],[Tech Start Date]],4),""))))</f>
        <v/>
      </c>
      <c r="O485" s="77" t="str">
        <f>IF(Main[[#This Row],[Tech Start Date]]&lt;1/1/1990,"",IF(Main[[#This Row],[Class]]="C",WORKDAY(Main[[#This Row],[Tech Start Date]],23),IF(Main[[#This Row],[Class]]="B", WORKDAY(Main[[#This Row],[Tech Start Date]],15),IF(Main[[#This Row],[Class]]="A",WORKDAY(Main[[#This Row],[Tech Start Date]],5),""))))</f>
        <v/>
      </c>
      <c r="P485" s="77" t="str">
        <f>IF(Main[[#This Row],[Tech Start Date]]&lt;1/1/1990,"",IF(Main[[#This Row],[Class]]="C",WORKDAY(Main[[#This Row],[Tech Start Date]],28),IF(Main[[#This Row],[Class]]="B", WORKDAY(Main[[#This Row],[Tech Start Date]],19),IF(Main[[#This Row],[Class]]="A",WORKDAY(Main[[#This Row],[Tech Start Date]],9),""))))</f>
        <v/>
      </c>
      <c r="Q485" s="74"/>
      <c r="R485" s="74"/>
      <c r="S485" s="72" t="s">
        <v>11</v>
      </c>
      <c r="T485" s="80" t="s">
        <v>4</v>
      </c>
      <c r="U485" s="72" t="s">
        <v>14</v>
      </c>
      <c r="V485" s="72" t="s">
        <v>1942</v>
      </c>
      <c r="W485" s="72" t="s">
        <v>1938</v>
      </c>
      <c r="X485" s="72" t="s">
        <v>2952</v>
      </c>
      <c r="Y485" s="72" t="s">
        <v>3123</v>
      </c>
      <c r="Z485" s="72" t="s">
        <v>4</v>
      </c>
      <c r="AA485" s="147" t="s">
        <v>2952</v>
      </c>
    </row>
    <row r="486" spans="1:27" ht="18.600000000000001" customHeight="1">
      <c r="A486" s="140" t="str">
        <f>IF(priority(Main[[#This Row],[Comments]])&lt;&gt;0, priority(Main[[#This Row],[Comments]]),"")</f>
        <v/>
      </c>
      <c r="B486" s="90" t="s">
        <v>1369</v>
      </c>
      <c r="C486" s="72" t="s">
        <v>441</v>
      </c>
      <c r="D486" s="73" t="s">
        <v>449</v>
      </c>
      <c r="E486" s="74"/>
      <c r="F486" s="74"/>
      <c r="G486" s="75" t="str">
        <f>IF(stdProdLT(Main[[#This Row],[Comments]])=0.1,"N/A",IF(stdProdLT(Main[[#This Row],[Comments]])=0,"",stdProdLT(Main[[#This Row],[Comments]])))</f>
        <v/>
      </c>
      <c r="H486" s="76" t="str">
        <f>IF(AND(Main[[#This Row],[In Stock Date]]&lt;&gt;"",Main[[#This Row],[Revised Due Date]]&lt;&gt;""),Main[[#This Row],[In Stock Date]]-Main[[#This Row],[Revised Due Date]],"")</f>
        <v/>
      </c>
      <c r="I486" s="72" t="s">
        <v>4</v>
      </c>
      <c r="J486" s="72" t="s">
        <v>4</v>
      </c>
      <c r="K486" s="72" t="s">
        <v>4</v>
      </c>
      <c r="L486" s="74"/>
      <c r="M486" s="77" t="str">
        <f>IF(Main[[#This Row],[Tech Start Date]]&lt;1/1/1990,"",IF(Main[[#This Row],[Class]]="C",WORKDAY(Main[[#This Row],[Tech Start Date]],9),IF(Main[[#This Row],[Class]]="B", WORKDAY(Main[[#This Row],[Tech Start Date]],6),IF(Main[[#This Row],[Class]]="A",WORKDAY(Main[[#This Row],[Tech Start Date]],2),""))))</f>
        <v/>
      </c>
      <c r="N486" s="77" t="str">
        <f>IF(Main[[#This Row],[Tech Start Date]]&lt;1/1/1990,"",IF(Main[[#This Row],[Class]]="C",WORKDAY(Main[[#This Row],[Tech Start Date]],19),IF(Main[[#This Row],[Class]]="B", WORKDAY(Main[[#This Row],[Tech Start Date]],12),IF(Main[[#This Row],[Class]]="A",WORKDAY(Main[[#This Row],[Tech Start Date]],4),""))))</f>
        <v/>
      </c>
      <c r="O486" s="77" t="str">
        <f>IF(Main[[#This Row],[Tech Start Date]]&lt;1/1/1990,"",IF(Main[[#This Row],[Class]]="C",WORKDAY(Main[[#This Row],[Tech Start Date]],23),IF(Main[[#This Row],[Class]]="B", WORKDAY(Main[[#This Row],[Tech Start Date]],15),IF(Main[[#This Row],[Class]]="A",WORKDAY(Main[[#This Row],[Tech Start Date]],5),""))))</f>
        <v/>
      </c>
      <c r="P486" s="77" t="str">
        <f>IF(Main[[#This Row],[Tech Start Date]]&lt;1/1/1990,"",IF(Main[[#This Row],[Class]]="C",WORKDAY(Main[[#This Row],[Tech Start Date]],28),IF(Main[[#This Row],[Class]]="B", WORKDAY(Main[[#This Row],[Tech Start Date]],19),IF(Main[[#This Row],[Class]]="A",WORKDAY(Main[[#This Row],[Tech Start Date]],9),""))))</f>
        <v/>
      </c>
      <c r="Q486" s="74"/>
      <c r="R486" s="74"/>
      <c r="S486" s="72" t="s">
        <v>11</v>
      </c>
      <c r="T486" s="80" t="s">
        <v>4</v>
      </c>
      <c r="U486" s="72" t="s">
        <v>14</v>
      </c>
      <c r="V486" s="72" t="s">
        <v>1933</v>
      </c>
      <c r="W486" s="72" t="s">
        <v>1940</v>
      </c>
      <c r="X486" s="72" t="s">
        <v>2911</v>
      </c>
      <c r="Y486" s="72" t="s">
        <v>3035</v>
      </c>
      <c r="Z486" s="72" t="s">
        <v>4</v>
      </c>
      <c r="AA486" s="147" t="s">
        <v>2911</v>
      </c>
    </row>
    <row r="487" spans="1:27" ht="18.600000000000001" customHeight="1">
      <c r="A487" s="140" t="str">
        <f>IF(priority(Main[[#This Row],[Comments]])&lt;&gt;0, priority(Main[[#This Row],[Comments]]),"")</f>
        <v/>
      </c>
      <c r="B487" s="90" t="s">
        <v>1370</v>
      </c>
      <c r="C487" s="72" t="s">
        <v>47</v>
      </c>
      <c r="D487" s="73" t="s">
        <v>450</v>
      </c>
      <c r="E487" s="74"/>
      <c r="F487" s="74"/>
      <c r="G487" s="75" t="str">
        <f>IF(stdProdLT(Main[[#This Row],[Comments]])=0.1,"N/A",IF(stdProdLT(Main[[#This Row],[Comments]])=0,"",stdProdLT(Main[[#This Row],[Comments]])))</f>
        <v/>
      </c>
      <c r="H487" s="76" t="str">
        <f>IF(AND(Main[[#This Row],[In Stock Date]]&lt;&gt;"",Main[[#This Row],[Revised Due Date]]&lt;&gt;""),Main[[#This Row],[In Stock Date]]-Main[[#This Row],[Revised Due Date]],"")</f>
        <v/>
      </c>
      <c r="I487" s="72" t="s">
        <v>4</v>
      </c>
      <c r="J487" s="72" t="s">
        <v>4</v>
      </c>
      <c r="K487" s="72" t="s">
        <v>4</v>
      </c>
      <c r="L487" s="74"/>
      <c r="M487" s="77" t="str">
        <f>IF(Main[[#This Row],[Tech Start Date]]&lt;1/1/1990,"",IF(Main[[#This Row],[Class]]="C",WORKDAY(Main[[#This Row],[Tech Start Date]],9),IF(Main[[#This Row],[Class]]="B", WORKDAY(Main[[#This Row],[Tech Start Date]],6),IF(Main[[#This Row],[Class]]="A",WORKDAY(Main[[#This Row],[Tech Start Date]],2),""))))</f>
        <v/>
      </c>
      <c r="N487" s="77" t="str">
        <f>IF(Main[[#This Row],[Tech Start Date]]&lt;1/1/1990,"",IF(Main[[#This Row],[Class]]="C",WORKDAY(Main[[#This Row],[Tech Start Date]],19),IF(Main[[#This Row],[Class]]="B", WORKDAY(Main[[#This Row],[Tech Start Date]],12),IF(Main[[#This Row],[Class]]="A",WORKDAY(Main[[#This Row],[Tech Start Date]],4),""))))</f>
        <v/>
      </c>
      <c r="O487" s="77" t="str">
        <f>IF(Main[[#This Row],[Tech Start Date]]&lt;1/1/1990,"",IF(Main[[#This Row],[Class]]="C",WORKDAY(Main[[#This Row],[Tech Start Date]],23),IF(Main[[#This Row],[Class]]="B", WORKDAY(Main[[#This Row],[Tech Start Date]],15),IF(Main[[#This Row],[Class]]="A",WORKDAY(Main[[#This Row],[Tech Start Date]],5),""))))</f>
        <v/>
      </c>
      <c r="P487" s="77" t="str">
        <f>IF(Main[[#This Row],[Tech Start Date]]&lt;1/1/1990,"",IF(Main[[#This Row],[Class]]="C",WORKDAY(Main[[#This Row],[Tech Start Date]],28),IF(Main[[#This Row],[Class]]="B", WORKDAY(Main[[#This Row],[Tech Start Date]],19),IF(Main[[#This Row],[Class]]="A",WORKDAY(Main[[#This Row],[Tech Start Date]],9),""))))</f>
        <v/>
      </c>
      <c r="Q487" s="74"/>
      <c r="R487" s="74"/>
      <c r="S487" s="72" t="s">
        <v>49</v>
      </c>
      <c r="T487" s="80" t="s">
        <v>4</v>
      </c>
      <c r="U487" s="72" t="s">
        <v>14</v>
      </c>
      <c r="V487" s="72" t="s">
        <v>1935</v>
      </c>
      <c r="W487" s="72" t="s">
        <v>1936</v>
      </c>
      <c r="X487" s="72" t="s">
        <v>310</v>
      </c>
      <c r="Y487" s="72" t="s">
        <v>3028</v>
      </c>
      <c r="Z487" s="72" t="s">
        <v>4</v>
      </c>
      <c r="AA487" s="147" t="s">
        <v>3564</v>
      </c>
    </row>
    <row r="488" spans="1:27" ht="18.600000000000001" customHeight="1">
      <c r="A488" s="140" t="str">
        <f>IF(priority(Main[[#This Row],[Comments]])&lt;&gt;0, priority(Main[[#This Row],[Comments]]),"")</f>
        <v/>
      </c>
      <c r="B488" s="90" t="s">
        <v>1371</v>
      </c>
      <c r="C488" s="72" t="s">
        <v>47</v>
      </c>
      <c r="D488" s="73" t="s">
        <v>451</v>
      </c>
      <c r="E488" s="74">
        <v>40323.347812499997</v>
      </c>
      <c r="F488" s="74"/>
      <c r="G488" s="75" t="str">
        <f>IF(stdProdLT(Main[[#This Row],[Comments]])=0.1,"N/A",IF(stdProdLT(Main[[#This Row],[Comments]])=0,"",stdProdLT(Main[[#This Row],[Comments]])))</f>
        <v/>
      </c>
      <c r="H488" s="76" t="str">
        <f>IF(AND(Main[[#This Row],[In Stock Date]]&lt;&gt;"",Main[[#This Row],[Revised Due Date]]&lt;&gt;""),Main[[#This Row],[In Stock Date]]-Main[[#This Row],[Revised Due Date]],"")</f>
        <v/>
      </c>
      <c r="I488" s="72" t="s">
        <v>129</v>
      </c>
      <c r="J488" s="72" t="s">
        <v>4</v>
      </c>
      <c r="K488" s="72" t="s">
        <v>4</v>
      </c>
      <c r="L488" s="74"/>
      <c r="M488" s="77" t="str">
        <f>IF(Main[[#This Row],[Tech Start Date]]&lt;1/1/1990,"",IF(Main[[#This Row],[Class]]="C",WORKDAY(Main[[#This Row],[Tech Start Date]],9),IF(Main[[#This Row],[Class]]="B", WORKDAY(Main[[#This Row],[Tech Start Date]],6),IF(Main[[#This Row],[Class]]="A",WORKDAY(Main[[#This Row],[Tech Start Date]],2),""))))</f>
        <v/>
      </c>
      <c r="N488" s="77" t="str">
        <f>IF(Main[[#This Row],[Tech Start Date]]&lt;1/1/1990,"",IF(Main[[#This Row],[Class]]="C",WORKDAY(Main[[#This Row],[Tech Start Date]],19),IF(Main[[#This Row],[Class]]="B", WORKDAY(Main[[#This Row],[Tech Start Date]],12),IF(Main[[#This Row],[Class]]="A",WORKDAY(Main[[#This Row],[Tech Start Date]],4),""))))</f>
        <v/>
      </c>
      <c r="O488" s="77" t="str">
        <f>IF(Main[[#This Row],[Tech Start Date]]&lt;1/1/1990,"",IF(Main[[#This Row],[Class]]="C",WORKDAY(Main[[#This Row],[Tech Start Date]],23),IF(Main[[#This Row],[Class]]="B", WORKDAY(Main[[#This Row],[Tech Start Date]],15),IF(Main[[#This Row],[Class]]="A",WORKDAY(Main[[#This Row],[Tech Start Date]],5),""))))</f>
        <v/>
      </c>
      <c r="P488" s="77" t="str">
        <f>IF(Main[[#This Row],[Tech Start Date]]&lt;1/1/1990,"",IF(Main[[#This Row],[Class]]="C",WORKDAY(Main[[#This Row],[Tech Start Date]],28),IF(Main[[#This Row],[Class]]="B", WORKDAY(Main[[#This Row],[Tech Start Date]],19),IF(Main[[#This Row],[Class]]="A",WORKDAY(Main[[#This Row],[Tech Start Date]],9),""))))</f>
        <v/>
      </c>
      <c r="Q488" s="74">
        <v>40340</v>
      </c>
      <c r="R488" s="74"/>
      <c r="S488" s="72" t="s">
        <v>6</v>
      </c>
      <c r="T488" s="80" t="s">
        <v>4</v>
      </c>
      <c r="U488" s="72" t="s">
        <v>29</v>
      </c>
      <c r="V488" s="72" t="s">
        <v>1932</v>
      </c>
      <c r="W488" s="72" t="s">
        <v>1936</v>
      </c>
      <c r="X488" s="72" t="s">
        <v>310</v>
      </c>
      <c r="Y488" s="72" t="s">
        <v>4</v>
      </c>
      <c r="Z488" s="72" t="s">
        <v>129</v>
      </c>
      <c r="AA488" s="147" t="s">
        <v>3598</v>
      </c>
    </row>
    <row r="489" spans="1:27" ht="18.600000000000001" customHeight="1">
      <c r="A489" s="140" t="str">
        <f>IF(priority(Main[[#This Row],[Comments]])&lt;&gt;0, priority(Main[[#This Row],[Comments]]),"")</f>
        <v/>
      </c>
      <c r="B489" s="90" t="s">
        <v>1372</v>
      </c>
      <c r="C489" s="72" t="s">
        <v>31</v>
      </c>
      <c r="D489" s="73" t="s">
        <v>452</v>
      </c>
      <c r="E489" s="74"/>
      <c r="F489" s="74"/>
      <c r="G489" s="75" t="str">
        <f>IF(stdProdLT(Main[[#This Row],[Comments]])=0.1,"N/A",IF(stdProdLT(Main[[#This Row],[Comments]])=0,"",stdProdLT(Main[[#This Row],[Comments]])))</f>
        <v/>
      </c>
      <c r="H489" s="76" t="str">
        <f>IF(AND(Main[[#This Row],[In Stock Date]]&lt;&gt;"",Main[[#This Row],[Revised Due Date]]&lt;&gt;""),Main[[#This Row],[In Stock Date]]-Main[[#This Row],[Revised Due Date]],"")</f>
        <v/>
      </c>
      <c r="I489" s="72" t="s">
        <v>4</v>
      </c>
      <c r="J489" s="72" t="s">
        <v>4</v>
      </c>
      <c r="K489" s="72" t="s">
        <v>4</v>
      </c>
      <c r="L489" s="74"/>
      <c r="M489" s="77" t="str">
        <f>IF(Main[[#This Row],[Tech Start Date]]&lt;1/1/1990,"",IF(Main[[#This Row],[Class]]="C",WORKDAY(Main[[#This Row],[Tech Start Date]],9),IF(Main[[#This Row],[Class]]="B", WORKDAY(Main[[#This Row],[Tech Start Date]],6),IF(Main[[#This Row],[Class]]="A",WORKDAY(Main[[#This Row],[Tech Start Date]],2),""))))</f>
        <v/>
      </c>
      <c r="N489" s="77" t="str">
        <f>IF(Main[[#This Row],[Tech Start Date]]&lt;1/1/1990,"",IF(Main[[#This Row],[Class]]="C",WORKDAY(Main[[#This Row],[Tech Start Date]],19),IF(Main[[#This Row],[Class]]="B", WORKDAY(Main[[#This Row],[Tech Start Date]],12),IF(Main[[#This Row],[Class]]="A",WORKDAY(Main[[#This Row],[Tech Start Date]],4),""))))</f>
        <v/>
      </c>
      <c r="O489" s="77" t="str">
        <f>IF(Main[[#This Row],[Tech Start Date]]&lt;1/1/1990,"",IF(Main[[#This Row],[Class]]="C",WORKDAY(Main[[#This Row],[Tech Start Date]],23),IF(Main[[#This Row],[Class]]="B", WORKDAY(Main[[#This Row],[Tech Start Date]],15),IF(Main[[#This Row],[Class]]="A",WORKDAY(Main[[#This Row],[Tech Start Date]],5),""))))</f>
        <v/>
      </c>
      <c r="P489" s="77" t="str">
        <f>IF(Main[[#This Row],[Tech Start Date]]&lt;1/1/1990,"",IF(Main[[#This Row],[Class]]="C",WORKDAY(Main[[#This Row],[Tech Start Date]],28),IF(Main[[#This Row],[Class]]="B", WORKDAY(Main[[#This Row],[Tech Start Date]],19),IF(Main[[#This Row],[Class]]="A",WORKDAY(Main[[#This Row],[Tech Start Date]],9),""))))</f>
        <v/>
      </c>
      <c r="Q489" s="74">
        <v>40318</v>
      </c>
      <c r="R489" s="74"/>
      <c r="S489" s="72" t="s">
        <v>11</v>
      </c>
      <c r="T489" s="80" t="s">
        <v>4</v>
      </c>
      <c r="U489" s="72" t="s">
        <v>14</v>
      </c>
      <c r="V489" s="72" t="s">
        <v>1935</v>
      </c>
      <c r="W489" s="72" t="s">
        <v>1943</v>
      </c>
      <c r="X489" s="72" t="s">
        <v>2914</v>
      </c>
      <c r="Y489" s="72" t="s">
        <v>4</v>
      </c>
      <c r="Z489" s="72" t="s">
        <v>4</v>
      </c>
      <c r="AA489" s="147" t="s">
        <v>2914</v>
      </c>
    </row>
    <row r="490" spans="1:27" ht="18.600000000000001" customHeight="1">
      <c r="A490" s="140" t="str">
        <f>IF(priority(Main[[#This Row],[Comments]])&lt;&gt;0, priority(Main[[#This Row],[Comments]]),"")</f>
        <v/>
      </c>
      <c r="B490" s="90" t="s">
        <v>1373</v>
      </c>
      <c r="C490" s="72" t="s">
        <v>31</v>
      </c>
      <c r="D490" s="73" t="s">
        <v>453</v>
      </c>
      <c r="E490" s="74"/>
      <c r="F490" s="74"/>
      <c r="G490" s="75" t="str">
        <f>IF(stdProdLT(Main[[#This Row],[Comments]])=0.1,"N/A",IF(stdProdLT(Main[[#This Row],[Comments]])=0,"",stdProdLT(Main[[#This Row],[Comments]])))</f>
        <v/>
      </c>
      <c r="H490" s="76" t="str">
        <f>IF(AND(Main[[#This Row],[In Stock Date]]&lt;&gt;"",Main[[#This Row],[Revised Due Date]]&lt;&gt;""),Main[[#This Row],[In Stock Date]]-Main[[#This Row],[Revised Due Date]],"")</f>
        <v/>
      </c>
      <c r="I490" s="72" t="s">
        <v>4</v>
      </c>
      <c r="J490" s="72" t="s">
        <v>4</v>
      </c>
      <c r="K490" s="72" t="s">
        <v>4</v>
      </c>
      <c r="L490" s="74"/>
      <c r="M490" s="77" t="str">
        <f>IF(Main[[#This Row],[Tech Start Date]]&lt;1/1/1990,"",IF(Main[[#This Row],[Class]]="C",WORKDAY(Main[[#This Row],[Tech Start Date]],9),IF(Main[[#This Row],[Class]]="B", WORKDAY(Main[[#This Row],[Tech Start Date]],6),IF(Main[[#This Row],[Class]]="A",WORKDAY(Main[[#This Row],[Tech Start Date]],2),""))))</f>
        <v/>
      </c>
      <c r="N490" s="77" t="str">
        <f>IF(Main[[#This Row],[Tech Start Date]]&lt;1/1/1990,"",IF(Main[[#This Row],[Class]]="C",WORKDAY(Main[[#This Row],[Tech Start Date]],19),IF(Main[[#This Row],[Class]]="B", WORKDAY(Main[[#This Row],[Tech Start Date]],12),IF(Main[[#This Row],[Class]]="A",WORKDAY(Main[[#This Row],[Tech Start Date]],4),""))))</f>
        <v/>
      </c>
      <c r="O490" s="77" t="str">
        <f>IF(Main[[#This Row],[Tech Start Date]]&lt;1/1/1990,"",IF(Main[[#This Row],[Class]]="C",WORKDAY(Main[[#This Row],[Tech Start Date]],23),IF(Main[[#This Row],[Class]]="B", WORKDAY(Main[[#This Row],[Tech Start Date]],15),IF(Main[[#This Row],[Class]]="A",WORKDAY(Main[[#This Row],[Tech Start Date]],5),""))))</f>
        <v/>
      </c>
      <c r="P490" s="77" t="str">
        <f>IF(Main[[#This Row],[Tech Start Date]]&lt;1/1/1990,"",IF(Main[[#This Row],[Class]]="C",WORKDAY(Main[[#This Row],[Tech Start Date]],28),IF(Main[[#This Row],[Class]]="B", WORKDAY(Main[[#This Row],[Tech Start Date]],19),IF(Main[[#This Row],[Class]]="A",WORKDAY(Main[[#This Row],[Tech Start Date]],9),""))))</f>
        <v/>
      </c>
      <c r="Q490" s="74">
        <v>40318</v>
      </c>
      <c r="R490" s="74"/>
      <c r="S490" s="72" t="s">
        <v>11</v>
      </c>
      <c r="T490" s="80" t="s">
        <v>4</v>
      </c>
      <c r="U490" s="72" t="s">
        <v>14</v>
      </c>
      <c r="V490" s="72" t="s">
        <v>1935</v>
      </c>
      <c r="W490" s="72" t="s">
        <v>1943</v>
      </c>
      <c r="X490" s="72" t="s">
        <v>2914</v>
      </c>
      <c r="Y490" s="72" t="s">
        <v>4</v>
      </c>
      <c r="Z490" s="72" t="s">
        <v>4</v>
      </c>
      <c r="AA490" s="147" t="s">
        <v>2914</v>
      </c>
    </row>
    <row r="491" spans="1:27" ht="18.600000000000001" customHeight="1">
      <c r="A491" s="140" t="str">
        <f>IF(priority(Main[[#This Row],[Comments]])&lt;&gt;0, priority(Main[[#This Row],[Comments]]),"")</f>
        <v/>
      </c>
      <c r="B491" s="90" t="s">
        <v>1374</v>
      </c>
      <c r="C491" s="72" t="s">
        <v>279</v>
      </c>
      <c r="D491" s="73" t="s">
        <v>454</v>
      </c>
      <c r="E491" s="74"/>
      <c r="F491" s="74">
        <v>40444</v>
      </c>
      <c r="G491" s="75" t="str">
        <f>IF(stdProdLT(Main[[#This Row],[Comments]])=0.1,"N/A",IF(stdProdLT(Main[[#This Row],[Comments]])=0,"",stdProdLT(Main[[#This Row],[Comments]])))</f>
        <v/>
      </c>
      <c r="H491" s="76" t="str">
        <f>IF(AND(Main[[#This Row],[In Stock Date]]&lt;&gt;"",Main[[#This Row],[Revised Due Date]]&lt;&gt;""),Main[[#This Row],[In Stock Date]]-Main[[#This Row],[Revised Due Date]],"")</f>
        <v/>
      </c>
      <c r="I491" s="72" t="s">
        <v>4</v>
      </c>
      <c r="J491" s="72" t="s">
        <v>4</v>
      </c>
      <c r="K491" s="72" t="s">
        <v>4</v>
      </c>
      <c r="L491" s="74"/>
      <c r="M491" s="77" t="str">
        <f>IF(Main[[#This Row],[Tech Start Date]]&lt;1/1/1990,"",IF(Main[[#This Row],[Class]]="C",WORKDAY(Main[[#This Row],[Tech Start Date]],9),IF(Main[[#This Row],[Class]]="B", WORKDAY(Main[[#This Row],[Tech Start Date]],6),IF(Main[[#This Row],[Class]]="A",WORKDAY(Main[[#This Row],[Tech Start Date]],2),""))))</f>
        <v/>
      </c>
      <c r="N491" s="77" t="str">
        <f>IF(Main[[#This Row],[Tech Start Date]]&lt;1/1/1990,"",IF(Main[[#This Row],[Class]]="C",WORKDAY(Main[[#This Row],[Tech Start Date]],19),IF(Main[[#This Row],[Class]]="B", WORKDAY(Main[[#This Row],[Tech Start Date]],12),IF(Main[[#This Row],[Class]]="A",WORKDAY(Main[[#This Row],[Tech Start Date]],4),""))))</f>
        <v/>
      </c>
      <c r="O491" s="77" t="str">
        <f>IF(Main[[#This Row],[Tech Start Date]]&lt;1/1/1990,"",IF(Main[[#This Row],[Class]]="C",WORKDAY(Main[[#This Row],[Tech Start Date]],23),IF(Main[[#This Row],[Class]]="B", WORKDAY(Main[[#This Row],[Tech Start Date]],15),IF(Main[[#This Row],[Class]]="A",WORKDAY(Main[[#This Row],[Tech Start Date]],5),""))))</f>
        <v/>
      </c>
      <c r="P491" s="77" t="str">
        <f>IF(Main[[#This Row],[Tech Start Date]]&lt;1/1/1990,"",IF(Main[[#This Row],[Class]]="C",WORKDAY(Main[[#This Row],[Tech Start Date]],28),IF(Main[[#This Row],[Class]]="B", WORKDAY(Main[[#This Row],[Tech Start Date]],19),IF(Main[[#This Row],[Class]]="A",WORKDAY(Main[[#This Row],[Tech Start Date]],9),""))))</f>
        <v/>
      </c>
      <c r="Q491" s="74">
        <v>40262</v>
      </c>
      <c r="R491" s="74"/>
      <c r="S491" s="72" t="s">
        <v>17</v>
      </c>
      <c r="T491" s="80" t="s">
        <v>4</v>
      </c>
      <c r="U491" s="72" t="s">
        <v>14</v>
      </c>
      <c r="V491" s="72" t="s">
        <v>1935</v>
      </c>
      <c r="W491" s="72" t="s">
        <v>1937</v>
      </c>
      <c r="X491" s="72" t="s">
        <v>310</v>
      </c>
      <c r="Y491" s="72" t="s">
        <v>4</v>
      </c>
      <c r="Z491" s="72" t="s">
        <v>4</v>
      </c>
      <c r="AA491" s="147" t="s">
        <v>65</v>
      </c>
    </row>
    <row r="492" spans="1:27" ht="18.600000000000001" customHeight="1">
      <c r="A492" s="140" t="str">
        <f>IF(priority(Main[[#This Row],[Comments]])&lt;&gt;0, priority(Main[[#This Row],[Comments]]),"")</f>
        <v/>
      </c>
      <c r="B492" s="90" t="s">
        <v>1375</v>
      </c>
      <c r="C492" s="72" t="s">
        <v>67</v>
      </c>
      <c r="D492" s="73" t="s">
        <v>455</v>
      </c>
      <c r="E492" s="74"/>
      <c r="F492" s="74"/>
      <c r="G492" s="75" t="str">
        <f>IF(stdProdLT(Main[[#This Row],[Comments]])=0.1,"N/A",IF(stdProdLT(Main[[#This Row],[Comments]])=0,"",stdProdLT(Main[[#This Row],[Comments]])))</f>
        <v/>
      </c>
      <c r="H492" s="76" t="str">
        <f>IF(AND(Main[[#This Row],[In Stock Date]]&lt;&gt;"",Main[[#This Row],[Revised Due Date]]&lt;&gt;""),Main[[#This Row],[In Stock Date]]-Main[[#This Row],[Revised Due Date]],"")</f>
        <v/>
      </c>
      <c r="I492" s="72" t="s">
        <v>4</v>
      </c>
      <c r="J492" s="72" t="s">
        <v>4</v>
      </c>
      <c r="K492" s="72" t="s">
        <v>4</v>
      </c>
      <c r="L492" s="74"/>
      <c r="M492" s="77" t="str">
        <f>IF(Main[[#This Row],[Tech Start Date]]&lt;1/1/1990,"",IF(Main[[#This Row],[Class]]="C",WORKDAY(Main[[#This Row],[Tech Start Date]],9),IF(Main[[#This Row],[Class]]="B", WORKDAY(Main[[#This Row],[Tech Start Date]],6),IF(Main[[#This Row],[Class]]="A",WORKDAY(Main[[#This Row],[Tech Start Date]],2),""))))</f>
        <v/>
      </c>
      <c r="N492" s="77" t="str">
        <f>IF(Main[[#This Row],[Tech Start Date]]&lt;1/1/1990,"",IF(Main[[#This Row],[Class]]="C",WORKDAY(Main[[#This Row],[Tech Start Date]],19),IF(Main[[#This Row],[Class]]="B", WORKDAY(Main[[#This Row],[Tech Start Date]],12),IF(Main[[#This Row],[Class]]="A",WORKDAY(Main[[#This Row],[Tech Start Date]],4),""))))</f>
        <v/>
      </c>
      <c r="O492" s="77" t="str">
        <f>IF(Main[[#This Row],[Tech Start Date]]&lt;1/1/1990,"",IF(Main[[#This Row],[Class]]="C",WORKDAY(Main[[#This Row],[Tech Start Date]],23),IF(Main[[#This Row],[Class]]="B", WORKDAY(Main[[#This Row],[Tech Start Date]],15),IF(Main[[#This Row],[Class]]="A",WORKDAY(Main[[#This Row],[Tech Start Date]],5),""))))</f>
        <v/>
      </c>
      <c r="P492" s="77" t="str">
        <f>IF(Main[[#This Row],[Tech Start Date]]&lt;1/1/1990,"",IF(Main[[#This Row],[Class]]="C",WORKDAY(Main[[#This Row],[Tech Start Date]],28),IF(Main[[#This Row],[Class]]="B", WORKDAY(Main[[#This Row],[Tech Start Date]],19),IF(Main[[#This Row],[Class]]="A",WORKDAY(Main[[#This Row],[Tech Start Date]],9),""))))</f>
        <v/>
      </c>
      <c r="Q492" s="74"/>
      <c r="R492" s="74"/>
      <c r="S492" s="72" t="s">
        <v>11</v>
      </c>
      <c r="T492" s="80" t="s">
        <v>4</v>
      </c>
      <c r="U492" s="72" t="s">
        <v>12</v>
      </c>
      <c r="V492" s="72" t="s">
        <v>1933</v>
      </c>
      <c r="W492" s="72" t="s">
        <v>1940</v>
      </c>
      <c r="X492" s="72" t="s">
        <v>2946</v>
      </c>
      <c r="Y492" s="72" t="s">
        <v>3093</v>
      </c>
      <c r="Z492" s="72" t="s">
        <v>4</v>
      </c>
      <c r="AA492" s="147" t="s">
        <v>2946</v>
      </c>
    </row>
    <row r="493" spans="1:27" ht="18.600000000000001" customHeight="1">
      <c r="A493" s="140" t="str">
        <f>IF(priority(Main[[#This Row],[Comments]])&lt;&gt;0, priority(Main[[#This Row],[Comments]]),"")</f>
        <v/>
      </c>
      <c r="B493" s="90" t="s">
        <v>1376</v>
      </c>
      <c r="C493" s="72" t="s">
        <v>83</v>
      </c>
      <c r="D493" s="73" t="s">
        <v>456</v>
      </c>
      <c r="E493" s="74"/>
      <c r="F493" s="74"/>
      <c r="G493" s="75" t="str">
        <f>IF(stdProdLT(Main[[#This Row],[Comments]])=0.1,"N/A",IF(stdProdLT(Main[[#This Row],[Comments]])=0,"",stdProdLT(Main[[#This Row],[Comments]])))</f>
        <v/>
      </c>
      <c r="H493" s="76" t="str">
        <f>IF(AND(Main[[#This Row],[In Stock Date]]&lt;&gt;"",Main[[#This Row],[Revised Due Date]]&lt;&gt;""),Main[[#This Row],[In Stock Date]]-Main[[#This Row],[Revised Due Date]],"")</f>
        <v/>
      </c>
      <c r="I493" s="72" t="s">
        <v>4</v>
      </c>
      <c r="J493" s="72" t="s">
        <v>4</v>
      </c>
      <c r="K493" s="72" t="s">
        <v>4</v>
      </c>
      <c r="L493" s="74"/>
      <c r="M493" s="77" t="str">
        <f>IF(Main[[#This Row],[Tech Start Date]]&lt;1/1/1990,"",IF(Main[[#This Row],[Class]]="C",WORKDAY(Main[[#This Row],[Tech Start Date]],9),IF(Main[[#This Row],[Class]]="B", WORKDAY(Main[[#This Row],[Tech Start Date]],6),IF(Main[[#This Row],[Class]]="A",WORKDAY(Main[[#This Row],[Tech Start Date]],2),""))))</f>
        <v/>
      </c>
      <c r="N493" s="77" t="str">
        <f>IF(Main[[#This Row],[Tech Start Date]]&lt;1/1/1990,"",IF(Main[[#This Row],[Class]]="C",WORKDAY(Main[[#This Row],[Tech Start Date]],19),IF(Main[[#This Row],[Class]]="B", WORKDAY(Main[[#This Row],[Tech Start Date]],12),IF(Main[[#This Row],[Class]]="A",WORKDAY(Main[[#This Row],[Tech Start Date]],4),""))))</f>
        <v/>
      </c>
      <c r="O493" s="77" t="str">
        <f>IF(Main[[#This Row],[Tech Start Date]]&lt;1/1/1990,"",IF(Main[[#This Row],[Class]]="C",WORKDAY(Main[[#This Row],[Tech Start Date]],23),IF(Main[[#This Row],[Class]]="B", WORKDAY(Main[[#This Row],[Tech Start Date]],15),IF(Main[[#This Row],[Class]]="A",WORKDAY(Main[[#This Row],[Tech Start Date]],5),""))))</f>
        <v/>
      </c>
      <c r="P493" s="77" t="str">
        <f>IF(Main[[#This Row],[Tech Start Date]]&lt;1/1/1990,"",IF(Main[[#This Row],[Class]]="C",WORKDAY(Main[[#This Row],[Tech Start Date]],28),IF(Main[[#This Row],[Class]]="B", WORKDAY(Main[[#This Row],[Tech Start Date]],19),IF(Main[[#This Row],[Class]]="A",WORKDAY(Main[[#This Row],[Tech Start Date]],9),""))))</f>
        <v/>
      </c>
      <c r="Q493" s="74">
        <v>40252</v>
      </c>
      <c r="R493" s="74"/>
      <c r="S493" s="72" t="s">
        <v>11</v>
      </c>
      <c r="T493" s="80" t="s">
        <v>4</v>
      </c>
      <c r="U493" s="72" t="s">
        <v>14</v>
      </c>
      <c r="V493" s="72" t="s">
        <v>1932</v>
      </c>
      <c r="W493" s="72" t="s">
        <v>1943</v>
      </c>
      <c r="X493" s="72" t="s">
        <v>2901</v>
      </c>
      <c r="Y493" s="72" t="s">
        <v>4</v>
      </c>
      <c r="Z493" s="72" t="s">
        <v>4</v>
      </c>
      <c r="AA493" s="147" t="s">
        <v>2901</v>
      </c>
    </row>
    <row r="494" spans="1:27" ht="18.600000000000001" customHeight="1">
      <c r="A494" s="140" t="str">
        <f>IF(priority(Main[[#This Row],[Comments]])&lt;&gt;0, priority(Main[[#This Row],[Comments]]),"")</f>
        <v/>
      </c>
      <c r="B494" s="90" t="s">
        <v>1377</v>
      </c>
      <c r="C494" s="72" t="s">
        <v>42</v>
      </c>
      <c r="D494" s="73" t="s">
        <v>457</v>
      </c>
      <c r="E494" s="74">
        <v>39932.393530092595</v>
      </c>
      <c r="F494" s="74"/>
      <c r="G494" s="75" t="str">
        <f>IF(stdProdLT(Main[[#This Row],[Comments]])=0.1,"N/A",IF(stdProdLT(Main[[#This Row],[Comments]])=0,"",stdProdLT(Main[[#This Row],[Comments]])))</f>
        <v/>
      </c>
      <c r="H494" s="76" t="str">
        <f>IF(AND(Main[[#This Row],[In Stock Date]]&lt;&gt;"",Main[[#This Row],[Revised Due Date]]&lt;&gt;""),Main[[#This Row],[In Stock Date]]-Main[[#This Row],[Revised Due Date]],"")</f>
        <v/>
      </c>
      <c r="I494" s="72" t="s">
        <v>4</v>
      </c>
      <c r="J494" s="72" t="s">
        <v>4</v>
      </c>
      <c r="K494" s="72" t="s">
        <v>4</v>
      </c>
      <c r="L494" s="74"/>
      <c r="M494" s="77" t="str">
        <f>IF(Main[[#This Row],[Tech Start Date]]&lt;1/1/1990,"",IF(Main[[#This Row],[Class]]="C",WORKDAY(Main[[#This Row],[Tech Start Date]],9),IF(Main[[#This Row],[Class]]="B", WORKDAY(Main[[#This Row],[Tech Start Date]],6),IF(Main[[#This Row],[Class]]="A",WORKDAY(Main[[#This Row],[Tech Start Date]],2),""))))</f>
        <v/>
      </c>
      <c r="N494" s="77" t="str">
        <f>IF(Main[[#This Row],[Tech Start Date]]&lt;1/1/1990,"",IF(Main[[#This Row],[Class]]="C",WORKDAY(Main[[#This Row],[Tech Start Date]],19),IF(Main[[#This Row],[Class]]="B", WORKDAY(Main[[#This Row],[Tech Start Date]],12),IF(Main[[#This Row],[Class]]="A",WORKDAY(Main[[#This Row],[Tech Start Date]],4),""))))</f>
        <v/>
      </c>
      <c r="O494" s="77" t="str">
        <f>IF(Main[[#This Row],[Tech Start Date]]&lt;1/1/1990,"",IF(Main[[#This Row],[Class]]="C",WORKDAY(Main[[#This Row],[Tech Start Date]],23),IF(Main[[#This Row],[Class]]="B", WORKDAY(Main[[#This Row],[Tech Start Date]],15),IF(Main[[#This Row],[Class]]="A",WORKDAY(Main[[#This Row],[Tech Start Date]],5),""))))</f>
        <v/>
      </c>
      <c r="P494" s="77" t="str">
        <f>IF(Main[[#This Row],[Tech Start Date]]&lt;1/1/1990,"",IF(Main[[#This Row],[Class]]="C",WORKDAY(Main[[#This Row],[Tech Start Date]],28),IF(Main[[#This Row],[Class]]="B", WORKDAY(Main[[#This Row],[Tech Start Date]],19),IF(Main[[#This Row],[Class]]="A",WORKDAY(Main[[#This Row],[Tech Start Date]],9),""))))</f>
        <v/>
      </c>
      <c r="Q494" s="74"/>
      <c r="R494" s="74"/>
      <c r="S494" s="72" t="s">
        <v>17</v>
      </c>
      <c r="T494" s="80" t="s">
        <v>4</v>
      </c>
      <c r="U494" s="72" t="s">
        <v>7</v>
      </c>
      <c r="V494" s="72" t="s">
        <v>1935</v>
      </c>
      <c r="W494" s="72" t="s">
        <v>4</v>
      </c>
      <c r="X494" s="72" t="s">
        <v>403</v>
      </c>
      <c r="Y494" s="72" t="s">
        <v>4</v>
      </c>
      <c r="Z494" s="72" t="s">
        <v>4</v>
      </c>
      <c r="AA494" s="147" t="s">
        <v>4</v>
      </c>
    </row>
    <row r="495" spans="1:27" ht="18.600000000000001" customHeight="1">
      <c r="A495" s="140" t="str">
        <f>IF(priority(Main[[#This Row],[Comments]])&lt;&gt;0, priority(Main[[#This Row],[Comments]]),"")</f>
        <v/>
      </c>
      <c r="B495" s="90" t="s">
        <v>1378</v>
      </c>
      <c r="C495" s="72" t="s">
        <v>458</v>
      </c>
      <c r="D495" s="73" t="s">
        <v>459</v>
      </c>
      <c r="E495" s="74"/>
      <c r="F495" s="74"/>
      <c r="G495" s="75" t="str">
        <f>IF(stdProdLT(Main[[#This Row],[Comments]])=0.1,"N/A",IF(stdProdLT(Main[[#This Row],[Comments]])=0,"",stdProdLT(Main[[#This Row],[Comments]])))</f>
        <v/>
      </c>
      <c r="H495" s="76" t="str">
        <f>IF(AND(Main[[#This Row],[In Stock Date]]&lt;&gt;"",Main[[#This Row],[Revised Due Date]]&lt;&gt;""),Main[[#This Row],[In Stock Date]]-Main[[#This Row],[Revised Due Date]],"")</f>
        <v/>
      </c>
      <c r="I495" s="72" t="s">
        <v>4</v>
      </c>
      <c r="J495" s="72" t="s">
        <v>4</v>
      </c>
      <c r="K495" s="72" t="s">
        <v>4</v>
      </c>
      <c r="L495" s="74"/>
      <c r="M495" s="77" t="str">
        <f>IF(Main[[#This Row],[Tech Start Date]]&lt;1/1/1990,"",IF(Main[[#This Row],[Class]]="C",WORKDAY(Main[[#This Row],[Tech Start Date]],9),IF(Main[[#This Row],[Class]]="B", WORKDAY(Main[[#This Row],[Tech Start Date]],6),IF(Main[[#This Row],[Class]]="A",WORKDAY(Main[[#This Row],[Tech Start Date]],2),""))))</f>
        <v/>
      </c>
      <c r="N495" s="77" t="str">
        <f>IF(Main[[#This Row],[Tech Start Date]]&lt;1/1/1990,"",IF(Main[[#This Row],[Class]]="C",WORKDAY(Main[[#This Row],[Tech Start Date]],19),IF(Main[[#This Row],[Class]]="B", WORKDAY(Main[[#This Row],[Tech Start Date]],12),IF(Main[[#This Row],[Class]]="A",WORKDAY(Main[[#This Row],[Tech Start Date]],4),""))))</f>
        <v/>
      </c>
      <c r="O495" s="77" t="str">
        <f>IF(Main[[#This Row],[Tech Start Date]]&lt;1/1/1990,"",IF(Main[[#This Row],[Class]]="C",WORKDAY(Main[[#This Row],[Tech Start Date]],23),IF(Main[[#This Row],[Class]]="B", WORKDAY(Main[[#This Row],[Tech Start Date]],15),IF(Main[[#This Row],[Class]]="A",WORKDAY(Main[[#This Row],[Tech Start Date]],5),""))))</f>
        <v/>
      </c>
      <c r="P495" s="77" t="str">
        <f>IF(Main[[#This Row],[Tech Start Date]]&lt;1/1/1990,"",IF(Main[[#This Row],[Class]]="C",WORKDAY(Main[[#This Row],[Tech Start Date]],28),IF(Main[[#This Row],[Class]]="B", WORKDAY(Main[[#This Row],[Tech Start Date]],19),IF(Main[[#This Row],[Class]]="A",WORKDAY(Main[[#This Row],[Tech Start Date]],9),""))))</f>
        <v/>
      </c>
      <c r="Q495" s="74"/>
      <c r="R495" s="74"/>
      <c r="S495" s="72" t="s">
        <v>11</v>
      </c>
      <c r="T495" s="80" t="s">
        <v>4</v>
      </c>
      <c r="U495" s="72" t="s">
        <v>14</v>
      </c>
      <c r="V495" s="72" t="s">
        <v>1933</v>
      </c>
      <c r="W495" s="72" t="s">
        <v>1940</v>
      </c>
      <c r="X495" s="72" t="s">
        <v>403</v>
      </c>
      <c r="Y495" s="72" t="s">
        <v>4</v>
      </c>
      <c r="Z495" s="72" t="s">
        <v>4</v>
      </c>
      <c r="AA495" s="147" t="s">
        <v>4</v>
      </c>
    </row>
    <row r="496" spans="1:27" ht="18.600000000000001" customHeight="1">
      <c r="A496" s="140" t="str">
        <f>IF(priority(Main[[#This Row],[Comments]])&lt;&gt;0, priority(Main[[#This Row],[Comments]]),"")</f>
        <v/>
      </c>
      <c r="B496" s="90" t="s">
        <v>1379</v>
      </c>
      <c r="C496" s="72" t="s">
        <v>460</v>
      </c>
      <c r="D496" s="73" t="s">
        <v>461</v>
      </c>
      <c r="E496" s="74"/>
      <c r="F496" s="74"/>
      <c r="G496" s="75" t="str">
        <f>IF(stdProdLT(Main[[#This Row],[Comments]])=0.1,"N/A",IF(stdProdLT(Main[[#This Row],[Comments]])=0,"",stdProdLT(Main[[#This Row],[Comments]])))</f>
        <v/>
      </c>
      <c r="H496" s="76" t="str">
        <f>IF(AND(Main[[#This Row],[In Stock Date]]&lt;&gt;"",Main[[#This Row],[Revised Due Date]]&lt;&gt;""),Main[[#This Row],[In Stock Date]]-Main[[#This Row],[Revised Due Date]],"")</f>
        <v/>
      </c>
      <c r="I496" s="72" t="s">
        <v>4</v>
      </c>
      <c r="J496" s="72" t="s">
        <v>4</v>
      </c>
      <c r="K496" s="72" t="s">
        <v>4</v>
      </c>
      <c r="L496" s="74"/>
      <c r="M496" s="77" t="str">
        <f>IF(Main[[#This Row],[Tech Start Date]]&lt;1/1/1990,"",IF(Main[[#This Row],[Class]]="C",WORKDAY(Main[[#This Row],[Tech Start Date]],9),IF(Main[[#This Row],[Class]]="B", WORKDAY(Main[[#This Row],[Tech Start Date]],6),IF(Main[[#This Row],[Class]]="A",WORKDAY(Main[[#This Row],[Tech Start Date]],2),""))))</f>
        <v/>
      </c>
      <c r="N496" s="77" t="str">
        <f>IF(Main[[#This Row],[Tech Start Date]]&lt;1/1/1990,"",IF(Main[[#This Row],[Class]]="C",WORKDAY(Main[[#This Row],[Tech Start Date]],19),IF(Main[[#This Row],[Class]]="B", WORKDAY(Main[[#This Row],[Tech Start Date]],12),IF(Main[[#This Row],[Class]]="A",WORKDAY(Main[[#This Row],[Tech Start Date]],4),""))))</f>
        <v/>
      </c>
      <c r="O496" s="77" t="str">
        <f>IF(Main[[#This Row],[Tech Start Date]]&lt;1/1/1990,"",IF(Main[[#This Row],[Class]]="C",WORKDAY(Main[[#This Row],[Tech Start Date]],23),IF(Main[[#This Row],[Class]]="B", WORKDAY(Main[[#This Row],[Tech Start Date]],15),IF(Main[[#This Row],[Class]]="A",WORKDAY(Main[[#This Row],[Tech Start Date]],5),""))))</f>
        <v/>
      </c>
      <c r="P496" s="77" t="str">
        <f>IF(Main[[#This Row],[Tech Start Date]]&lt;1/1/1990,"",IF(Main[[#This Row],[Class]]="C",WORKDAY(Main[[#This Row],[Tech Start Date]],28),IF(Main[[#This Row],[Class]]="B", WORKDAY(Main[[#This Row],[Tech Start Date]],19),IF(Main[[#This Row],[Class]]="A",WORKDAY(Main[[#This Row],[Tech Start Date]],9),""))))</f>
        <v/>
      </c>
      <c r="Q496" s="74"/>
      <c r="R496" s="74"/>
      <c r="S496" s="72" t="s">
        <v>11</v>
      </c>
      <c r="T496" s="80" t="s">
        <v>4</v>
      </c>
      <c r="U496" s="72" t="s">
        <v>14</v>
      </c>
      <c r="V496" s="72" t="s">
        <v>1933</v>
      </c>
      <c r="W496" s="72" t="s">
        <v>1940</v>
      </c>
      <c r="X496" s="72" t="s">
        <v>403</v>
      </c>
      <c r="Y496" s="72" t="s">
        <v>4</v>
      </c>
      <c r="Z496" s="72" t="s">
        <v>4</v>
      </c>
      <c r="AA496" s="147" t="s">
        <v>3599</v>
      </c>
    </row>
    <row r="497" spans="1:27" ht="18.600000000000001" customHeight="1">
      <c r="A497" s="140" t="str">
        <f>IF(priority(Main[[#This Row],[Comments]])&lt;&gt;0, priority(Main[[#This Row],[Comments]]),"")</f>
        <v/>
      </c>
      <c r="B497" s="90" t="s">
        <v>1380</v>
      </c>
      <c r="C497" s="72" t="s">
        <v>462</v>
      </c>
      <c r="D497" s="73" t="s">
        <v>463</v>
      </c>
      <c r="E497" s="74"/>
      <c r="F497" s="74">
        <v>40214</v>
      </c>
      <c r="G497" s="75" t="str">
        <f>IF(stdProdLT(Main[[#This Row],[Comments]])=0.1,"N/A",IF(stdProdLT(Main[[#This Row],[Comments]])=0,"",stdProdLT(Main[[#This Row],[Comments]])))</f>
        <v/>
      </c>
      <c r="H497" s="76" t="str">
        <f>IF(AND(Main[[#This Row],[In Stock Date]]&lt;&gt;"",Main[[#This Row],[Revised Due Date]]&lt;&gt;""),Main[[#This Row],[In Stock Date]]-Main[[#This Row],[Revised Due Date]],"")</f>
        <v/>
      </c>
      <c r="I497" s="72" t="s">
        <v>4</v>
      </c>
      <c r="J497" s="72" t="s">
        <v>4</v>
      </c>
      <c r="K497" s="72" t="s">
        <v>4</v>
      </c>
      <c r="L497" s="74"/>
      <c r="M497" s="77" t="str">
        <f>IF(Main[[#This Row],[Tech Start Date]]&lt;1/1/1990,"",IF(Main[[#This Row],[Class]]="C",WORKDAY(Main[[#This Row],[Tech Start Date]],9),IF(Main[[#This Row],[Class]]="B", WORKDAY(Main[[#This Row],[Tech Start Date]],6),IF(Main[[#This Row],[Class]]="A",WORKDAY(Main[[#This Row],[Tech Start Date]],2),""))))</f>
        <v/>
      </c>
      <c r="N497" s="77" t="str">
        <f>IF(Main[[#This Row],[Tech Start Date]]&lt;1/1/1990,"",IF(Main[[#This Row],[Class]]="C",WORKDAY(Main[[#This Row],[Tech Start Date]],19),IF(Main[[#This Row],[Class]]="B", WORKDAY(Main[[#This Row],[Tech Start Date]],12),IF(Main[[#This Row],[Class]]="A",WORKDAY(Main[[#This Row],[Tech Start Date]],4),""))))</f>
        <v/>
      </c>
      <c r="O497" s="77" t="str">
        <f>IF(Main[[#This Row],[Tech Start Date]]&lt;1/1/1990,"",IF(Main[[#This Row],[Class]]="C",WORKDAY(Main[[#This Row],[Tech Start Date]],23),IF(Main[[#This Row],[Class]]="B", WORKDAY(Main[[#This Row],[Tech Start Date]],15),IF(Main[[#This Row],[Class]]="A",WORKDAY(Main[[#This Row],[Tech Start Date]],5),""))))</f>
        <v/>
      </c>
      <c r="P497" s="77" t="str">
        <f>IF(Main[[#This Row],[Tech Start Date]]&lt;1/1/1990,"",IF(Main[[#This Row],[Class]]="C",WORKDAY(Main[[#This Row],[Tech Start Date]],28),IF(Main[[#This Row],[Class]]="B", WORKDAY(Main[[#This Row],[Tech Start Date]],19),IF(Main[[#This Row],[Class]]="A",WORKDAY(Main[[#This Row],[Tech Start Date]],9),""))))</f>
        <v/>
      </c>
      <c r="Q497" s="74">
        <v>40149</v>
      </c>
      <c r="R497" s="74"/>
      <c r="S497" s="72" t="s">
        <v>11</v>
      </c>
      <c r="T497" s="80" t="s">
        <v>4</v>
      </c>
      <c r="U497" s="72" t="s">
        <v>14</v>
      </c>
      <c r="V497" s="72" t="s">
        <v>1935</v>
      </c>
      <c r="W497" s="72" t="s">
        <v>1938</v>
      </c>
      <c r="X497" s="72" t="s">
        <v>2947</v>
      </c>
      <c r="Y497" s="72" t="s">
        <v>4</v>
      </c>
      <c r="Z497" s="72" t="s">
        <v>4</v>
      </c>
      <c r="AA497" s="147" t="s">
        <v>2947</v>
      </c>
    </row>
    <row r="498" spans="1:27" ht="18.600000000000001" customHeight="1">
      <c r="A498" s="140" t="str">
        <f>IF(priority(Main[[#This Row],[Comments]])&lt;&gt;0, priority(Main[[#This Row],[Comments]]),"")</f>
        <v/>
      </c>
      <c r="B498" s="90" t="s">
        <v>1381</v>
      </c>
      <c r="C498" s="72" t="s">
        <v>93</v>
      </c>
      <c r="D498" s="73" t="s">
        <v>464</v>
      </c>
      <c r="E498" s="74"/>
      <c r="F498" s="74">
        <v>40210</v>
      </c>
      <c r="G498" s="75" t="str">
        <f>IF(stdProdLT(Main[[#This Row],[Comments]])=0.1,"N/A",IF(stdProdLT(Main[[#This Row],[Comments]])=0,"",stdProdLT(Main[[#This Row],[Comments]])))</f>
        <v/>
      </c>
      <c r="H498" s="76" t="str">
        <f>IF(AND(Main[[#This Row],[In Stock Date]]&lt;&gt;"",Main[[#This Row],[Revised Due Date]]&lt;&gt;""),Main[[#This Row],[In Stock Date]]-Main[[#This Row],[Revised Due Date]],"")</f>
        <v/>
      </c>
      <c r="I498" s="72" t="s">
        <v>4</v>
      </c>
      <c r="J498" s="72" t="s">
        <v>4</v>
      </c>
      <c r="K498" s="72" t="s">
        <v>4</v>
      </c>
      <c r="L498" s="74"/>
      <c r="M498" s="77" t="str">
        <f>IF(Main[[#This Row],[Tech Start Date]]&lt;1/1/1990,"",IF(Main[[#This Row],[Class]]="C",WORKDAY(Main[[#This Row],[Tech Start Date]],9),IF(Main[[#This Row],[Class]]="B", WORKDAY(Main[[#This Row],[Tech Start Date]],6),IF(Main[[#This Row],[Class]]="A",WORKDAY(Main[[#This Row],[Tech Start Date]],2),""))))</f>
        <v/>
      </c>
      <c r="N498" s="77" t="str">
        <f>IF(Main[[#This Row],[Tech Start Date]]&lt;1/1/1990,"",IF(Main[[#This Row],[Class]]="C",WORKDAY(Main[[#This Row],[Tech Start Date]],19),IF(Main[[#This Row],[Class]]="B", WORKDAY(Main[[#This Row],[Tech Start Date]],12),IF(Main[[#This Row],[Class]]="A",WORKDAY(Main[[#This Row],[Tech Start Date]],4),""))))</f>
        <v/>
      </c>
      <c r="O498" s="77" t="str">
        <f>IF(Main[[#This Row],[Tech Start Date]]&lt;1/1/1990,"",IF(Main[[#This Row],[Class]]="C",WORKDAY(Main[[#This Row],[Tech Start Date]],23),IF(Main[[#This Row],[Class]]="B", WORKDAY(Main[[#This Row],[Tech Start Date]],15),IF(Main[[#This Row],[Class]]="A",WORKDAY(Main[[#This Row],[Tech Start Date]],5),""))))</f>
        <v/>
      </c>
      <c r="P498" s="77" t="str">
        <f>IF(Main[[#This Row],[Tech Start Date]]&lt;1/1/1990,"",IF(Main[[#This Row],[Class]]="C",WORKDAY(Main[[#This Row],[Tech Start Date]],28),IF(Main[[#This Row],[Class]]="B", WORKDAY(Main[[#This Row],[Tech Start Date]],19),IF(Main[[#This Row],[Class]]="A",WORKDAY(Main[[#This Row],[Tech Start Date]],9),""))))</f>
        <v/>
      </c>
      <c r="Q498" s="74">
        <v>40195</v>
      </c>
      <c r="R498" s="74"/>
      <c r="S498" s="72" t="s">
        <v>11</v>
      </c>
      <c r="T498" s="80" t="s">
        <v>4</v>
      </c>
      <c r="U498" s="72" t="s">
        <v>12</v>
      </c>
      <c r="V498" s="72" t="s">
        <v>1942</v>
      </c>
      <c r="W498" s="72" t="s">
        <v>1943</v>
      </c>
      <c r="X498" s="72" t="s">
        <v>2929</v>
      </c>
      <c r="Y498" s="72" t="s">
        <v>4</v>
      </c>
      <c r="Z498" s="72" t="s">
        <v>4</v>
      </c>
      <c r="AA498" s="147" t="s">
        <v>2929</v>
      </c>
    </row>
    <row r="499" spans="1:27" ht="18.600000000000001" customHeight="1">
      <c r="A499" s="140" t="str">
        <f>IF(priority(Main[[#This Row],[Comments]])&lt;&gt;0, priority(Main[[#This Row],[Comments]]),"")</f>
        <v/>
      </c>
      <c r="B499" s="90" t="s">
        <v>1382</v>
      </c>
      <c r="C499" s="72" t="s">
        <v>462</v>
      </c>
      <c r="D499" s="73" t="s">
        <v>465</v>
      </c>
      <c r="E499" s="74"/>
      <c r="F499" s="74">
        <v>40214</v>
      </c>
      <c r="G499" s="75" t="str">
        <f>IF(stdProdLT(Main[[#This Row],[Comments]])=0.1,"N/A",IF(stdProdLT(Main[[#This Row],[Comments]])=0,"",stdProdLT(Main[[#This Row],[Comments]])))</f>
        <v/>
      </c>
      <c r="H499" s="76" t="str">
        <f>IF(AND(Main[[#This Row],[In Stock Date]]&lt;&gt;"",Main[[#This Row],[Revised Due Date]]&lt;&gt;""),Main[[#This Row],[In Stock Date]]-Main[[#This Row],[Revised Due Date]],"")</f>
        <v/>
      </c>
      <c r="I499" s="72" t="s">
        <v>4</v>
      </c>
      <c r="J499" s="72" t="s">
        <v>4</v>
      </c>
      <c r="K499" s="72" t="s">
        <v>4</v>
      </c>
      <c r="L499" s="74"/>
      <c r="M499" s="77" t="str">
        <f>IF(Main[[#This Row],[Tech Start Date]]&lt;1/1/1990,"",IF(Main[[#This Row],[Class]]="C",WORKDAY(Main[[#This Row],[Tech Start Date]],9),IF(Main[[#This Row],[Class]]="B", WORKDAY(Main[[#This Row],[Tech Start Date]],6),IF(Main[[#This Row],[Class]]="A",WORKDAY(Main[[#This Row],[Tech Start Date]],2),""))))</f>
        <v/>
      </c>
      <c r="N499" s="77" t="str">
        <f>IF(Main[[#This Row],[Tech Start Date]]&lt;1/1/1990,"",IF(Main[[#This Row],[Class]]="C",WORKDAY(Main[[#This Row],[Tech Start Date]],19),IF(Main[[#This Row],[Class]]="B", WORKDAY(Main[[#This Row],[Tech Start Date]],12),IF(Main[[#This Row],[Class]]="A",WORKDAY(Main[[#This Row],[Tech Start Date]],4),""))))</f>
        <v/>
      </c>
      <c r="O499" s="77" t="str">
        <f>IF(Main[[#This Row],[Tech Start Date]]&lt;1/1/1990,"",IF(Main[[#This Row],[Class]]="C",WORKDAY(Main[[#This Row],[Tech Start Date]],23),IF(Main[[#This Row],[Class]]="B", WORKDAY(Main[[#This Row],[Tech Start Date]],15),IF(Main[[#This Row],[Class]]="A",WORKDAY(Main[[#This Row],[Tech Start Date]],5),""))))</f>
        <v/>
      </c>
      <c r="P499" s="77" t="str">
        <f>IF(Main[[#This Row],[Tech Start Date]]&lt;1/1/1990,"",IF(Main[[#This Row],[Class]]="C",WORKDAY(Main[[#This Row],[Tech Start Date]],28),IF(Main[[#This Row],[Class]]="B", WORKDAY(Main[[#This Row],[Tech Start Date]],19),IF(Main[[#This Row],[Class]]="A",WORKDAY(Main[[#This Row],[Tech Start Date]],9),""))))</f>
        <v/>
      </c>
      <c r="Q499" s="74">
        <v>40149</v>
      </c>
      <c r="R499" s="74"/>
      <c r="S499" s="72" t="s">
        <v>11</v>
      </c>
      <c r="T499" s="80" t="s">
        <v>4</v>
      </c>
      <c r="U499" s="72" t="s">
        <v>14</v>
      </c>
      <c r="V499" s="72" t="s">
        <v>1935</v>
      </c>
      <c r="W499" s="72" t="s">
        <v>1938</v>
      </c>
      <c r="X499" s="72" t="s">
        <v>2947</v>
      </c>
      <c r="Y499" s="72" t="s">
        <v>4</v>
      </c>
      <c r="Z499" s="72" t="s">
        <v>4</v>
      </c>
      <c r="AA499" s="147" t="s">
        <v>2947</v>
      </c>
    </row>
    <row r="500" spans="1:27" ht="18.600000000000001" customHeight="1">
      <c r="A500" s="140" t="str">
        <f>IF(priority(Main[[#This Row],[Comments]])&lt;&gt;0, priority(Main[[#This Row],[Comments]]),"")</f>
        <v/>
      </c>
      <c r="B500" s="90" t="s">
        <v>1383</v>
      </c>
      <c r="C500" s="72" t="s">
        <v>31</v>
      </c>
      <c r="D500" s="73" t="s">
        <v>466</v>
      </c>
      <c r="E500" s="74"/>
      <c r="F500" s="74"/>
      <c r="G500" s="75" t="str">
        <f>IF(stdProdLT(Main[[#This Row],[Comments]])=0.1,"N/A",IF(stdProdLT(Main[[#This Row],[Comments]])=0,"",stdProdLT(Main[[#This Row],[Comments]])))</f>
        <v/>
      </c>
      <c r="H500" s="76" t="str">
        <f>IF(AND(Main[[#This Row],[In Stock Date]]&lt;&gt;"",Main[[#This Row],[Revised Due Date]]&lt;&gt;""),Main[[#This Row],[In Stock Date]]-Main[[#This Row],[Revised Due Date]],"")</f>
        <v/>
      </c>
      <c r="I500" s="72" t="s">
        <v>4</v>
      </c>
      <c r="J500" s="72" t="s">
        <v>4</v>
      </c>
      <c r="K500" s="81" t="s">
        <v>4</v>
      </c>
      <c r="L500" s="74"/>
      <c r="M500" s="77" t="str">
        <f>IF(Main[[#This Row],[Tech Start Date]]&lt;1/1/1990,"",IF(Main[[#This Row],[Class]]="C",WORKDAY(Main[[#This Row],[Tech Start Date]],9),IF(Main[[#This Row],[Class]]="B", WORKDAY(Main[[#This Row],[Tech Start Date]],6),IF(Main[[#This Row],[Class]]="A",WORKDAY(Main[[#This Row],[Tech Start Date]],2),""))))</f>
        <v/>
      </c>
      <c r="N500" s="77" t="str">
        <f>IF(Main[[#This Row],[Tech Start Date]]&lt;1/1/1990,"",IF(Main[[#This Row],[Class]]="C",WORKDAY(Main[[#This Row],[Tech Start Date]],19),IF(Main[[#This Row],[Class]]="B", WORKDAY(Main[[#This Row],[Tech Start Date]],12),IF(Main[[#This Row],[Class]]="A",WORKDAY(Main[[#This Row],[Tech Start Date]],4),""))))</f>
        <v/>
      </c>
      <c r="O500" s="77" t="str">
        <f>IF(Main[[#This Row],[Tech Start Date]]&lt;1/1/1990,"",IF(Main[[#This Row],[Class]]="C",WORKDAY(Main[[#This Row],[Tech Start Date]],23),IF(Main[[#This Row],[Class]]="B", WORKDAY(Main[[#This Row],[Tech Start Date]],15),IF(Main[[#This Row],[Class]]="A",WORKDAY(Main[[#This Row],[Tech Start Date]],5),""))))</f>
        <v/>
      </c>
      <c r="P500" s="77" t="str">
        <f>IF(Main[[#This Row],[Tech Start Date]]&lt;1/1/1990,"",IF(Main[[#This Row],[Class]]="C",WORKDAY(Main[[#This Row],[Tech Start Date]],28),IF(Main[[#This Row],[Class]]="B", WORKDAY(Main[[#This Row],[Tech Start Date]],19),IF(Main[[#This Row],[Class]]="A",WORKDAY(Main[[#This Row],[Tech Start Date]],9),""))))</f>
        <v/>
      </c>
      <c r="Q500" s="74">
        <v>40318</v>
      </c>
      <c r="R500" s="74"/>
      <c r="S500" s="72" t="s">
        <v>11</v>
      </c>
      <c r="T500" s="80" t="s">
        <v>4</v>
      </c>
      <c r="U500" s="72" t="s">
        <v>14</v>
      </c>
      <c r="V500" s="72" t="s">
        <v>1935</v>
      </c>
      <c r="W500" s="72" t="s">
        <v>1934</v>
      </c>
      <c r="X500" s="72" t="s">
        <v>2914</v>
      </c>
      <c r="Y500" s="72" t="s">
        <v>4</v>
      </c>
      <c r="Z500" s="72" t="s">
        <v>4</v>
      </c>
      <c r="AA500" s="147" t="s">
        <v>2914</v>
      </c>
    </row>
    <row r="501" spans="1:27" ht="18.600000000000001" customHeight="1">
      <c r="A501" s="140" t="str">
        <f>IF(priority(Main[[#This Row],[Comments]])&lt;&gt;0, priority(Main[[#This Row],[Comments]]),"")</f>
        <v/>
      </c>
      <c r="B501" s="90" t="s">
        <v>1384</v>
      </c>
      <c r="C501" s="72" t="s">
        <v>31</v>
      </c>
      <c r="D501" s="73" t="s">
        <v>467</v>
      </c>
      <c r="E501" s="74">
        <v>40494.184537037036</v>
      </c>
      <c r="F501" s="74">
        <v>40546</v>
      </c>
      <c r="G501" s="75" t="str">
        <f>IF(stdProdLT(Main[[#This Row],[Comments]])=0.1,"N/A",IF(stdProdLT(Main[[#This Row],[Comments]])=0,"",stdProdLT(Main[[#This Row],[Comments]])))</f>
        <v/>
      </c>
      <c r="H501" s="76" t="str">
        <f>IF(AND(Main[[#This Row],[In Stock Date]]&lt;&gt;"",Main[[#This Row],[Revised Due Date]]&lt;&gt;""),Main[[#This Row],[In Stock Date]]-Main[[#This Row],[Revised Due Date]],"")</f>
        <v/>
      </c>
      <c r="I501" s="72" t="s">
        <v>4</v>
      </c>
      <c r="J501" s="72" t="s">
        <v>4</v>
      </c>
      <c r="K501" s="72" t="s">
        <v>4</v>
      </c>
      <c r="L501" s="74"/>
      <c r="M501" s="77" t="str">
        <f>IF(Main[[#This Row],[Tech Start Date]]&lt;1/1/1990,"",IF(Main[[#This Row],[Class]]="C",WORKDAY(Main[[#This Row],[Tech Start Date]],9),IF(Main[[#This Row],[Class]]="B", WORKDAY(Main[[#This Row],[Tech Start Date]],6),IF(Main[[#This Row],[Class]]="A",WORKDAY(Main[[#This Row],[Tech Start Date]],2),""))))</f>
        <v/>
      </c>
      <c r="N501" s="77" t="str">
        <f>IF(Main[[#This Row],[Tech Start Date]]&lt;1/1/1990,"",IF(Main[[#This Row],[Class]]="C",WORKDAY(Main[[#This Row],[Tech Start Date]],19),IF(Main[[#This Row],[Class]]="B", WORKDAY(Main[[#This Row],[Tech Start Date]],12),IF(Main[[#This Row],[Class]]="A",WORKDAY(Main[[#This Row],[Tech Start Date]],4),""))))</f>
        <v/>
      </c>
      <c r="O501" s="77" t="str">
        <f>IF(Main[[#This Row],[Tech Start Date]]&lt;1/1/1990,"",IF(Main[[#This Row],[Class]]="C",WORKDAY(Main[[#This Row],[Tech Start Date]],23),IF(Main[[#This Row],[Class]]="B", WORKDAY(Main[[#This Row],[Tech Start Date]],15),IF(Main[[#This Row],[Class]]="A",WORKDAY(Main[[#This Row],[Tech Start Date]],5),""))))</f>
        <v/>
      </c>
      <c r="P501" s="77" t="str">
        <f>IF(Main[[#This Row],[Tech Start Date]]&lt;1/1/1990,"",IF(Main[[#This Row],[Class]]="C",WORKDAY(Main[[#This Row],[Tech Start Date]],28),IF(Main[[#This Row],[Class]]="B", WORKDAY(Main[[#This Row],[Tech Start Date]],19),IF(Main[[#This Row],[Class]]="A",WORKDAY(Main[[#This Row],[Tech Start Date]],9),""))))</f>
        <v/>
      </c>
      <c r="Q501" s="74">
        <v>40527</v>
      </c>
      <c r="R501" s="74"/>
      <c r="S501" s="72" t="s">
        <v>17</v>
      </c>
      <c r="T501" s="80" t="s">
        <v>4</v>
      </c>
      <c r="U501" s="72" t="s">
        <v>7</v>
      </c>
      <c r="V501" s="72" t="s">
        <v>1935</v>
      </c>
      <c r="W501" s="72" t="s">
        <v>4</v>
      </c>
      <c r="X501" s="72" t="s">
        <v>2940</v>
      </c>
      <c r="Y501" s="72" t="s">
        <v>3084</v>
      </c>
      <c r="Z501" s="72" t="s">
        <v>4</v>
      </c>
      <c r="AA501" s="147" t="s">
        <v>2940</v>
      </c>
    </row>
    <row r="502" spans="1:27" ht="18.600000000000001" customHeight="1">
      <c r="A502" s="140" t="str">
        <f>IF(priority(Main[[#This Row],[Comments]])&lt;&gt;0, priority(Main[[#This Row],[Comments]]),"")</f>
        <v/>
      </c>
      <c r="B502" s="90" t="s">
        <v>1385</v>
      </c>
      <c r="C502" s="72" t="s">
        <v>4</v>
      </c>
      <c r="D502" s="73" t="s">
        <v>468</v>
      </c>
      <c r="E502" s="74"/>
      <c r="F502" s="74">
        <v>40374</v>
      </c>
      <c r="G502" s="75" t="str">
        <f>IF(stdProdLT(Main[[#This Row],[Comments]])=0.1,"N/A",IF(stdProdLT(Main[[#This Row],[Comments]])=0,"",stdProdLT(Main[[#This Row],[Comments]])))</f>
        <v/>
      </c>
      <c r="H502" s="76" t="str">
        <f>IF(AND(Main[[#This Row],[In Stock Date]]&lt;&gt;"",Main[[#This Row],[Revised Due Date]]&lt;&gt;""),Main[[#This Row],[In Stock Date]]-Main[[#This Row],[Revised Due Date]],"")</f>
        <v/>
      </c>
      <c r="I502" s="72" t="s">
        <v>4</v>
      </c>
      <c r="J502" s="72" t="s">
        <v>4</v>
      </c>
      <c r="K502" s="72" t="s">
        <v>4</v>
      </c>
      <c r="L502" s="74"/>
      <c r="M502" s="77" t="str">
        <f>IF(Main[[#This Row],[Tech Start Date]]&lt;1/1/1990,"",IF(Main[[#This Row],[Class]]="C",WORKDAY(Main[[#This Row],[Tech Start Date]],9),IF(Main[[#This Row],[Class]]="B", WORKDAY(Main[[#This Row],[Tech Start Date]],6),IF(Main[[#This Row],[Class]]="A",WORKDAY(Main[[#This Row],[Tech Start Date]],2),""))))</f>
        <v/>
      </c>
      <c r="N502" s="77" t="str">
        <f>IF(Main[[#This Row],[Tech Start Date]]&lt;1/1/1990,"",IF(Main[[#This Row],[Class]]="C",WORKDAY(Main[[#This Row],[Tech Start Date]],19),IF(Main[[#This Row],[Class]]="B", WORKDAY(Main[[#This Row],[Tech Start Date]],12),IF(Main[[#This Row],[Class]]="A",WORKDAY(Main[[#This Row],[Tech Start Date]],4),""))))</f>
        <v/>
      </c>
      <c r="O502" s="77" t="str">
        <f>IF(Main[[#This Row],[Tech Start Date]]&lt;1/1/1990,"",IF(Main[[#This Row],[Class]]="C",WORKDAY(Main[[#This Row],[Tech Start Date]],23),IF(Main[[#This Row],[Class]]="B", WORKDAY(Main[[#This Row],[Tech Start Date]],15),IF(Main[[#This Row],[Class]]="A",WORKDAY(Main[[#This Row],[Tech Start Date]],5),""))))</f>
        <v/>
      </c>
      <c r="P502" s="77" t="str">
        <f>IF(Main[[#This Row],[Tech Start Date]]&lt;1/1/1990,"",IF(Main[[#This Row],[Class]]="C",WORKDAY(Main[[#This Row],[Tech Start Date]],28),IF(Main[[#This Row],[Class]]="B", WORKDAY(Main[[#This Row],[Tech Start Date]],19),IF(Main[[#This Row],[Class]]="A",WORKDAY(Main[[#This Row],[Tech Start Date]],9),""))))</f>
        <v/>
      </c>
      <c r="Q502" s="74">
        <v>40297</v>
      </c>
      <c r="R502" s="74"/>
      <c r="S502" s="72" t="s">
        <v>11</v>
      </c>
      <c r="T502" s="80" t="s">
        <v>4</v>
      </c>
      <c r="U502" s="72" t="s">
        <v>12</v>
      </c>
      <c r="V502" s="72" t="s">
        <v>1932</v>
      </c>
      <c r="W502" s="72" t="s">
        <v>1940</v>
      </c>
      <c r="X502" s="72" t="s">
        <v>2908</v>
      </c>
      <c r="Y502" s="72" t="s">
        <v>3030</v>
      </c>
      <c r="Z502" s="72" t="s">
        <v>4</v>
      </c>
      <c r="AA502" s="147" t="s">
        <v>2908</v>
      </c>
    </row>
    <row r="503" spans="1:27" ht="18.600000000000001" customHeight="1">
      <c r="A503" s="140" t="str">
        <f>IF(priority(Main[[#This Row],[Comments]])&lt;&gt;0, priority(Main[[#This Row],[Comments]]),"")</f>
        <v/>
      </c>
      <c r="B503" s="90" t="s">
        <v>1386</v>
      </c>
      <c r="C503" s="72" t="s">
        <v>31</v>
      </c>
      <c r="D503" s="73" t="s">
        <v>469</v>
      </c>
      <c r="E503" s="74"/>
      <c r="F503" s="74">
        <v>40568</v>
      </c>
      <c r="G503" s="75" t="str">
        <f>IF(stdProdLT(Main[[#This Row],[Comments]])=0.1,"N/A",IF(stdProdLT(Main[[#This Row],[Comments]])=0,"",stdProdLT(Main[[#This Row],[Comments]])))</f>
        <v/>
      </c>
      <c r="H503" s="76" t="str">
        <f>IF(AND(Main[[#This Row],[In Stock Date]]&lt;&gt;"",Main[[#This Row],[Revised Due Date]]&lt;&gt;""),Main[[#This Row],[In Stock Date]]-Main[[#This Row],[Revised Due Date]],"")</f>
        <v/>
      </c>
      <c r="I503" s="72" t="s">
        <v>4</v>
      </c>
      <c r="J503" s="72" t="s">
        <v>51</v>
      </c>
      <c r="K503" s="72" t="s">
        <v>4</v>
      </c>
      <c r="L503" s="74"/>
      <c r="M503" s="77" t="str">
        <f>IF(Main[[#This Row],[Tech Start Date]]&lt;1/1/1990,"",IF(Main[[#This Row],[Class]]="C",WORKDAY(Main[[#This Row],[Tech Start Date]],9),IF(Main[[#This Row],[Class]]="B", WORKDAY(Main[[#This Row],[Tech Start Date]],6),IF(Main[[#This Row],[Class]]="A",WORKDAY(Main[[#This Row],[Tech Start Date]],2),""))))</f>
        <v/>
      </c>
      <c r="N503" s="77" t="str">
        <f>IF(Main[[#This Row],[Tech Start Date]]&lt;1/1/1990,"",IF(Main[[#This Row],[Class]]="C",WORKDAY(Main[[#This Row],[Tech Start Date]],19),IF(Main[[#This Row],[Class]]="B", WORKDAY(Main[[#This Row],[Tech Start Date]],12),IF(Main[[#This Row],[Class]]="A",WORKDAY(Main[[#This Row],[Tech Start Date]],4),""))))</f>
        <v/>
      </c>
      <c r="O503" s="77" t="str">
        <f>IF(Main[[#This Row],[Tech Start Date]]&lt;1/1/1990,"",IF(Main[[#This Row],[Class]]="C",WORKDAY(Main[[#This Row],[Tech Start Date]],23),IF(Main[[#This Row],[Class]]="B", WORKDAY(Main[[#This Row],[Tech Start Date]],15),IF(Main[[#This Row],[Class]]="A",WORKDAY(Main[[#This Row],[Tech Start Date]],5),""))))</f>
        <v/>
      </c>
      <c r="P503" s="77" t="str">
        <f>IF(Main[[#This Row],[Tech Start Date]]&lt;1/1/1990,"",IF(Main[[#This Row],[Class]]="C",WORKDAY(Main[[#This Row],[Tech Start Date]],28),IF(Main[[#This Row],[Class]]="B", WORKDAY(Main[[#This Row],[Tech Start Date]],19),IF(Main[[#This Row],[Class]]="A",WORKDAY(Main[[#This Row],[Tech Start Date]],9),""))))</f>
        <v/>
      </c>
      <c r="Q503" s="74">
        <v>40396</v>
      </c>
      <c r="R503" s="74"/>
      <c r="S503" s="72" t="s">
        <v>11</v>
      </c>
      <c r="T503" s="80" t="s">
        <v>4</v>
      </c>
      <c r="U503" s="72" t="s">
        <v>14</v>
      </c>
      <c r="V503" s="72" t="s">
        <v>1942</v>
      </c>
      <c r="W503" s="72" t="s">
        <v>1938</v>
      </c>
      <c r="X503" s="72" t="s">
        <v>2968</v>
      </c>
      <c r="Y503" s="72" t="s">
        <v>3124</v>
      </c>
      <c r="Z503" s="72" t="s">
        <v>894</v>
      </c>
      <c r="AA503" s="147" t="s">
        <v>2968</v>
      </c>
    </row>
    <row r="504" spans="1:27" ht="18.600000000000001" customHeight="1">
      <c r="A504" s="140" t="str">
        <f>IF(priority(Main[[#This Row],[Comments]])&lt;&gt;0, priority(Main[[#This Row],[Comments]]),"")</f>
        <v/>
      </c>
      <c r="B504" s="90" t="s">
        <v>1387</v>
      </c>
      <c r="C504" s="72" t="s">
        <v>470</v>
      </c>
      <c r="D504" s="73" t="s">
        <v>471</v>
      </c>
      <c r="E504" s="74"/>
      <c r="F504" s="74">
        <v>40179</v>
      </c>
      <c r="G504" s="75" t="str">
        <f>IF(stdProdLT(Main[[#This Row],[Comments]])=0.1,"N/A",IF(stdProdLT(Main[[#This Row],[Comments]])=0,"",stdProdLT(Main[[#This Row],[Comments]])))</f>
        <v/>
      </c>
      <c r="H504" s="76" t="str">
        <f>IF(AND(Main[[#This Row],[In Stock Date]]&lt;&gt;"",Main[[#This Row],[Revised Due Date]]&lt;&gt;""),Main[[#This Row],[In Stock Date]]-Main[[#This Row],[Revised Due Date]],"")</f>
        <v/>
      </c>
      <c r="I504" s="72" t="s">
        <v>4</v>
      </c>
      <c r="J504" s="72" t="s">
        <v>4</v>
      </c>
      <c r="K504" s="72" t="s">
        <v>4</v>
      </c>
      <c r="L504" s="74"/>
      <c r="M504" s="77" t="str">
        <f>IF(Main[[#This Row],[Tech Start Date]]&lt;1/1/1990,"",IF(Main[[#This Row],[Class]]="C",WORKDAY(Main[[#This Row],[Tech Start Date]],9),IF(Main[[#This Row],[Class]]="B", WORKDAY(Main[[#This Row],[Tech Start Date]],6),IF(Main[[#This Row],[Class]]="A",WORKDAY(Main[[#This Row],[Tech Start Date]],2),""))))</f>
        <v/>
      </c>
      <c r="N504" s="77" t="str">
        <f>IF(Main[[#This Row],[Tech Start Date]]&lt;1/1/1990,"",IF(Main[[#This Row],[Class]]="C",WORKDAY(Main[[#This Row],[Tech Start Date]],19),IF(Main[[#This Row],[Class]]="B", WORKDAY(Main[[#This Row],[Tech Start Date]],12),IF(Main[[#This Row],[Class]]="A",WORKDAY(Main[[#This Row],[Tech Start Date]],4),""))))</f>
        <v/>
      </c>
      <c r="O504" s="77" t="str">
        <f>IF(Main[[#This Row],[Tech Start Date]]&lt;1/1/1990,"",IF(Main[[#This Row],[Class]]="C",WORKDAY(Main[[#This Row],[Tech Start Date]],23),IF(Main[[#This Row],[Class]]="B", WORKDAY(Main[[#This Row],[Tech Start Date]],15),IF(Main[[#This Row],[Class]]="A",WORKDAY(Main[[#This Row],[Tech Start Date]],5),""))))</f>
        <v/>
      </c>
      <c r="P504" s="77" t="str">
        <f>IF(Main[[#This Row],[Tech Start Date]]&lt;1/1/1990,"",IF(Main[[#This Row],[Class]]="C",WORKDAY(Main[[#This Row],[Tech Start Date]],28),IF(Main[[#This Row],[Class]]="B", WORKDAY(Main[[#This Row],[Tech Start Date]],19),IF(Main[[#This Row],[Class]]="A",WORKDAY(Main[[#This Row],[Tech Start Date]],9),""))))</f>
        <v/>
      </c>
      <c r="Q504" s="74">
        <v>40154</v>
      </c>
      <c r="R504" s="74"/>
      <c r="S504" s="72" t="s">
        <v>11</v>
      </c>
      <c r="T504" s="80" t="s">
        <v>4</v>
      </c>
      <c r="U504" s="72" t="s">
        <v>14</v>
      </c>
      <c r="V504" s="72" t="s">
        <v>1935</v>
      </c>
      <c r="W504" s="72" t="s">
        <v>1938</v>
      </c>
      <c r="X504" s="72" t="s">
        <v>2947</v>
      </c>
      <c r="Y504" s="72" t="s">
        <v>4</v>
      </c>
      <c r="Z504" s="72" t="s">
        <v>4</v>
      </c>
      <c r="AA504" s="147" t="s">
        <v>2947</v>
      </c>
    </row>
    <row r="505" spans="1:27" ht="18.600000000000001" customHeight="1">
      <c r="A505" s="140" t="str">
        <f>IF(priority(Main[[#This Row],[Comments]])&lt;&gt;0, priority(Main[[#This Row],[Comments]]),"")</f>
        <v/>
      </c>
      <c r="B505" s="90" t="s">
        <v>1388</v>
      </c>
      <c r="C505" s="72" t="s">
        <v>4</v>
      </c>
      <c r="D505" s="73" t="s">
        <v>472</v>
      </c>
      <c r="E505" s="74">
        <v>40701.70579861111</v>
      </c>
      <c r="F505" s="74"/>
      <c r="G505" s="75" t="str">
        <f>IF(stdProdLT(Main[[#This Row],[Comments]])=0.1,"N/A",IF(stdProdLT(Main[[#This Row],[Comments]])=0,"",stdProdLT(Main[[#This Row],[Comments]])))</f>
        <v/>
      </c>
      <c r="H505" s="76" t="str">
        <f>IF(AND(Main[[#This Row],[In Stock Date]]&lt;&gt;"",Main[[#This Row],[Revised Due Date]]&lt;&gt;""),Main[[#This Row],[In Stock Date]]-Main[[#This Row],[Revised Due Date]],"")</f>
        <v/>
      </c>
      <c r="I505" s="72" t="s">
        <v>4</v>
      </c>
      <c r="J505" s="72" t="s">
        <v>4</v>
      </c>
      <c r="K505" s="72" t="s">
        <v>4</v>
      </c>
      <c r="L505" s="74"/>
      <c r="M505" s="77" t="str">
        <f>IF(Main[[#This Row],[Tech Start Date]]&lt;1/1/1990,"",IF(Main[[#This Row],[Class]]="C",WORKDAY(Main[[#This Row],[Tech Start Date]],9),IF(Main[[#This Row],[Class]]="B", WORKDAY(Main[[#This Row],[Tech Start Date]],6),IF(Main[[#This Row],[Class]]="A",WORKDAY(Main[[#This Row],[Tech Start Date]],2),""))))</f>
        <v/>
      </c>
      <c r="N505" s="77" t="str">
        <f>IF(Main[[#This Row],[Tech Start Date]]&lt;1/1/1990,"",IF(Main[[#This Row],[Class]]="C",WORKDAY(Main[[#This Row],[Tech Start Date]],19),IF(Main[[#This Row],[Class]]="B", WORKDAY(Main[[#This Row],[Tech Start Date]],12),IF(Main[[#This Row],[Class]]="A",WORKDAY(Main[[#This Row],[Tech Start Date]],4),""))))</f>
        <v/>
      </c>
      <c r="O505" s="77" t="str">
        <f>IF(Main[[#This Row],[Tech Start Date]]&lt;1/1/1990,"",IF(Main[[#This Row],[Class]]="C",WORKDAY(Main[[#This Row],[Tech Start Date]],23),IF(Main[[#This Row],[Class]]="B", WORKDAY(Main[[#This Row],[Tech Start Date]],15),IF(Main[[#This Row],[Class]]="A",WORKDAY(Main[[#This Row],[Tech Start Date]],5),""))))</f>
        <v/>
      </c>
      <c r="P505" s="77" t="str">
        <f>IF(Main[[#This Row],[Tech Start Date]]&lt;1/1/1990,"",IF(Main[[#This Row],[Class]]="C",WORKDAY(Main[[#This Row],[Tech Start Date]],28),IF(Main[[#This Row],[Class]]="B", WORKDAY(Main[[#This Row],[Tech Start Date]],19),IF(Main[[#This Row],[Class]]="A",WORKDAY(Main[[#This Row],[Tech Start Date]],9),""))))</f>
        <v/>
      </c>
      <c r="Q505" s="74">
        <v>40732</v>
      </c>
      <c r="R505" s="74"/>
      <c r="S505" s="72" t="s">
        <v>6</v>
      </c>
      <c r="T505" s="80" t="s">
        <v>4</v>
      </c>
      <c r="U505" s="72" t="s">
        <v>7</v>
      </c>
      <c r="V505" s="72" t="s">
        <v>1932</v>
      </c>
      <c r="W505" s="72" t="s">
        <v>4</v>
      </c>
      <c r="X505" s="72" t="s">
        <v>2903</v>
      </c>
      <c r="Y505" s="72" t="s">
        <v>3019</v>
      </c>
      <c r="Z505" s="72" t="s">
        <v>4</v>
      </c>
      <c r="AA505" s="147" t="s">
        <v>2903</v>
      </c>
    </row>
    <row r="506" spans="1:27" ht="18.600000000000001" customHeight="1">
      <c r="A506" s="140" t="str">
        <f>IF(priority(Main[[#This Row],[Comments]])&lt;&gt;0, priority(Main[[#This Row],[Comments]]),"")</f>
        <v/>
      </c>
      <c r="B506" s="90" t="s">
        <v>1798</v>
      </c>
      <c r="C506" s="72" t="s">
        <v>4</v>
      </c>
      <c r="D506" s="73" t="s">
        <v>859</v>
      </c>
      <c r="E506" s="74">
        <v>40611.493495370371</v>
      </c>
      <c r="F506" s="74"/>
      <c r="G506" s="75" t="str">
        <f>IF(stdProdLT(Main[[#This Row],[Comments]])=0.1,"N/A",IF(stdProdLT(Main[[#This Row],[Comments]])=0,"",stdProdLT(Main[[#This Row],[Comments]])))</f>
        <v/>
      </c>
      <c r="H506" s="76" t="str">
        <f>IF(AND(Main[[#This Row],[In Stock Date]]&lt;&gt;"",Main[[#This Row],[Revised Due Date]]&lt;&gt;""),Main[[#This Row],[In Stock Date]]-Main[[#This Row],[Revised Due Date]],"")</f>
        <v/>
      </c>
      <c r="I506" s="72" t="s">
        <v>4</v>
      </c>
      <c r="J506" s="72" t="s">
        <v>4</v>
      </c>
      <c r="K506" s="72" t="s">
        <v>4</v>
      </c>
      <c r="L506" s="74"/>
      <c r="M506" s="77" t="str">
        <f>IF(Main[[#This Row],[Tech Start Date]]&lt;1/1/1990,"",IF(Main[[#This Row],[Class]]="C",WORKDAY(Main[[#This Row],[Tech Start Date]],9),IF(Main[[#This Row],[Class]]="B", WORKDAY(Main[[#This Row],[Tech Start Date]],6),IF(Main[[#This Row],[Class]]="A",WORKDAY(Main[[#This Row],[Tech Start Date]],2),""))))</f>
        <v/>
      </c>
      <c r="N506" s="77" t="str">
        <f>IF(Main[[#This Row],[Tech Start Date]]&lt;1/1/1990,"",IF(Main[[#This Row],[Class]]="C",WORKDAY(Main[[#This Row],[Tech Start Date]],19),IF(Main[[#This Row],[Class]]="B", WORKDAY(Main[[#This Row],[Tech Start Date]],12),IF(Main[[#This Row],[Class]]="A",WORKDAY(Main[[#This Row],[Tech Start Date]],4),""))))</f>
        <v/>
      </c>
      <c r="O506" s="77" t="str">
        <f>IF(Main[[#This Row],[Tech Start Date]]&lt;1/1/1990,"",IF(Main[[#This Row],[Class]]="C",WORKDAY(Main[[#This Row],[Tech Start Date]],23),IF(Main[[#This Row],[Class]]="B", WORKDAY(Main[[#This Row],[Tech Start Date]],15),IF(Main[[#This Row],[Class]]="A",WORKDAY(Main[[#This Row],[Tech Start Date]],5),""))))</f>
        <v/>
      </c>
      <c r="P506" s="77" t="str">
        <f>IF(Main[[#This Row],[Tech Start Date]]&lt;1/1/1990,"",IF(Main[[#This Row],[Class]]="C",WORKDAY(Main[[#This Row],[Tech Start Date]],28),IF(Main[[#This Row],[Class]]="B", WORKDAY(Main[[#This Row],[Tech Start Date]],19),IF(Main[[#This Row],[Class]]="A",WORKDAY(Main[[#This Row],[Tech Start Date]],9),""))))</f>
        <v/>
      </c>
      <c r="Q506" s="74">
        <v>40725</v>
      </c>
      <c r="R506" s="74"/>
      <c r="S506" s="72" t="s">
        <v>17</v>
      </c>
      <c r="T506" s="80" t="s">
        <v>4</v>
      </c>
      <c r="U506" s="72" t="s">
        <v>7</v>
      </c>
      <c r="V506" s="72" t="s">
        <v>1935</v>
      </c>
      <c r="W506" s="72" t="s">
        <v>1937</v>
      </c>
      <c r="X506" s="72" t="s">
        <v>559</v>
      </c>
      <c r="Y506" s="72" t="s">
        <v>3039</v>
      </c>
      <c r="Z506" s="72" t="s">
        <v>4</v>
      </c>
      <c r="AA506" s="147" t="s">
        <v>559</v>
      </c>
    </row>
    <row r="507" spans="1:27" ht="18.600000000000001" customHeight="1">
      <c r="A507" s="140" t="str">
        <f>IF(priority(Main[[#This Row],[Comments]])&lt;&gt;0, priority(Main[[#This Row],[Comments]]),"")</f>
        <v/>
      </c>
      <c r="B507" s="90" t="s">
        <v>1795</v>
      </c>
      <c r="C507" s="72" t="s">
        <v>4</v>
      </c>
      <c r="D507" s="73" t="s">
        <v>856</v>
      </c>
      <c r="E507" s="74"/>
      <c r="F507" s="74"/>
      <c r="G507" s="75" t="str">
        <f>IF(stdProdLT(Main[[#This Row],[Comments]])=0.1,"N/A",IF(stdProdLT(Main[[#This Row],[Comments]])=0,"",stdProdLT(Main[[#This Row],[Comments]])))</f>
        <v/>
      </c>
      <c r="H507" s="76" t="str">
        <f>IF(AND(Main[[#This Row],[In Stock Date]]&lt;&gt;"",Main[[#This Row],[Revised Due Date]]&lt;&gt;""),Main[[#This Row],[In Stock Date]]-Main[[#This Row],[Revised Due Date]],"")</f>
        <v/>
      </c>
      <c r="I507" s="72" t="s">
        <v>2066</v>
      </c>
      <c r="J507" s="72" t="s">
        <v>28</v>
      </c>
      <c r="K507" s="72" t="s">
        <v>1941</v>
      </c>
      <c r="L507" s="74"/>
      <c r="M507" s="77" t="str">
        <f>IF(Main[[#This Row],[Tech Start Date]]&lt;1/1/1990,"",IF(Main[[#This Row],[Class]]="C",WORKDAY(Main[[#This Row],[Tech Start Date]],9),IF(Main[[#This Row],[Class]]="B", WORKDAY(Main[[#This Row],[Tech Start Date]],6),IF(Main[[#This Row],[Class]]="A",WORKDAY(Main[[#This Row],[Tech Start Date]],2),""))))</f>
        <v/>
      </c>
      <c r="N507" s="77" t="str">
        <f>IF(Main[[#This Row],[Tech Start Date]]&lt;1/1/1990,"",IF(Main[[#This Row],[Class]]="C",WORKDAY(Main[[#This Row],[Tech Start Date]],19),IF(Main[[#This Row],[Class]]="B", WORKDAY(Main[[#This Row],[Tech Start Date]],12),IF(Main[[#This Row],[Class]]="A",WORKDAY(Main[[#This Row],[Tech Start Date]],4),""))))</f>
        <v/>
      </c>
      <c r="O507" s="77" t="str">
        <f>IF(Main[[#This Row],[Tech Start Date]]&lt;1/1/1990,"",IF(Main[[#This Row],[Class]]="C",WORKDAY(Main[[#This Row],[Tech Start Date]],23),IF(Main[[#This Row],[Class]]="B", WORKDAY(Main[[#This Row],[Tech Start Date]],15),IF(Main[[#This Row],[Class]]="A",WORKDAY(Main[[#This Row],[Tech Start Date]],5),""))))</f>
        <v/>
      </c>
      <c r="P507" s="77" t="str">
        <f>IF(Main[[#This Row],[Tech Start Date]]&lt;1/1/1990,"",IF(Main[[#This Row],[Class]]="C",WORKDAY(Main[[#This Row],[Tech Start Date]],28),IF(Main[[#This Row],[Class]]="B", WORKDAY(Main[[#This Row],[Tech Start Date]],19),IF(Main[[#This Row],[Class]]="A",WORKDAY(Main[[#This Row],[Tech Start Date]],9),""))))</f>
        <v/>
      </c>
      <c r="Q507" s="74">
        <v>40694</v>
      </c>
      <c r="R507" s="74"/>
      <c r="S507" s="72" t="s">
        <v>6</v>
      </c>
      <c r="T507" s="80" t="s">
        <v>4</v>
      </c>
      <c r="U507" s="72" t="s">
        <v>14</v>
      </c>
      <c r="V507" s="72" t="s">
        <v>1935</v>
      </c>
      <c r="W507" s="72" t="s">
        <v>1936</v>
      </c>
      <c r="X507" s="72" t="s">
        <v>2903</v>
      </c>
      <c r="Y507" s="72" t="s">
        <v>3019</v>
      </c>
      <c r="Z507" s="72" t="s">
        <v>30</v>
      </c>
      <c r="AA507" s="147" t="s">
        <v>2903</v>
      </c>
    </row>
    <row r="508" spans="1:27" ht="18.600000000000001" customHeight="1">
      <c r="A508" s="140" t="str">
        <f>IF(priority(Main[[#This Row],[Comments]])&lt;&gt;0, priority(Main[[#This Row],[Comments]]),"")</f>
        <v/>
      </c>
      <c r="B508" s="90" t="s">
        <v>1389</v>
      </c>
      <c r="C508" s="72" t="s">
        <v>99</v>
      </c>
      <c r="D508" s="73" t="s">
        <v>100</v>
      </c>
      <c r="E508" s="74"/>
      <c r="F508" s="74"/>
      <c r="G508" s="75" t="str">
        <f>IF(stdProdLT(Main[[#This Row],[Comments]])=0.1,"N/A",IF(stdProdLT(Main[[#This Row],[Comments]])=0,"",stdProdLT(Main[[#This Row],[Comments]])))</f>
        <v/>
      </c>
      <c r="H508" s="76" t="str">
        <f>IF(AND(Main[[#This Row],[In Stock Date]]&lt;&gt;"",Main[[#This Row],[Revised Due Date]]&lt;&gt;""),Main[[#This Row],[In Stock Date]]-Main[[#This Row],[Revised Due Date]],"")</f>
        <v/>
      </c>
      <c r="I508" s="72" t="s">
        <v>4</v>
      </c>
      <c r="J508" s="72" t="s">
        <v>4</v>
      </c>
      <c r="K508" s="72" t="s">
        <v>4</v>
      </c>
      <c r="L508" s="74"/>
      <c r="M508" s="77" t="str">
        <f>IF(Main[[#This Row],[Tech Start Date]]&lt;1/1/1990,"",IF(Main[[#This Row],[Class]]="C",WORKDAY(Main[[#This Row],[Tech Start Date]],9),IF(Main[[#This Row],[Class]]="B", WORKDAY(Main[[#This Row],[Tech Start Date]],6),IF(Main[[#This Row],[Class]]="A",WORKDAY(Main[[#This Row],[Tech Start Date]],2),""))))</f>
        <v/>
      </c>
      <c r="N508" s="77" t="str">
        <f>IF(Main[[#This Row],[Tech Start Date]]&lt;1/1/1990,"",IF(Main[[#This Row],[Class]]="C",WORKDAY(Main[[#This Row],[Tech Start Date]],19),IF(Main[[#This Row],[Class]]="B", WORKDAY(Main[[#This Row],[Tech Start Date]],12),IF(Main[[#This Row],[Class]]="A",WORKDAY(Main[[#This Row],[Tech Start Date]],4),""))))</f>
        <v/>
      </c>
      <c r="O508" s="77" t="str">
        <f>IF(Main[[#This Row],[Tech Start Date]]&lt;1/1/1990,"",IF(Main[[#This Row],[Class]]="C",WORKDAY(Main[[#This Row],[Tech Start Date]],23),IF(Main[[#This Row],[Class]]="B", WORKDAY(Main[[#This Row],[Tech Start Date]],15),IF(Main[[#This Row],[Class]]="A",WORKDAY(Main[[#This Row],[Tech Start Date]],5),""))))</f>
        <v/>
      </c>
      <c r="P508" s="77" t="str">
        <f>IF(Main[[#This Row],[Tech Start Date]]&lt;1/1/1990,"",IF(Main[[#This Row],[Class]]="C",WORKDAY(Main[[#This Row],[Tech Start Date]],28),IF(Main[[#This Row],[Class]]="B", WORKDAY(Main[[#This Row],[Tech Start Date]],19),IF(Main[[#This Row],[Class]]="A",WORKDAY(Main[[#This Row],[Tech Start Date]],9),""))))</f>
        <v/>
      </c>
      <c r="Q508" s="74"/>
      <c r="R508" s="74"/>
      <c r="S508" s="72" t="s">
        <v>11</v>
      </c>
      <c r="T508" s="80" t="s">
        <v>4</v>
      </c>
      <c r="U508" s="72" t="s">
        <v>14</v>
      </c>
      <c r="V508" s="72" t="s">
        <v>1933</v>
      </c>
      <c r="W508" s="72" t="s">
        <v>1934</v>
      </c>
      <c r="X508" s="72" t="s">
        <v>2918</v>
      </c>
      <c r="Y508" s="72" t="s">
        <v>3047</v>
      </c>
      <c r="Z508" s="72" t="s">
        <v>4</v>
      </c>
      <c r="AA508" s="147" t="s">
        <v>3572</v>
      </c>
    </row>
    <row r="509" spans="1:27" ht="18.600000000000001" customHeight="1">
      <c r="A509" s="140" t="str">
        <f>IF(priority(Main[[#This Row],[Comments]])&lt;&gt;0, priority(Main[[#This Row],[Comments]]),"")</f>
        <v/>
      </c>
      <c r="B509" s="90" t="s">
        <v>1390</v>
      </c>
      <c r="C509" s="72" t="s">
        <v>4</v>
      </c>
      <c r="D509" s="73" t="s">
        <v>299</v>
      </c>
      <c r="E509" s="74"/>
      <c r="F509" s="74"/>
      <c r="G509" s="75" t="str">
        <f>IF(stdProdLT(Main[[#This Row],[Comments]])=0.1,"N/A",IF(stdProdLT(Main[[#This Row],[Comments]])=0,"",stdProdLT(Main[[#This Row],[Comments]])))</f>
        <v/>
      </c>
      <c r="H509" s="76" t="str">
        <f>IF(AND(Main[[#This Row],[In Stock Date]]&lt;&gt;"",Main[[#This Row],[Revised Due Date]]&lt;&gt;""),Main[[#This Row],[In Stock Date]]-Main[[#This Row],[Revised Due Date]],"")</f>
        <v/>
      </c>
      <c r="I509" s="72" t="s">
        <v>4</v>
      </c>
      <c r="J509" s="72" t="s">
        <v>4</v>
      </c>
      <c r="K509" s="81" t="s">
        <v>4</v>
      </c>
      <c r="L509" s="74"/>
      <c r="M509" s="77" t="str">
        <f>IF(Main[[#This Row],[Tech Start Date]]&lt;1/1/1990,"",IF(Main[[#This Row],[Class]]="C",WORKDAY(Main[[#This Row],[Tech Start Date]],9),IF(Main[[#This Row],[Class]]="B", WORKDAY(Main[[#This Row],[Tech Start Date]],6),IF(Main[[#This Row],[Class]]="A",WORKDAY(Main[[#This Row],[Tech Start Date]],2),""))))</f>
        <v/>
      </c>
      <c r="N509" s="77" t="str">
        <f>IF(Main[[#This Row],[Tech Start Date]]&lt;1/1/1990,"",IF(Main[[#This Row],[Class]]="C",WORKDAY(Main[[#This Row],[Tech Start Date]],19),IF(Main[[#This Row],[Class]]="B", WORKDAY(Main[[#This Row],[Tech Start Date]],12),IF(Main[[#This Row],[Class]]="A",WORKDAY(Main[[#This Row],[Tech Start Date]],4),""))))</f>
        <v/>
      </c>
      <c r="O509" s="77" t="str">
        <f>IF(Main[[#This Row],[Tech Start Date]]&lt;1/1/1990,"",IF(Main[[#This Row],[Class]]="C",WORKDAY(Main[[#This Row],[Tech Start Date]],23),IF(Main[[#This Row],[Class]]="B", WORKDAY(Main[[#This Row],[Tech Start Date]],15),IF(Main[[#This Row],[Class]]="A",WORKDAY(Main[[#This Row],[Tech Start Date]],5),""))))</f>
        <v/>
      </c>
      <c r="P509" s="77" t="str">
        <f>IF(Main[[#This Row],[Tech Start Date]]&lt;1/1/1990,"",IF(Main[[#This Row],[Class]]="C",WORKDAY(Main[[#This Row],[Tech Start Date]],28),IF(Main[[#This Row],[Class]]="B", WORKDAY(Main[[#This Row],[Tech Start Date]],19),IF(Main[[#This Row],[Class]]="A",WORKDAY(Main[[#This Row],[Tech Start Date]],9),""))))</f>
        <v/>
      </c>
      <c r="Q509" s="74">
        <v>40471</v>
      </c>
      <c r="R509" s="74"/>
      <c r="S509" s="72" t="s">
        <v>300</v>
      </c>
      <c r="T509" s="80" t="s">
        <v>4</v>
      </c>
      <c r="U509" s="72" t="s">
        <v>14</v>
      </c>
      <c r="V509" s="72" t="s">
        <v>1942</v>
      </c>
      <c r="W509" s="72" t="s">
        <v>1934</v>
      </c>
      <c r="X509" s="72" t="s">
        <v>2931</v>
      </c>
      <c r="Y509" s="72" t="s">
        <v>3065</v>
      </c>
      <c r="Z509" s="72" t="s">
        <v>4</v>
      </c>
      <c r="AA509" s="147" t="s">
        <v>2931</v>
      </c>
    </row>
    <row r="510" spans="1:27" ht="18.600000000000001" customHeight="1">
      <c r="A510" s="140" t="str">
        <f>IF(priority(Main[[#This Row],[Comments]])&lt;&gt;0, priority(Main[[#This Row],[Comments]]),"")</f>
        <v/>
      </c>
      <c r="B510" s="90" t="s">
        <v>1391</v>
      </c>
      <c r="C510" s="72" t="s">
        <v>4</v>
      </c>
      <c r="D510" s="73" t="s">
        <v>473</v>
      </c>
      <c r="E510" s="74">
        <v>40422.514918981484</v>
      </c>
      <c r="F510" s="74"/>
      <c r="G510" s="75" t="str">
        <f>IF(stdProdLT(Main[[#This Row],[Comments]])=0.1,"N/A",IF(stdProdLT(Main[[#This Row],[Comments]])=0,"",stdProdLT(Main[[#This Row],[Comments]])))</f>
        <v/>
      </c>
      <c r="H510" s="76" t="str">
        <f>IF(AND(Main[[#This Row],[In Stock Date]]&lt;&gt;"",Main[[#This Row],[Revised Due Date]]&lt;&gt;""),Main[[#This Row],[In Stock Date]]-Main[[#This Row],[Revised Due Date]],"")</f>
        <v/>
      </c>
      <c r="I510" s="72" t="s">
        <v>4</v>
      </c>
      <c r="J510" s="72" t="s">
        <v>28</v>
      </c>
      <c r="K510" s="72" t="s">
        <v>4</v>
      </c>
      <c r="L510" s="74"/>
      <c r="M510" s="77" t="str">
        <f>IF(Main[[#This Row],[Tech Start Date]]&lt;1/1/1990,"",IF(Main[[#This Row],[Class]]="C",WORKDAY(Main[[#This Row],[Tech Start Date]],9),IF(Main[[#This Row],[Class]]="B", WORKDAY(Main[[#This Row],[Tech Start Date]],6),IF(Main[[#This Row],[Class]]="A",WORKDAY(Main[[#This Row],[Tech Start Date]],2),""))))</f>
        <v/>
      </c>
      <c r="N510" s="77" t="str">
        <f>IF(Main[[#This Row],[Tech Start Date]]&lt;1/1/1990,"",IF(Main[[#This Row],[Class]]="C",WORKDAY(Main[[#This Row],[Tech Start Date]],19),IF(Main[[#This Row],[Class]]="B", WORKDAY(Main[[#This Row],[Tech Start Date]],12),IF(Main[[#This Row],[Class]]="A",WORKDAY(Main[[#This Row],[Tech Start Date]],4),""))))</f>
        <v/>
      </c>
      <c r="O510" s="77" t="str">
        <f>IF(Main[[#This Row],[Tech Start Date]]&lt;1/1/1990,"",IF(Main[[#This Row],[Class]]="C",WORKDAY(Main[[#This Row],[Tech Start Date]],23),IF(Main[[#This Row],[Class]]="B", WORKDAY(Main[[#This Row],[Tech Start Date]],15),IF(Main[[#This Row],[Class]]="A",WORKDAY(Main[[#This Row],[Tech Start Date]],5),""))))</f>
        <v/>
      </c>
      <c r="P510" s="77" t="str">
        <f>IF(Main[[#This Row],[Tech Start Date]]&lt;1/1/1990,"",IF(Main[[#This Row],[Class]]="C",WORKDAY(Main[[#This Row],[Tech Start Date]],28),IF(Main[[#This Row],[Class]]="B", WORKDAY(Main[[#This Row],[Tech Start Date]],19),IF(Main[[#This Row],[Class]]="A",WORKDAY(Main[[#This Row],[Tech Start Date]],9),""))))</f>
        <v/>
      </c>
      <c r="Q510" s="74">
        <v>40455</v>
      </c>
      <c r="R510" s="74"/>
      <c r="S510" s="72" t="s">
        <v>6</v>
      </c>
      <c r="T510" s="80" t="s">
        <v>4</v>
      </c>
      <c r="U510" s="72" t="s">
        <v>7</v>
      </c>
      <c r="V510" s="72" t="s">
        <v>1932</v>
      </c>
      <c r="W510" s="72" t="s">
        <v>1936</v>
      </c>
      <c r="X510" s="72" t="s">
        <v>2902</v>
      </c>
      <c r="Y510" s="72" t="s">
        <v>3016</v>
      </c>
      <c r="Z510" s="72" t="s">
        <v>129</v>
      </c>
      <c r="AA510" s="147" t="s">
        <v>2902</v>
      </c>
    </row>
    <row r="511" spans="1:27" ht="18.600000000000001" customHeight="1">
      <c r="A511" s="140" t="str">
        <f>IF(priority(Main[[#This Row],[Comments]])&lt;&gt;0, priority(Main[[#This Row],[Comments]]),"")</f>
        <v/>
      </c>
      <c r="B511" s="90" t="s">
        <v>1208</v>
      </c>
      <c r="C511" s="72" t="s">
        <v>4</v>
      </c>
      <c r="D511" s="73" t="s">
        <v>257</v>
      </c>
      <c r="E511" s="74">
        <v>40703.393472222226</v>
      </c>
      <c r="F511" s="74"/>
      <c r="G511" s="75" t="str">
        <f>IF(stdProdLT(Main[[#This Row],[Comments]])=0.1,"N/A",IF(stdProdLT(Main[[#This Row],[Comments]])=0,"",stdProdLT(Main[[#This Row],[Comments]])))</f>
        <v/>
      </c>
      <c r="H511" s="76" t="str">
        <f>IF(AND(Main[[#This Row],[In Stock Date]]&lt;&gt;"",Main[[#This Row],[Revised Due Date]]&lt;&gt;""),Main[[#This Row],[In Stock Date]]-Main[[#This Row],[Revised Due Date]],"")</f>
        <v/>
      </c>
      <c r="I511" s="72" t="s">
        <v>4</v>
      </c>
      <c r="J511" s="72" t="s">
        <v>4</v>
      </c>
      <c r="K511" s="72" t="s">
        <v>4</v>
      </c>
      <c r="L511" s="74"/>
      <c r="M511" s="77" t="str">
        <f>IF(Main[[#This Row],[Tech Start Date]]&lt;1/1/1990,"",IF(Main[[#This Row],[Class]]="C",WORKDAY(Main[[#This Row],[Tech Start Date]],9),IF(Main[[#This Row],[Class]]="B", WORKDAY(Main[[#This Row],[Tech Start Date]],6),IF(Main[[#This Row],[Class]]="A",WORKDAY(Main[[#This Row],[Tech Start Date]],2),""))))</f>
        <v/>
      </c>
      <c r="N511" s="77" t="str">
        <f>IF(Main[[#This Row],[Tech Start Date]]&lt;1/1/1990,"",IF(Main[[#This Row],[Class]]="C",WORKDAY(Main[[#This Row],[Tech Start Date]],19),IF(Main[[#This Row],[Class]]="B", WORKDAY(Main[[#This Row],[Tech Start Date]],12),IF(Main[[#This Row],[Class]]="A",WORKDAY(Main[[#This Row],[Tech Start Date]],4),""))))</f>
        <v/>
      </c>
      <c r="O511" s="77" t="str">
        <f>IF(Main[[#This Row],[Tech Start Date]]&lt;1/1/1990,"",IF(Main[[#This Row],[Class]]="C",WORKDAY(Main[[#This Row],[Tech Start Date]],23),IF(Main[[#This Row],[Class]]="B", WORKDAY(Main[[#This Row],[Tech Start Date]],15),IF(Main[[#This Row],[Class]]="A",WORKDAY(Main[[#This Row],[Tech Start Date]],5),""))))</f>
        <v/>
      </c>
      <c r="P511" s="77" t="str">
        <f>IF(Main[[#This Row],[Tech Start Date]]&lt;1/1/1990,"",IF(Main[[#This Row],[Class]]="C",WORKDAY(Main[[#This Row],[Tech Start Date]],28),IF(Main[[#This Row],[Class]]="B", WORKDAY(Main[[#This Row],[Tech Start Date]],19),IF(Main[[#This Row],[Class]]="A",WORKDAY(Main[[#This Row],[Tech Start Date]],9),""))))</f>
        <v/>
      </c>
      <c r="Q511" s="74">
        <v>40724</v>
      </c>
      <c r="R511" s="74"/>
      <c r="S511" s="72" t="s">
        <v>6</v>
      </c>
      <c r="T511" s="80" t="s">
        <v>4</v>
      </c>
      <c r="U511" s="72" t="s">
        <v>7</v>
      </c>
      <c r="V511" s="72" t="s">
        <v>1932</v>
      </c>
      <c r="W511" s="72" t="s">
        <v>1936</v>
      </c>
      <c r="X511" s="72" t="s">
        <v>2920</v>
      </c>
      <c r="Y511" s="72" t="s">
        <v>3052</v>
      </c>
      <c r="Z511" s="72" t="s">
        <v>4</v>
      </c>
      <c r="AA511" s="147" t="s">
        <v>2920</v>
      </c>
    </row>
    <row r="512" spans="1:27" ht="18.600000000000001" customHeight="1">
      <c r="A512" s="140" t="str">
        <f>IF(priority(Main[[#This Row],[Comments]])&lt;&gt;0, priority(Main[[#This Row],[Comments]]),"")</f>
        <v/>
      </c>
      <c r="B512" s="90" t="s">
        <v>1209</v>
      </c>
      <c r="C512" s="72" t="s">
        <v>33</v>
      </c>
      <c r="D512" s="73" t="s">
        <v>258</v>
      </c>
      <c r="E512" s="74"/>
      <c r="F512" s="74"/>
      <c r="G512" s="75" t="str">
        <f>IF(stdProdLT(Main[[#This Row],[Comments]])=0.1,"N/A",IF(stdProdLT(Main[[#This Row],[Comments]])=0,"",stdProdLT(Main[[#This Row],[Comments]])))</f>
        <v/>
      </c>
      <c r="H512" s="76" t="str">
        <f>IF(AND(Main[[#This Row],[In Stock Date]]&lt;&gt;"",Main[[#This Row],[Revised Due Date]]&lt;&gt;""),Main[[#This Row],[In Stock Date]]-Main[[#This Row],[Revised Due Date]],"")</f>
        <v/>
      </c>
      <c r="I512" s="72" t="s">
        <v>4</v>
      </c>
      <c r="J512" s="72" t="s">
        <v>28</v>
      </c>
      <c r="K512" s="72" t="s">
        <v>1945</v>
      </c>
      <c r="L512" s="74"/>
      <c r="M512" s="77" t="str">
        <f>IF(Main[[#This Row],[Tech Start Date]]&lt;1/1/1990,"",IF(Main[[#This Row],[Class]]="C",WORKDAY(Main[[#This Row],[Tech Start Date]],9),IF(Main[[#This Row],[Class]]="B", WORKDAY(Main[[#This Row],[Tech Start Date]],6),IF(Main[[#This Row],[Class]]="A",WORKDAY(Main[[#This Row],[Tech Start Date]],2),""))))</f>
        <v/>
      </c>
      <c r="N512" s="77" t="str">
        <f>IF(Main[[#This Row],[Tech Start Date]]&lt;1/1/1990,"",IF(Main[[#This Row],[Class]]="C",WORKDAY(Main[[#This Row],[Tech Start Date]],19),IF(Main[[#This Row],[Class]]="B", WORKDAY(Main[[#This Row],[Tech Start Date]],12),IF(Main[[#This Row],[Class]]="A",WORKDAY(Main[[#This Row],[Tech Start Date]],4),""))))</f>
        <v/>
      </c>
      <c r="O512" s="77" t="str">
        <f>IF(Main[[#This Row],[Tech Start Date]]&lt;1/1/1990,"",IF(Main[[#This Row],[Class]]="C",WORKDAY(Main[[#This Row],[Tech Start Date]],23),IF(Main[[#This Row],[Class]]="B", WORKDAY(Main[[#This Row],[Tech Start Date]],15),IF(Main[[#This Row],[Class]]="A",WORKDAY(Main[[#This Row],[Tech Start Date]],5),""))))</f>
        <v/>
      </c>
      <c r="P512" s="77" t="str">
        <f>IF(Main[[#This Row],[Tech Start Date]]&lt;1/1/1990,"",IF(Main[[#This Row],[Class]]="C",WORKDAY(Main[[#This Row],[Tech Start Date]],28),IF(Main[[#This Row],[Class]]="B", WORKDAY(Main[[#This Row],[Tech Start Date]],19),IF(Main[[#This Row],[Class]]="A",WORKDAY(Main[[#This Row],[Tech Start Date]],9),""))))</f>
        <v/>
      </c>
      <c r="Q512" s="74">
        <v>40364</v>
      </c>
      <c r="R512" s="74"/>
      <c r="S512" s="72" t="s">
        <v>17</v>
      </c>
      <c r="T512" s="80" t="s">
        <v>4</v>
      </c>
      <c r="U512" s="72" t="s">
        <v>14</v>
      </c>
      <c r="V512" s="72" t="s">
        <v>1933</v>
      </c>
      <c r="W512" s="72" t="s">
        <v>1937</v>
      </c>
      <c r="X512" s="72" t="s">
        <v>2959</v>
      </c>
      <c r="Y512" s="72" t="s">
        <v>3108</v>
      </c>
      <c r="Z512" s="72" t="s">
        <v>108</v>
      </c>
      <c r="AA512" s="147" t="s">
        <v>2959</v>
      </c>
    </row>
    <row r="513" spans="1:27" ht="18.600000000000001" customHeight="1">
      <c r="A513" s="140" t="str">
        <f>IF(priority(Main[[#This Row],[Comments]])&lt;&gt;0, priority(Main[[#This Row],[Comments]]),"")</f>
        <v/>
      </c>
      <c r="B513" s="90" t="s">
        <v>1210</v>
      </c>
      <c r="C513" s="72" t="s">
        <v>31</v>
      </c>
      <c r="D513" s="73" t="s">
        <v>259</v>
      </c>
      <c r="E513" s="74"/>
      <c r="F513" s="74"/>
      <c r="G513" s="75" t="str">
        <f>IF(stdProdLT(Main[[#This Row],[Comments]])=0.1,"N/A",IF(stdProdLT(Main[[#This Row],[Comments]])=0,"",stdProdLT(Main[[#This Row],[Comments]])))</f>
        <v/>
      </c>
      <c r="H513" s="76" t="str">
        <f>IF(AND(Main[[#This Row],[In Stock Date]]&lt;&gt;"",Main[[#This Row],[Revised Due Date]]&lt;&gt;""),Main[[#This Row],[In Stock Date]]-Main[[#This Row],[Revised Due Date]],"")</f>
        <v/>
      </c>
      <c r="I513" s="72" t="s">
        <v>4</v>
      </c>
      <c r="J513" s="72" t="s">
        <v>4</v>
      </c>
      <c r="K513" s="72" t="s">
        <v>4</v>
      </c>
      <c r="L513" s="74"/>
      <c r="M513" s="77" t="str">
        <f>IF(Main[[#This Row],[Tech Start Date]]&lt;1/1/1990,"",IF(Main[[#This Row],[Class]]="C",WORKDAY(Main[[#This Row],[Tech Start Date]],9),IF(Main[[#This Row],[Class]]="B", WORKDAY(Main[[#This Row],[Tech Start Date]],6),IF(Main[[#This Row],[Class]]="A",WORKDAY(Main[[#This Row],[Tech Start Date]],2),""))))</f>
        <v/>
      </c>
      <c r="N513" s="77" t="str">
        <f>IF(Main[[#This Row],[Tech Start Date]]&lt;1/1/1990,"",IF(Main[[#This Row],[Class]]="C",WORKDAY(Main[[#This Row],[Tech Start Date]],19),IF(Main[[#This Row],[Class]]="B", WORKDAY(Main[[#This Row],[Tech Start Date]],12),IF(Main[[#This Row],[Class]]="A",WORKDAY(Main[[#This Row],[Tech Start Date]],4),""))))</f>
        <v/>
      </c>
      <c r="O513" s="77" t="str">
        <f>IF(Main[[#This Row],[Tech Start Date]]&lt;1/1/1990,"",IF(Main[[#This Row],[Class]]="C",WORKDAY(Main[[#This Row],[Tech Start Date]],23),IF(Main[[#This Row],[Class]]="B", WORKDAY(Main[[#This Row],[Tech Start Date]],15),IF(Main[[#This Row],[Class]]="A",WORKDAY(Main[[#This Row],[Tech Start Date]],5),""))))</f>
        <v/>
      </c>
      <c r="P513" s="77" t="str">
        <f>IF(Main[[#This Row],[Tech Start Date]]&lt;1/1/1990,"",IF(Main[[#This Row],[Class]]="C",WORKDAY(Main[[#This Row],[Tech Start Date]],28),IF(Main[[#This Row],[Class]]="B", WORKDAY(Main[[#This Row],[Tech Start Date]],19),IF(Main[[#This Row],[Class]]="A",WORKDAY(Main[[#This Row],[Tech Start Date]],9),""))))</f>
        <v/>
      </c>
      <c r="Q513" s="74">
        <v>40318</v>
      </c>
      <c r="R513" s="74"/>
      <c r="S513" s="72" t="s">
        <v>11</v>
      </c>
      <c r="T513" s="80" t="s">
        <v>4</v>
      </c>
      <c r="U513" s="72" t="s">
        <v>14</v>
      </c>
      <c r="V513" s="72" t="s">
        <v>1935</v>
      </c>
      <c r="W513" s="72" t="s">
        <v>1934</v>
      </c>
      <c r="X513" s="72" t="s">
        <v>2914</v>
      </c>
      <c r="Y513" s="72" t="s">
        <v>4</v>
      </c>
      <c r="Z513" s="72" t="s">
        <v>4</v>
      </c>
      <c r="AA513" s="147" t="s">
        <v>2914</v>
      </c>
    </row>
    <row r="514" spans="1:27" ht="18.600000000000001" customHeight="1">
      <c r="A514" s="140" t="str">
        <f>IF(priority(Main[[#This Row],[Comments]])&lt;&gt;0, priority(Main[[#This Row],[Comments]]),"")</f>
        <v/>
      </c>
      <c r="B514" s="90" t="s">
        <v>1211</v>
      </c>
      <c r="C514" s="72" t="s">
        <v>4</v>
      </c>
      <c r="D514" s="73" t="s">
        <v>260</v>
      </c>
      <c r="E514" s="74"/>
      <c r="F514" s="74"/>
      <c r="G514" s="75" t="str">
        <f>IF(stdProdLT(Main[[#This Row],[Comments]])=0.1,"N/A",IF(stdProdLT(Main[[#This Row],[Comments]])=0,"",stdProdLT(Main[[#This Row],[Comments]])))</f>
        <v/>
      </c>
      <c r="H514" s="76" t="str">
        <f>IF(AND(Main[[#This Row],[In Stock Date]]&lt;&gt;"",Main[[#This Row],[Revised Due Date]]&lt;&gt;""),Main[[#This Row],[In Stock Date]]-Main[[#This Row],[Revised Due Date]],"")</f>
        <v/>
      </c>
      <c r="I514" s="72" t="s">
        <v>4</v>
      </c>
      <c r="J514" s="72" t="s">
        <v>4</v>
      </c>
      <c r="K514" s="72" t="s">
        <v>4</v>
      </c>
      <c r="L514" s="74"/>
      <c r="M514" s="77" t="str">
        <f>IF(Main[[#This Row],[Tech Start Date]]&lt;1/1/1990,"",IF(Main[[#This Row],[Class]]="C",WORKDAY(Main[[#This Row],[Tech Start Date]],9),IF(Main[[#This Row],[Class]]="B", WORKDAY(Main[[#This Row],[Tech Start Date]],6),IF(Main[[#This Row],[Class]]="A",WORKDAY(Main[[#This Row],[Tech Start Date]],2),""))))</f>
        <v/>
      </c>
      <c r="N514" s="77" t="str">
        <f>IF(Main[[#This Row],[Tech Start Date]]&lt;1/1/1990,"",IF(Main[[#This Row],[Class]]="C",WORKDAY(Main[[#This Row],[Tech Start Date]],19),IF(Main[[#This Row],[Class]]="B", WORKDAY(Main[[#This Row],[Tech Start Date]],12),IF(Main[[#This Row],[Class]]="A",WORKDAY(Main[[#This Row],[Tech Start Date]],4),""))))</f>
        <v/>
      </c>
      <c r="O514" s="77" t="str">
        <f>IF(Main[[#This Row],[Tech Start Date]]&lt;1/1/1990,"",IF(Main[[#This Row],[Class]]="C",WORKDAY(Main[[#This Row],[Tech Start Date]],23),IF(Main[[#This Row],[Class]]="B", WORKDAY(Main[[#This Row],[Tech Start Date]],15),IF(Main[[#This Row],[Class]]="A",WORKDAY(Main[[#This Row],[Tech Start Date]],5),""))))</f>
        <v/>
      </c>
      <c r="P514" s="77" t="str">
        <f>IF(Main[[#This Row],[Tech Start Date]]&lt;1/1/1990,"",IF(Main[[#This Row],[Class]]="C",WORKDAY(Main[[#This Row],[Tech Start Date]],28),IF(Main[[#This Row],[Class]]="B", WORKDAY(Main[[#This Row],[Tech Start Date]],19),IF(Main[[#This Row],[Class]]="A",WORKDAY(Main[[#This Row],[Tech Start Date]],9),""))))</f>
        <v/>
      </c>
      <c r="Q514" s="74">
        <v>40390</v>
      </c>
      <c r="R514" s="74"/>
      <c r="S514" s="72" t="s">
        <v>6</v>
      </c>
      <c r="T514" s="80" t="s">
        <v>4</v>
      </c>
      <c r="U514" s="72" t="s">
        <v>14</v>
      </c>
      <c r="V514" s="72" t="s">
        <v>1935</v>
      </c>
      <c r="W514" s="72" t="s">
        <v>4</v>
      </c>
      <c r="X514" s="72" t="s">
        <v>2903</v>
      </c>
      <c r="Y514" s="72" t="s">
        <v>3019</v>
      </c>
      <c r="Z514" s="72" t="s">
        <v>4</v>
      </c>
      <c r="AA514" s="147" t="s">
        <v>2903</v>
      </c>
    </row>
    <row r="515" spans="1:27" ht="18.600000000000001" customHeight="1">
      <c r="A515" s="140" t="str">
        <f>IF(priority(Main[[#This Row],[Comments]])&lt;&gt;0, priority(Main[[#This Row],[Comments]]),"")</f>
        <v/>
      </c>
      <c r="B515" s="90" t="s">
        <v>1212</v>
      </c>
      <c r="C515" s="72" t="s">
        <v>214</v>
      </c>
      <c r="D515" s="73" t="s">
        <v>261</v>
      </c>
      <c r="E515" s="74"/>
      <c r="F515" s="74">
        <v>40452</v>
      </c>
      <c r="G515" s="75" t="str">
        <f>IF(stdProdLT(Main[[#This Row],[Comments]])=0.1,"N/A",IF(stdProdLT(Main[[#This Row],[Comments]])=0,"",stdProdLT(Main[[#This Row],[Comments]])))</f>
        <v/>
      </c>
      <c r="H515" s="76" t="str">
        <f>IF(AND(Main[[#This Row],[In Stock Date]]&lt;&gt;"",Main[[#This Row],[Revised Due Date]]&lt;&gt;""),Main[[#This Row],[In Stock Date]]-Main[[#This Row],[Revised Due Date]],"")</f>
        <v/>
      </c>
      <c r="I515" s="72" t="s">
        <v>4</v>
      </c>
      <c r="J515" s="72" t="s">
        <v>4</v>
      </c>
      <c r="K515" s="72" t="s">
        <v>4</v>
      </c>
      <c r="L515" s="74"/>
      <c r="M515" s="77" t="str">
        <f>IF(Main[[#This Row],[Tech Start Date]]&lt;1/1/1990,"",IF(Main[[#This Row],[Class]]="C",WORKDAY(Main[[#This Row],[Tech Start Date]],9),IF(Main[[#This Row],[Class]]="B", WORKDAY(Main[[#This Row],[Tech Start Date]],6),IF(Main[[#This Row],[Class]]="A",WORKDAY(Main[[#This Row],[Tech Start Date]],2),""))))</f>
        <v/>
      </c>
      <c r="N515" s="77" t="str">
        <f>IF(Main[[#This Row],[Tech Start Date]]&lt;1/1/1990,"",IF(Main[[#This Row],[Class]]="C",WORKDAY(Main[[#This Row],[Tech Start Date]],19),IF(Main[[#This Row],[Class]]="B", WORKDAY(Main[[#This Row],[Tech Start Date]],12),IF(Main[[#This Row],[Class]]="A",WORKDAY(Main[[#This Row],[Tech Start Date]],4),""))))</f>
        <v/>
      </c>
      <c r="O515" s="77" t="str">
        <f>IF(Main[[#This Row],[Tech Start Date]]&lt;1/1/1990,"",IF(Main[[#This Row],[Class]]="C",WORKDAY(Main[[#This Row],[Tech Start Date]],23),IF(Main[[#This Row],[Class]]="B", WORKDAY(Main[[#This Row],[Tech Start Date]],15),IF(Main[[#This Row],[Class]]="A",WORKDAY(Main[[#This Row],[Tech Start Date]],5),""))))</f>
        <v/>
      </c>
      <c r="P515" s="77" t="str">
        <f>IF(Main[[#This Row],[Tech Start Date]]&lt;1/1/1990,"",IF(Main[[#This Row],[Class]]="C",WORKDAY(Main[[#This Row],[Tech Start Date]],28),IF(Main[[#This Row],[Class]]="B", WORKDAY(Main[[#This Row],[Tech Start Date]],19),IF(Main[[#This Row],[Class]]="A",WORKDAY(Main[[#This Row],[Tech Start Date]],9),""))))</f>
        <v/>
      </c>
      <c r="Q515" s="74">
        <v>40357</v>
      </c>
      <c r="R515" s="74"/>
      <c r="S515" s="72" t="s">
        <v>11</v>
      </c>
      <c r="T515" s="80" t="s">
        <v>4</v>
      </c>
      <c r="U515" s="72" t="s">
        <v>12</v>
      </c>
      <c r="V515" s="72" t="s">
        <v>1932</v>
      </c>
      <c r="W515" s="72" t="s">
        <v>1940</v>
      </c>
      <c r="X515" s="72" t="s">
        <v>2917</v>
      </c>
      <c r="Y515" s="72" t="s">
        <v>4</v>
      </c>
      <c r="Z515" s="72" t="s">
        <v>4</v>
      </c>
      <c r="AA515" s="147" t="s">
        <v>2917</v>
      </c>
    </row>
    <row r="516" spans="1:27" ht="18.600000000000001" customHeight="1">
      <c r="A516" s="140" t="str">
        <f>IF(priority(Main[[#This Row],[Comments]])&lt;&gt;0, priority(Main[[#This Row],[Comments]]),"")</f>
        <v/>
      </c>
      <c r="B516" s="90" t="s">
        <v>1213</v>
      </c>
      <c r="C516" s="72" t="s">
        <v>214</v>
      </c>
      <c r="D516" s="73" t="s">
        <v>262</v>
      </c>
      <c r="E516" s="74"/>
      <c r="F516" s="74">
        <v>40452</v>
      </c>
      <c r="G516" s="75" t="str">
        <f>IF(stdProdLT(Main[[#This Row],[Comments]])=0.1,"N/A",IF(stdProdLT(Main[[#This Row],[Comments]])=0,"",stdProdLT(Main[[#This Row],[Comments]])))</f>
        <v/>
      </c>
      <c r="H516" s="76" t="str">
        <f>IF(AND(Main[[#This Row],[In Stock Date]]&lt;&gt;"",Main[[#This Row],[Revised Due Date]]&lt;&gt;""),Main[[#This Row],[In Stock Date]]-Main[[#This Row],[Revised Due Date]],"")</f>
        <v/>
      </c>
      <c r="I516" s="72" t="s">
        <v>4</v>
      </c>
      <c r="J516" s="72" t="s">
        <v>4</v>
      </c>
      <c r="K516" s="81" t="s">
        <v>4</v>
      </c>
      <c r="L516" s="74"/>
      <c r="M516" s="77" t="str">
        <f>IF(Main[[#This Row],[Tech Start Date]]&lt;1/1/1990,"",IF(Main[[#This Row],[Class]]="C",WORKDAY(Main[[#This Row],[Tech Start Date]],9),IF(Main[[#This Row],[Class]]="B", WORKDAY(Main[[#This Row],[Tech Start Date]],6),IF(Main[[#This Row],[Class]]="A",WORKDAY(Main[[#This Row],[Tech Start Date]],2),""))))</f>
        <v/>
      </c>
      <c r="N516" s="77" t="str">
        <f>IF(Main[[#This Row],[Tech Start Date]]&lt;1/1/1990,"",IF(Main[[#This Row],[Class]]="C",WORKDAY(Main[[#This Row],[Tech Start Date]],19),IF(Main[[#This Row],[Class]]="B", WORKDAY(Main[[#This Row],[Tech Start Date]],12),IF(Main[[#This Row],[Class]]="A",WORKDAY(Main[[#This Row],[Tech Start Date]],4),""))))</f>
        <v/>
      </c>
      <c r="O516" s="77" t="str">
        <f>IF(Main[[#This Row],[Tech Start Date]]&lt;1/1/1990,"",IF(Main[[#This Row],[Class]]="C",WORKDAY(Main[[#This Row],[Tech Start Date]],23),IF(Main[[#This Row],[Class]]="B", WORKDAY(Main[[#This Row],[Tech Start Date]],15),IF(Main[[#This Row],[Class]]="A",WORKDAY(Main[[#This Row],[Tech Start Date]],5),""))))</f>
        <v/>
      </c>
      <c r="P516" s="77" t="str">
        <f>IF(Main[[#This Row],[Tech Start Date]]&lt;1/1/1990,"",IF(Main[[#This Row],[Class]]="C",WORKDAY(Main[[#This Row],[Tech Start Date]],28),IF(Main[[#This Row],[Class]]="B", WORKDAY(Main[[#This Row],[Tech Start Date]],19),IF(Main[[#This Row],[Class]]="A",WORKDAY(Main[[#This Row],[Tech Start Date]],9),""))))</f>
        <v/>
      </c>
      <c r="Q516" s="74">
        <v>40357</v>
      </c>
      <c r="R516" s="74"/>
      <c r="S516" s="72" t="s">
        <v>11</v>
      </c>
      <c r="T516" s="80" t="s">
        <v>4</v>
      </c>
      <c r="U516" s="72" t="s">
        <v>12</v>
      </c>
      <c r="V516" s="72" t="s">
        <v>1932</v>
      </c>
      <c r="W516" s="72" t="s">
        <v>1940</v>
      </c>
      <c r="X516" s="72" t="s">
        <v>2917</v>
      </c>
      <c r="Y516" s="72" t="s">
        <v>4</v>
      </c>
      <c r="Z516" s="72" t="s">
        <v>4</v>
      </c>
      <c r="AA516" s="147" t="s">
        <v>2917</v>
      </c>
    </row>
    <row r="517" spans="1:27" ht="18.600000000000001" customHeight="1">
      <c r="A517" s="140" t="str">
        <f>IF(priority(Main[[#This Row],[Comments]])&lt;&gt;0, priority(Main[[#This Row],[Comments]]),"")</f>
        <v/>
      </c>
      <c r="B517" s="90" t="s">
        <v>1634</v>
      </c>
      <c r="C517" s="72" t="s">
        <v>701</v>
      </c>
      <c r="D517" s="73" t="s">
        <v>702</v>
      </c>
      <c r="E517" s="74"/>
      <c r="F517" s="74"/>
      <c r="G517" s="75" t="str">
        <f>IF(stdProdLT(Main[[#This Row],[Comments]])=0.1,"N/A",IF(stdProdLT(Main[[#This Row],[Comments]])=0,"",stdProdLT(Main[[#This Row],[Comments]])))</f>
        <v/>
      </c>
      <c r="H517" s="76" t="str">
        <f>IF(AND(Main[[#This Row],[In Stock Date]]&lt;&gt;"",Main[[#This Row],[Revised Due Date]]&lt;&gt;""),Main[[#This Row],[In Stock Date]]-Main[[#This Row],[Revised Due Date]],"")</f>
        <v/>
      </c>
      <c r="I517" s="72" t="s">
        <v>4</v>
      </c>
      <c r="J517" s="72" t="s">
        <v>4</v>
      </c>
      <c r="K517" s="72" t="s">
        <v>4</v>
      </c>
      <c r="L517" s="74"/>
      <c r="M517" s="77" t="str">
        <f>IF(Main[[#This Row],[Tech Start Date]]&lt;1/1/1990,"",IF(Main[[#This Row],[Class]]="C",WORKDAY(Main[[#This Row],[Tech Start Date]],9),IF(Main[[#This Row],[Class]]="B", WORKDAY(Main[[#This Row],[Tech Start Date]],6),IF(Main[[#This Row],[Class]]="A",WORKDAY(Main[[#This Row],[Tech Start Date]],2),""))))</f>
        <v/>
      </c>
      <c r="N517" s="77" t="str">
        <f>IF(Main[[#This Row],[Tech Start Date]]&lt;1/1/1990,"",IF(Main[[#This Row],[Class]]="C",WORKDAY(Main[[#This Row],[Tech Start Date]],19),IF(Main[[#This Row],[Class]]="B", WORKDAY(Main[[#This Row],[Tech Start Date]],12),IF(Main[[#This Row],[Class]]="A",WORKDAY(Main[[#This Row],[Tech Start Date]],4),""))))</f>
        <v/>
      </c>
      <c r="O517" s="77" t="str">
        <f>IF(Main[[#This Row],[Tech Start Date]]&lt;1/1/1990,"",IF(Main[[#This Row],[Class]]="C",WORKDAY(Main[[#This Row],[Tech Start Date]],23),IF(Main[[#This Row],[Class]]="B", WORKDAY(Main[[#This Row],[Tech Start Date]],15),IF(Main[[#This Row],[Class]]="A",WORKDAY(Main[[#This Row],[Tech Start Date]],5),""))))</f>
        <v/>
      </c>
      <c r="P517" s="77" t="str">
        <f>IF(Main[[#This Row],[Tech Start Date]]&lt;1/1/1990,"",IF(Main[[#This Row],[Class]]="C",WORKDAY(Main[[#This Row],[Tech Start Date]],28),IF(Main[[#This Row],[Class]]="B", WORKDAY(Main[[#This Row],[Tech Start Date]],19),IF(Main[[#This Row],[Class]]="A",WORKDAY(Main[[#This Row],[Tech Start Date]],9),""))))</f>
        <v/>
      </c>
      <c r="Q517" s="74">
        <v>40672</v>
      </c>
      <c r="R517" s="74"/>
      <c r="S517" s="72" t="s">
        <v>11</v>
      </c>
      <c r="T517" s="80" t="s">
        <v>4</v>
      </c>
      <c r="U517" s="72" t="s">
        <v>14</v>
      </c>
      <c r="V517" s="72" t="s">
        <v>1932</v>
      </c>
      <c r="W517" s="72" t="s">
        <v>1934</v>
      </c>
      <c r="X517" s="72" t="s">
        <v>2967</v>
      </c>
      <c r="Y517" s="72" t="s">
        <v>4</v>
      </c>
      <c r="Z517" s="72" t="s">
        <v>4</v>
      </c>
      <c r="AA517" s="147" t="s">
        <v>2967</v>
      </c>
    </row>
    <row r="518" spans="1:27" ht="18.600000000000001" customHeight="1">
      <c r="A518" s="140" t="str">
        <f>IF(priority(Main[[#This Row],[Comments]])&lt;&gt;0, priority(Main[[#This Row],[Comments]]),"")</f>
        <v/>
      </c>
      <c r="B518" s="90" t="s">
        <v>1216</v>
      </c>
      <c r="C518" s="72" t="s">
        <v>171</v>
      </c>
      <c r="D518" s="73" t="s">
        <v>264</v>
      </c>
      <c r="E518" s="74"/>
      <c r="F518" s="74">
        <v>40237</v>
      </c>
      <c r="G518" s="75" t="str">
        <f>IF(stdProdLT(Main[[#This Row],[Comments]])=0.1,"N/A",IF(stdProdLT(Main[[#This Row],[Comments]])=0,"",stdProdLT(Main[[#This Row],[Comments]])))</f>
        <v/>
      </c>
      <c r="H518" s="76" t="str">
        <f>IF(AND(Main[[#This Row],[In Stock Date]]&lt;&gt;"",Main[[#This Row],[Revised Due Date]]&lt;&gt;""),Main[[#This Row],[In Stock Date]]-Main[[#This Row],[Revised Due Date]],"")</f>
        <v/>
      </c>
      <c r="I518" s="72" t="s">
        <v>4</v>
      </c>
      <c r="J518" s="72" t="s">
        <v>4</v>
      </c>
      <c r="K518" s="72" t="s">
        <v>4</v>
      </c>
      <c r="L518" s="74"/>
      <c r="M518" s="77" t="str">
        <f>IF(Main[[#This Row],[Tech Start Date]]&lt;1/1/1990,"",IF(Main[[#This Row],[Class]]="C",WORKDAY(Main[[#This Row],[Tech Start Date]],9),IF(Main[[#This Row],[Class]]="B", WORKDAY(Main[[#This Row],[Tech Start Date]],6),IF(Main[[#This Row],[Class]]="A",WORKDAY(Main[[#This Row],[Tech Start Date]],2),""))))</f>
        <v/>
      </c>
      <c r="N518" s="77" t="str">
        <f>IF(Main[[#This Row],[Tech Start Date]]&lt;1/1/1990,"",IF(Main[[#This Row],[Class]]="C",WORKDAY(Main[[#This Row],[Tech Start Date]],19),IF(Main[[#This Row],[Class]]="B", WORKDAY(Main[[#This Row],[Tech Start Date]],12),IF(Main[[#This Row],[Class]]="A",WORKDAY(Main[[#This Row],[Tech Start Date]],4),""))))</f>
        <v/>
      </c>
      <c r="O518" s="77" t="str">
        <f>IF(Main[[#This Row],[Tech Start Date]]&lt;1/1/1990,"",IF(Main[[#This Row],[Class]]="C",WORKDAY(Main[[#This Row],[Tech Start Date]],23),IF(Main[[#This Row],[Class]]="B", WORKDAY(Main[[#This Row],[Tech Start Date]],15),IF(Main[[#This Row],[Class]]="A",WORKDAY(Main[[#This Row],[Tech Start Date]],5),""))))</f>
        <v/>
      </c>
      <c r="P518" s="77" t="str">
        <f>IF(Main[[#This Row],[Tech Start Date]]&lt;1/1/1990,"",IF(Main[[#This Row],[Class]]="C",WORKDAY(Main[[#This Row],[Tech Start Date]],28),IF(Main[[#This Row],[Class]]="B", WORKDAY(Main[[#This Row],[Tech Start Date]],19),IF(Main[[#This Row],[Class]]="A",WORKDAY(Main[[#This Row],[Tech Start Date]],9),""))))</f>
        <v/>
      </c>
      <c r="Q518" s="74">
        <v>40132</v>
      </c>
      <c r="R518" s="74"/>
      <c r="S518" s="72" t="s">
        <v>11</v>
      </c>
      <c r="T518" s="80" t="s">
        <v>4</v>
      </c>
      <c r="U518" s="72" t="s">
        <v>14</v>
      </c>
      <c r="V518" s="72" t="s">
        <v>1933</v>
      </c>
      <c r="W518" s="72" t="s">
        <v>1937</v>
      </c>
      <c r="X518" s="72" t="s">
        <v>2942</v>
      </c>
      <c r="Y518" s="72" t="s">
        <v>4</v>
      </c>
      <c r="Z518" s="72" t="s">
        <v>4</v>
      </c>
      <c r="AA518" s="147" t="s">
        <v>2942</v>
      </c>
    </row>
    <row r="519" spans="1:27" ht="18.600000000000001" customHeight="1">
      <c r="A519" s="140" t="str">
        <f>IF(priority(Main[[#This Row],[Comments]])&lt;&gt;0, priority(Main[[#This Row],[Comments]]),"")</f>
        <v/>
      </c>
      <c r="B519" s="90" t="s">
        <v>1239</v>
      </c>
      <c r="C519" s="72" t="s">
        <v>33</v>
      </c>
      <c r="D519" s="73" t="s">
        <v>292</v>
      </c>
      <c r="E519" s="74"/>
      <c r="F519" s="74"/>
      <c r="G519" s="75" t="str">
        <f>IF(stdProdLT(Main[[#This Row],[Comments]])=0.1,"N/A",IF(stdProdLT(Main[[#This Row],[Comments]])=0,"",stdProdLT(Main[[#This Row],[Comments]])))</f>
        <v/>
      </c>
      <c r="H519" s="76" t="str">
        <f>IF(AND(Main[[#This Row],[In Stock Date]]&lt;&gt;"",Main[[#This Row],[Revised Due Date]]&lt;&gt;""),Main[[#This Row],[In Stock Date]]-Main[[#This Row],[Revised Due Date]],"")</f>
        <v/>
      </c>
      <c r="I519" s="72" t="s">
        <v>4</v>
      </c>
      <c r="J519" s="72" t="s">
        <v>4</v>
      </c>
      <c r="K519" s="72" t="s">
        <v>4</v>
      </c>
      <c r="L519" s="74"/>
      <c r="M519" s="77" t="str">
        <f>IF(Main[[#This Row],[Tech Start Date]]&lt;1/1/1990,"",IF(Main[[#This Row],[Class]]="C",WORKDAY(Main[[#This Row],[Tech Start Date]],9),IF(Main[[#This Row],[Class]]="B", WORKDAY(Main[[#This Row],[Tech Start Date]],6),IF(Main[[#This Row],[Class]]="A",WORKDAY(Main[[#This Row],[Tech Start Date]],2),""))))</f>
        <v/>
      </c>
      <c r="N519" s="77" t="str">
        <f>IF(Main[[#This Row],[Tech Start Date]]&lt;1/1/1990,"",IF(Main[[#This Row],[Class]]="C",WORKDAY(Main[[#This Row],[Tech Start Date]],19),IF(Main[[#This Row],[Class]]="B", WORKDAY(Main[[#This Row],[Tech Start Date]],12),IF(Main[[#This Row],[Class]]="A",WORKDAY(Main[[#This Row],[Tech Start Date]],4),""))))</f>
        <v/>
      </c>
      <c r="O519" s="77" t="str">
        <f>IF(Main[[#This Row],[Tech Start Date]]&lt;1/1/1990,"",IF(Main[[#This Row],[Class]]="C",WORKDAY(Main[[#This Row],[Tech Start Date]],23),IF(Main[[#This Row],[Class]]="B", WORKDAY(Main[[#This Row],[Tech Start Date]],15),IF(Main[[#This Row],[Class]]="A",WORKDAY(Main[[#This Row],[Tech Start Date]],5),""))))</f>
        <v/>
      </c>
      <c r="P519" s="77" t="str">
        <f>IF(Main[[#This Row],[Tech Start Date]]&lt;1/1/1990,"",IF(Main[[#This Row],[Class]]="C",WORKDAY(Main[[#This Row],[Tech Start Date]],28),IF(Main[[#This Row],[Class]]="B", WORKDAY(Main[[#This Row],[Tech Start Date]],19),IF(Main[[#This Row],[Class]]="A",WORKDAY(Main[[#This Row],[Tech Start Date]],9),""))))</f>
        <v/>
      </c>
      <c r="Q519" s="74"/>
      <c r="R519" s="74"/>
      <c r="S519" s="72" t="s">
        <v>11</v>
      </c>
      <c r="T519" s="80" t="s">
        <v>4</v>
      </c>
      <c r="U519" s="72" t="s">
        <v>14</v>
      </c>
      <c r="V519" s="72" t="s">
        <v>1933</v>
      </c>
      <c r="W519" s="72" t="s">
        <v>1940</v>
      </c>
      <c r="X519" s="72" t="s">
        <v>2911</v>
      </c>
      <c r="Y519" s="72" t="s">
        <v>3035</v>
      </c>
      <c r="Z519" s="72" t="s">
        <v>4</v>
      </c>
      <c r="AA519" s="147" t="s">
        <v>2911</v>
      </c>
    </row>
    <row r="520" spans="1:27" ht="18.600000000000001" customHeight="1">
      <c r="A520" s="140" t="str">
        <f>IF(priority(Main[[#This Row],[Comments]])&lt;&gt;0, priority(Main[[#This Row],[Comments]]),"")</f>
        <v/>
      </c>
      <c r="B520" s="90" t="s">
        <v>2768</v>
      </c>
      <c r="C520" s="72" t="s">
        <v>4</v>
      </c>
      <c r="D520" s="73" t="s">
        <v>2769</v>
      </c>
      <c r="E520" s="74">
        <v>40917.685127314813</v>
      </c>
      <c r="F520" s="74"/>
      <c r="G520" s="75" t="str">
        <f>IF(stdProdLT(Main[[#This Row],[Comments]])=0.1,"N/A",IF(stdProdLT(Main[[#This Row],[Comments]])=0,"",stdProdLT(Main[[#This Row],[Comments]])))</f>
        <v/>
      </c>
      <c r="H520" s="76" t="str">
        <f>IF(AND(Main[[#This Row],[In Stock Date]]&lt;&gt;"",Main[[#This Row],[Revised Due Date]]&lt;&gt;""),Main[[#This Row],[In Stock Date]]-Main[[#This Row],[Revised Due Date]],"")</f>
        <v/>
      </c>
      <c r="I520" s="72" t="s">
        <v>4</v>
      </c>
      <c r="J520" s="72" t="s">
        <v>4</v>
      </c>
      <c r="K520" s="72" t="s">
        <v>4</v>
      </c>
      <c r="L520" s="74"/>
      <c r="M520" s="77" t="str">
        <f>IF(Main[[#This Row],[Tech Start Date]]&lt;1/1/1990,"",IF(Main[[#This Row],[Class]]="C",WORKDAY(Main[[#This Row],[Tech Start Date]],9),IF(Main[[#This Row],[Class]]="B", WORKDAY(Main[[#This Row],[Tech Start Date]],6),IF(Main[[#This Row],[Class]]="A",WORKDAY(Main[[#This Row],[Tech Start Date]],2),""))))</f>
        <v/>
      </c>
      <c r="N520" s="77" t="str">
        <f>IF(Main[[#This Row],[Tech Start Date]]&lt;1/1/1990,"",IF(Main[[#This Row],[Class]]="C",WORKDAY(Main[[#This Row],[Tech Start Date]],19),IF(Main[[#This Row],[Class]]="B", WORKDAY(Main[[#This Row],[Tech Start Date]],12),IF(Main[[#This Row],[Class]]="A",WORKDAY(Main[[#This Row],[Tech Start Date]],4),""))))</f>
        <v/>
      </c>
      <c r="O520" s="77" t="str">
        <f>IF(Main[[#This Row],[Tech Start Date]]&lt;1/1/1990,"",IF(Main[[#This Row],[Class]]="C",WORKDAY(Main[[#This Row],[Tech Start Date]],23),IF(Main[[#This Row],[Class]]="B", WORKDAY(Main[[#This Row],[Tech Start Date]],15),IF(Main[[#This Row],[Class]]="A",WORKDAY(Main[[#This Row],[Tech Start Date]],5),""))))</f>
        <v/>
      </c>
      <c r="P520" s="77" t="str">
        <f>IF(Main[[#This Row],[Tech Start Date]]&lt;1/1/1990,"",IF(Main[[#This Row],[Class]]="C",WORKDAY(Main[[#This Row],[Tech Start Date]],28),IF(Main[[#This Row],[Class]]="B", WORKDAY(Main[[#This Row],[Tech Start Date]],19),IF(Main[[#This Row],[Class]]="A",WORKDAY(Main[[#This Row],[Tech Start Date]],9),""))))</f>
        <v/>
      </c>
      <c r="Q520" s="74"/>
      <c r="R520" s="74"/>
      <c r="S520" s="72" t="s">
        <v>6</v>
      </c>
      <c r="T520" s="80" t="s">
        <v>4</v>
      </c>
      <c r="U520" s="72" t="s">
        <v>7</v>
      </c>
      <c r="V520" s="72" t="s">
        <v>1935</v>
      </c>
      <c r="W520" s="72" t="s">
        <v>4</v>
      </c>
      <c r="X520" s="72" t="s">
        <v>2949</v>
      </c>
      <c r="Y520" s="72" t="s">
        <v>3097</v>
      </c>
      <c r="Z520" s="72" t="s">
        <v>4</v>
      </c>
      <c r="AA520" s="147" t="s">
        <v>2949</v>
      </c>
    </row>
    <row r="521" spans="1:27" ht="18.600000000000001" customHeight="1">
      <c r="A521" s="140" t="str">
        <f>IF(priority(Main[[#This Row],[Comments]])&lt;&gt;0, priority(Main[[#This Row],[Comments]]),"")</f>
        <v/>
      </c>
      <c r="B521" s="90" t="s">
        <v>1337</v>
      </c>
      <c r="C521" s="72" t="s">
        <v>4</v>
      </c>
      <c r="D521" s="73" t="s">
        <v>410</v>
      </c>
      <c r="E521" s="74"/>
      <c r="F521" s="74"/>
      <c r="G521" s="75" t="str">
        <f>IF(stdProdLT(Main[[#This Row],[Comments]])=0.1,"N/A",IF(stdProdLT(Main[[#This Row],[Comments]])=0,"",stdProdLT(Main[[#This Row],[Comments]])))</f>
        <v/>
      </c>
      <c r="H521" s="76" t="str">
        <f>IF(AND(Main[[#This Row],[In Stock Date]]&lt;&gt;"",Main[[#This Row],[Revised Due Date]]&lt;&gt;""),Main[[#This Row],[In Stock Date]]-Main[[#This Row],[Revised Due Date]],"")</f>
        <v/>
      </c>
      <c r="I521" s="72" t="s">
        <v>4</v>
      </c>
      <c r="J521" s="72" t="s">
        <v>4</v>
      </c>
      <c r="K521" s="72" t="s">
        <v>4</v>
      </c>
      <c r="L521" s="74"/>
      <c r="M521" s="77" t="str">
        <f>IF(Main[[#This Row],[Tech Start Date]]&lt;1/1/1990,"",IF(Main[[#This Row],[Class]]="C",WORKDAY(Main[[#This Row],[Tech Start Date]],9),IF(Main[[#This Row],[Class]]="B", WORKDAY(Main[[#This Row],[Tech Start Date]],6),IF(Main[[#This Row],[Class]]="A",WORKDAY(Main[[#This Row],[Tech Start Date]],2),""))))</f>
        <v/>
      </c>
      <c r="N521" s="77" t="str">
        <f>IF(Main[[#This Row],[Tech Start Date]]&lt;1/1/1990,"",IF(Main[[#This Row],[Class]]="C",WORKDAY(Main[[#This Row],[Tech Start Date]],19),IF(Main[[#This Row],[Class]]="B", WORKDAY(Main[[#This Row],[Tech Start Date]],12),IF(Main[[#This Row],[Class]]="A",WORKDAY(Main[[#This Row],[Tech Start Date]],4),""))))</f>
        <v/>
      </c>
      <c r="O521" s="77" t="str">
        <f>IF(Main[[#This Row],[Tech Start Date]]&lt;1/1/1990,"",IF(Main[[#This Row],[Class]]="C",WORKDAY(Main[[#This Row],[Tech Start Date]],23),IF(Main[[#This Row],[Class]]="B", WORKDAY(Main[[#This Row],[Tech Start Date]],15),IF(Main[[#This Row],[Class]]="A",WORKDAY(Main[[#This Row],[Tech Start Date]],5),""))))</f>
        <v/>
      </c>
      <c r="P521" s="77" t="str">
        <f>IF(Main[[#This Row],[Tech Start Date]]&lt;1/1/1990,"",IF(Main[[#This Row],[Class]]="C",WORKDAY(Main[[#This Row],[Tech Start Date]],28),IF(Main[[#This Row],[Class]]="B", WORKDAY(Main[[#This Row],[Tech Start Date]],19),IF(Main[[#This Row],[Class]]="A",WORKDAY(Main[[#This Row],[Tech Start Date]],9),""))))</f>
        <v/>
      </c>
      <c r="Q521" s="74">
        <v>40390</v>
      </c>
      <c r="R521" s="74"/>
      <c r="S521" s="72" t="s">
        <v>6</v>
      </c>
      <c r="T521" s="80" t="s">
        <v>4</v>
      </c>
      <c r="U521" s="72" t="s">
        <v>14</v>
      </c>
      <c r="V521" s="72" t="s">
        <v>1935</v>
      </c>
      <c r="W521" s="72" t="s">
        <v>4</v>
      </c>
      <c r="X521" s="72" t="s">
        <v>2903</v>
      </c>
      <c r="Y521" s="72" t="s">
        <v>3019</v>
      </c>
      <c r="Z521" s="72" t="s">
        <v>4</v>
      </c>
      <c r="AA521" s="147" t="s">
        <v>2903</v>
      </c>
    </row>
    <row r="522" spans="1:27" ht="18.600000000000001" customHeight="1">
      <c r="A522" s="140" t="str">
        <f>IF(priority(Main[[#This Row],[Comments]])&lt;&gt;0, priority(Main[[#This Row],[Comments]]),"")</f>
        <v/>
      </c>
      <c r="B522" s="90" t="s">
        <v>1338</v>
      </c>
      <c r="C522" s="72" t="s">
        <v>171</v>
      </c>
      <c r="D522" s="73" t="s">
        <v>411</v>
      </c>
      <c r="E522" s="74"/>
      <c r="F522" s="74">
        <v>40237</v>
      </c>
      <c r="G522" s="75" t="str">
        <f>IF(stdProdLT(Main[[#This Row],[Comments]])=0.1,"N/A",IF(stdProdLT(Main[[#This Row],[Comments]])=0,"",stdProdLT(Main[[#This Row],[Comments]])))</f>
        <v/>
      </c>
      <c r="H522" s="76" t="str">
        <f>IF(AND(Main[[#This Row],[In Stock Date]]&lt;&gt;"",Main[[#This Row],[Revised Due Date]]&lt;&gt;""),Main[[#This Row],[In Stock Date]]-Main[[#This Row],[Revised Due Date]],"")</f>
        <v/>
      </c>
      <c r="I522" s="72" t="s">
        <v>4</v>
      </c>
      <c r="J522" s="72" t="s">
        <v>4</v>
      </c>
      <c r="K522" s="72" t="s">
        <v>4</v>
      </c>
      <c r="L522" s="74"/>
      <c r="M522" s="77" t="str">
        <f>IF(Main[[#This Row],[Tech Start Date]]&lt;1/1/1990,"",IF(Main[[#This Row],[Class]]="C",WORKDAY(Main[[#This Row],[Tech Start Date]],9),IF(Main[[#This Row],[Class]]="B", WORKDAY(Main[[#This Row],[Tech Start Date]],6),IF(Main[[#This Row],[Class]]="A",WORKDAY(Main[[#This Row],[Tech Start Date]],2),""))))</f>
        <v/>
      </c>
      <c r="N522" s="77" t="str">
        <f>IF(Main[[#This Row],[Tech Start Date]]&lt;1/1/1990,"",IF(Main[[#This Row],[Class]]="C",WORKDAY(Main[[#This Row],[Tech Start Date]],19),IF(Main[[#This Row],[Class]]="B", WORKDAY(Main[[#This Row],[Tech Start Date]],12),IF(Main[[#This Row],[Class]]="A",WORKDAY(Main[[#This Row],[Tech Start Date]],4),""))))</f>
        <v/>
      </c>
      <c r="O522" s="77" t="str">
        <f>IF(Main[[#This Row],[Tech Start Date]]&lt;1/1/1990,"",IF(Main[[#This Row],[Class]]="C",WORKDAY(Main[[#This Row],[Tech Start Date]],23),IF(Main[[#This Row],[Class]]="B", WORKDAY(Main[[#This Row],[Tech Start Date]],15),IF(Main[[#This Row],[Class]]="A",WORKDAY(Main[[#This Row],[Tech Start Date]],5),""))))</f>
        <v/>
      </c>
      <c r="P522" s="77" t="str">
        <f>IF(Main[[#This Row],[Tech Start Date]]&lt;1/1/1990,"",IF(Main[[#This Row],[Class]]="C",WORKDAY(Main[[#This Row],[Tech Start Date]],28),IF(Main[[#This Row],[Class]]="B", WORKDAY(Main[[#This Row],[Tech Start Date]],19),IF(Main[[#This Row],[Class]]="A",WORKDAY(Main[[#This Row],[Tech Start Date]],9),""))))</f>
        <v/>
      </c>
      <c r="Q522" s="74">
        <v>40132</v>
      </c>
      <c r="R522" s="74"/>
      <c r="S522" s="72" t="s">
        <v>11</v>
      </c>
      <c r="T522" s="80" t="s">
        <v>4</v>
      </c>
      <c r="U522" s="72" t="s">
        <v>14</v>
      </c>
      <c r="V522" s="72" t="s">
        <v>1932</v>
      </c>
      <c r="W522" s="72" t="s">
        <v>1937</v>
      </c>
      <c r="X522" s="72" t="s">
        <v>2942</v>
      </c>
      <c r="Y522" s="72" t="s">
        <v>4</v>
      </c>
      <c r="Z522" s="72" t="s">
        <v>4</v>
      </c>
      <c r="AA522" s="147" t="s">
        <v>2942</v>
      </c>
    </row>
    <row r="523" spans="1:27" ht="18.600000000000001" customHeight="1">
      <c r="A523" s="140" t="str">
        <f>IF(priority(Main[[#This Row],[Comments]])&lt;&gt;0, priority(Main[[#This Row],[Comments]]),"")</f>
        <v/>
      </c>
      <c r="B523" s="90" t="s">
        <v>1339</v>
      </c>
      <c r="C523" s="72" t="s">
        <v>171</v>
      </c>
      <c r="D523" s="73" t="s">
        <v>412</v>
      </c>
      <c r="E523" s="74"/>
      <c r="F523" s="74">
        <v>40237</v>
      </c>
      <c r="G523" s="75" t="str">
        <f>IF(stdProdLT(Main[[#This Row],[Comments]])=0.1,"N/A",IF(stdProdLT(Main[[#This Row],[Comments]])=0,"",stdProdLT(Main[[#This Row],[Comments]])))</f>
        <v/>
      </c>
      <c r="H523" s="76" t="str">
        <f>IF(AND(Main[[#This Row],[In Stock Date]]&lt;&gt;"",Main[[#This Row],[Revised Due Date]]&lt;&gt;""),Main[[#This Row],[In Stock Date]]-Main[[#This Row],[Revised Due Date]],"")</f>
        <v/>
      </c>
      <c r="I523" s="72" t="s">
        <v>4</v>
      </c>
      <c r="J523" s="72" t="s">
        <v>4</v>
      </c>
      <c r="K523" s="81" t="s">
        <v>4</v>
      </c>
      <c r="L523" s="74"/>
      <c r="M523" s="77" t="str">
        <f>IF(Main[[#This Row],[Tech Start Date]]&lt;1/1/1990,"",IF(Main[[#This Row],[Class]]="C",WORKDAY(Main[[#This Row],[Tech Start Date]],9),IF(Main[[#This Row],[Class]]="B", WORKDAY(Main[[#This Row],[Tech Start Date]],6),IF(Main[[#This Row],[Class]]="A",WORKDAY(Main[[#This Row],[Tech Start Date]],2),""))))</f>
        <v/>
      </c>
      <c r="N523" s="77" t="str">
        <f>IF(Main[[#This Row],[Tech Start Date]]&lt;1/1/1990,"",IF(Main[[#This Row],[Class]]="C",WORKDAY(Main[[#This Row],[Tech Start Date]],19),IF(Main[[#This Row],[Class]]="B", WORKDAY(Main[[#This Row],[Tech Start Date]],12),IF(Main[[#This Row],[Class]]="A",WORKDAY(Main[[#This Row],[Tech Start Date]],4),""))))</f>
        <v/>
      </c>
      <c r="O523" s="77" t="str">
        <f>IF(Main[[#This Row],[Tech Start Date]]&lt;1/1/1990,"",IF(Main[[#This Row],[Class]]="C",WORKDAY(Main[[#This Row],[Tech Start Date]],23),IF(Main[[#This Row],[Class]]="B", WORKDAY(Main[[#This Row],[Tech Start Date]],15),IF(Main[[#This Row],[Class]]="A",WORKDAY(Main[[#This Row],[Tech Start Date]],5),""))))</f>
        <v/>
      </c>
      <c r="P523" s="77" t="str">
        <f>IF(Main[[#This Row],[Tech Start Date]]&lt;1/1/1990,"",IF(Main[[#This Row],[Class]]="C",WORKDAY(Main[[#This Row],[Tech Start Date]],28),IF(Main[[#This Row],[Class]]="B", WORKDAY(Main[[#This Row],[Tech Start Date]],19),IF(Main[[#This Row],[Class]]="A",WORKDAY(Main[[#This Row],[Tech Start Date]],9),""))))</f>
        <v/>
      </c>
      <c r="Q523" s="74">
        <v>40132</v>
      </c>
      <c r="R523" s="74"/>
      <c r="S523" s="72" t="s">
        <v>11</v>
      </c>
      <c r="T523" s="80" t="s">
        <v>4</v>
      </c>
      <c r="U523" s="72" t="s">
        <v>14</v>
      </c>
      <c r="V523" s="72" t="s">
        <v>1932</v>
      </c>
      <c r="W523" s="72" t="s">
        <v>1937</v>
      </c>
      <c r="X523" s="72" t="s">
        <v>2942</v>
      </c>
      <c r="Y523" s="72" t="s">
        <v>4</v>
      </c>
      <c r="Z523" s="72" t="s">
        <v>4</v>
      </c>
      <c r="AA523" s="147" t="s">
        <v>2942</v>
      </c>
    </row>
    <row r="524" spans="1:27" ht="18.600000000000001" customHeight="1">
      <c r="A524" s="140" t="str">
        <f>IF(priority(Main[[#This Row],[Comments]])&lt;&gt;0, priority(Main[[#This Row],[Comments]]),"")</f>
        <v/>
      </c>
      <c r="B524" s="90" t="s">
        <v>1340</v>
      </c>
      <c r="C524" s="72" t="s">
        <v>4</v>
      </c>
      <c r="D524" s="73" t="s">
        <v>413</v>
      </c>
      <c r="E524" s="74"/>
      <c r="F524" s="74"/>
      <c r="G524" s="75" t="str">
        <f>IF(stdProdLT(Main[[#This Row],[Comments]])=0.1,"N/A",IF(stdProdLT(Main[[#This Row],[Comments]])=0,"",stdProdLT(Main[[#This Row],[Comments]])))</f>
        <v/>
      </c>
      <c r="H524" s="76" t="str">
        <f>IF(AND(Main[[#This Row],[In Stock Date]]&lt;&gt;"",Main[[#This Row],[Revised Due Date]]&lt;&gt;""),Main[[#This Row],[In Stock Date]]-Main[[#This Row],[Revised Due Date]],"")</f>
        <v/>
      </c>
      <c r="I524" s="72" t="s">
        <v>4</v>
      </c>
      <c r="J524" s="72" t="s">
        <v>28</v>
      </c>
      <c r="K524" s="72" t="s">
        <v>4</v>
      </c>
      <c r="L524" s="74"/>
      <c r="M524" s="77" t="str">
        <f>IF(Main[[#This Row],[Tech Start Date]]&lt;1/1/1990,"",IF(Main[[#This Row],[Class]]="C",WORKDAY(Main[[#This Row],[Tech Start Date]],9),IF(Main[[#This Row],[Class]]="B", WORKDAY(Main[[#This Row],[Tech Start Date]],6),IF(Main[[#This Row],[Class]]="A",WORKDAY(Main[[#This Row],[Tech Start Date]],2),""))))</f>
        <v/>
      </c>
      <c r="N524" s="77" t="str">
        <f>IF(Main[[#This Row],[Tech Start Date]]&lt;1/1/1990,"",IF(Main[[#This Row],[Class]]="C",WORKDAY(Main[[#This Row],[Tech Start Date]],19),IF(Main[[#This Row],[Class]]="B", WORKDAY(Main[[#This Row],[Tech Start Date]],12),IF(Main[[#This Row],[Class]]="A",WORKDAY(Main[[#This Row],[Tech Start Date]],4),""))))</f>
        <v/>
      </c>
      <c r="O524" s="77" t="str">
        <f>IF(Main[[#This Row],[Tech Start Date]]&lt;1/1/1990,"",IF(Main[[#This Row],[Class]]="C",WORKDAY(Main[[#This Row],[Tech Start Date]],23),IF(Main[[#This Row],[Class]]="B", WORKDAY(Main[[#This Row],[Tech Start Date]],15),IF(Main[[#This Row],[Class]]="A",WORKDAY(Main[[#This Row],[Tech Start Date]],5),""))))</f>
        <v/>
      </c>
      <c r="P524" s="77" t="str">
        <f>IF(Main[[#This Row],[Tech Start Date]]&lt;1/1/1990,"",IF(Main[[#This Row],[Class]]="C",WORKDAY(Main[[#This Row],[Tech Start Date]],28),IF(Main[[#This Row],[Class]]="B", WORKDAY(Main[[#This Row],[Tech Start Date]],19),IF(Main[[#This Row],[Class]]="A",WORKDAY(Main[[#This Row],[Tech Start Date]],9),""))))</f>
        <v/>
      </c>
      <c r="Q524" s="74">
        <v>40471</v>
      </c>
      <c r="R524" s="74"/>
      <c r="S524" s="72" t="s">
        <v>6</v>
      </c>
      <c r="T524" s="80" t="s">
        <v>4</v>
      </c>
      <c r="U524" s="72" t="s">
        <v>14</v>
      </c>
      <c r="V524" s="72" t="s">
        <v>1935</v>
      </c>
      <c r="W524" s="72" t="s">
        <v>1934</v>
      </c>
      <c r="X524" s="72" t="s">
        <v>2906</v>
      </c>
      <c r="Y524" s="72" t="s">
        <v>3025</v>
      </c>
      <c r="Z524" s="72" t="s">
        <v>535</v>
      </c>
      <c r="AA524" s="147" t="s">
        <v>2906</v>
      </c>
    </row>
    <row r="525" spans="1:27" ht="18.600000000000001" customHeight="1">
      <c r="A525" s="140" t="str">
        <f>IF(priority(Main[[#This Row],[Comments]])&lt;&gt;0, priority(Main[[#This Row],[Comments]]),"")</f>
        <v/>
      </c>
      <c r="B525" s="90" t="s">
        <v>1341</v>
      </c>
      <c r="C525" s="72" t="s">
        <v>4</v>
      </c>
      <c r="D525" s="73" t="s">
        <v>414</v>
      </c>
      <c r="E525" s="74"/>
      <c r="F525" s="74"/>
      <c r="G525" s="75" t="str">
        <f>IF(stdProdLT(Main[[#This Row],[Comments]])=0.1,"N/A",IF(stdProdLT(Main[[#This Row],[Comments]])=0,"",stdProdLT(Main[[#This Row],[Comments]])))</f>
        <v/>
      </c>
      <c r="H525" s="76" t="str">
        <f>IF(AND(Main[[#This Row],[In Stock Date]]&lt;&gt;"",Main[[#This Row],[Revised Due Date]]&lt;&gt;""),Main[[#This Row],[In Stock Date]]-Main[[#This Row],[Revised Due Date]],"")</f>
        <v/>
      </c>
      <c r="I525" s="72" t="s">
        <v>4</v>
      </c>
      <c r="J525" s="72" t="s">
        <v>4</v>
      </c>
      <c r="K525" s="72" t="s">
        <v>4</v>
      </c>
      <c r="L525" s="74"/>
      <c r="M525" s="77" t="str">
        <f>IF(Main[[#This Row],[Tech Start Date]]&lt;1/1/1990,"",IF(Main[[#This Row],[Class]]="C",WORKDAY(Main[[#This Row],[Tech Start Date]],9),IF(Main[[#This Row],[Class]]="B", WORKDAY(Main[[#This Row],[Tech Start Date]],6),IF(Main[[#This Row],[Class]]="A",WORKDAY(Main[[#This Row],[Tech Start Date]],2),""))))</f>
        <v/>
      </c>
      <c r="N525" s="77" t="str">
        <f>IF(Main[[#This Row],[Tech Start Date]]&lt;1/1/1990,"",IF(Main[[#This Row],[Class]]="C",WORKDAY(Main[[#This Row],[Tech Start Date]],19),IF(Main[[#This Row],[Class]]="B", WORKDAY(Main[[#This Row],[Tech Start Date]],12),IF(Main[[#This Row],[Class]]="A",WORKDAY(Main[[#This Row],[Tech Start Date]],4),""))))</f>
        <v/>
      </c>
      <c r="O525" s="77" t="str">
        <f>IF(Main[[#This Row],[Tech Start Date]]&lt;1/1/1990,"",IF(Main[[#This Row],[Class]]="C",WORKDAY(Main[[#This Row],[Tech Start Date]],23),IF(Main[[#This Row],[Class]]="B", WORKDAY(Main[[#This Row],[Tech Start Date]],15),IF(Main[[#This Row],[Class]]="A",WORKDAY(Main[[#This Row],[Tech Start Date]],5),""))))</f>
        <v/>
      </c>
      <c r="P525" s="77" t="str">
        <f>IF(Main[[#This Row],[Tech Start Date]]&lt;1/1/1990,"",IF(Main[[#This Row],[Class]]="C",WORKDAY(Main[[#This Row],[Tech Start Date]],28),IF(Main[[#This Row],[Class]]="B", WORKDAY(Main[[#This Row],[Tech Start Date]],19),IF(Main[[#This Row],[Class]]="A",WORKDAY(Main[[#This Row],[Tech Start Date]],9),""))))</f>
        <v/>
      </c>
      <c r="Q525" s="74"/>
      <c r="R525" s="74"/>
      <c r="S525" s="72" t="s">
        <v>6</v>
      </c>
      <c r="T525" s="80" t="s">
        <v>4</v>
      </c>
      <c r="U525" s="72" t="s">
        <v>12</v>
      </c>
      <c r="V525" s="72" t="s">
        <v>1933</v>
      </c>
      <c r="W525" s="72" t="s">
        <v>1940</v>
      </c>
      <c r="X525" s="72" t="s">
        <v>953</v>
      </c>
      <c r="Y525" s="72" t="s">
        <v>3082</v>
      </c>
      <c r="Z525" s="72" t="s">
        <v>4</v>
      </c>
      <c r="AA525" s="147" t="s">
        <v>953</v>
      </c>
    </row>
    <row r="526" spans="1:27" ht="18.600000000000001" customHeight="1">
      <c r="A526" s="140" t="str">
        <f>IF(priority(Main[[#This Row],[Comments]])&lt;&gt;0, priority(Main[[#This Row],[Comments]]),"")</f>
        <v/>
      </c>
      <c r="B526" s="90" t="s">
        <v>1342</v>
      </c>
      <c r="C526" s="72" t="s">
        <v>4</v>
      </c>
      <c r="D526" s="73" t="s">
        <v>415</v>
      </c>
      <c r="E526" s="74"/>
      <c r="F526" s="74"/>
      <c r="G526" s="75" t="str">
        <f>IF(stdProdLT(Main[[#This Row],[Comments]])=0.1,"N/A",IF(stdProdLT(Main[[#This Row],[Comments]])=0,"",stdProdLT(Main[[#This Row],[Comments]])))</f>
        <v/>
      </c>
      <c r="H526" s="76" t="str">
        <f>IF(AND(Main[[#This Row],[In Stock Date]]&lt;&gt;"",Main[[#This Row],[Revised Due Date]]&lt;&gt;""),Main[[#This Row],[In Stock Date]]-Main[[#This Row],[Revised Due Date]],"")</f>
        <v/>
      </c>
      <c r="I526" s="72" t="s">
        <v>4</v>
      </c>
      <c r="J526" s="72" t="s">
        <v>4</v>
      </c>
      <c r="K526" s="72" t="s">
        <v>4</v>
      </c>
      <c r="L526" s="74"/>
      <c r="M526" s="77" t="str">
        <f>IF(Main[[#This Row],[Tech Start Date]]&lt;1/1/1990,"",IF(Main[[#This Row],[Class]]="C",WORKDAY(Main[[#This Row],[Tech Start Date]],9),IF(Main[[#This Row],[Class]]="B", WORKDAY(Main[[#This Row],[Tech Start Date]],6),IF(Main[[#This Row],[Class]]="A",WORKDAY(Main[[#This Row],[Tech Start Date]],2),""))))</f>
        <v/>
      </c>
      <c r="N526" s="77" t="str">
        <f>IF(Main[[#This Row],[Tech Start Date]]&lt;1/1/1990,"",IF(Main[[#This Row],[Class]]="C",WORKDAY(Main[[#This Row],[Tech Start Date]],19),IF(Main[[#This Row],[Class]]="B", WORKDAY(Main[[#This Row],[Tech Start Date]],12),IF(Main[[#This Row],[Class]]="A",WORKDAY(Main[[#This Row],[Tech Start Date]],4),""))))</f>
        <v/>
      </c>
      <c r="O526" s="77" t="str">
        <f>IF(Main[[#This Row],[Tech Start Date]]&lt;1/1/1990,"",IF(Main[[#This Row],[Class]]="C",WORKDAY(Main[[#This Row],[Tech Start Date]],23),IF(Main[[#This Row],[Class]]="B", WORKDAY(Main[[#This Row],[Tech Start Date]],15),IF(Main[[#This Row],[Class]]="A",WORKDAY(Main[[#This Row],[Tech Start Date]],5),""))))</f>
        <v/>
      </c>
      <c r="P526" s="77" t="str">
        <f>IF(Main[[#This Row],[Tech Start Date]]&lt;1/1/1990,"",IF(Main[[#This Row],[Class]]="C",WORKDAY(Main[[#This Row],[Tech Start Date]],28),IF(Main[[#This Row],[Class]]="B", WORKDAY(Main[[#This Row],[Tech Start Date]],19),IF(Main[[#This Row],[Class]]="A",WORKDAY(Main[[#This Row],[Tech Start Date]],9),""))))</f>
        <v/>
      </c>
      <c r="Q526" s="74"/>
      <c r="R526" s="74"/>
      <c r="S526" s="72" t="s">
        <v>416</v>
      </c>
      <c r="T526" s="80" t="s">
        <v>4</v>
      </c>
      <c r="U526" s="72" t="s">
        <v>14</v>
      </c>
      <c r="V526" s="72" t="s">
        <v>1933</v>
      </c>
      <c r="W526" s="72" t="s">
        <v>1936</v>
      </c>
      <c r="X526" s="72" t="s">
        <v>933</v>
      </c>
      <c r="Y526" s="72" t="s">
        <v>3069</v>
      </c>
      <c r="Z526" s="72" t="s">
        <v>4</v>
      </c>
      <c r="AA526" s="147" t="s">
        <v>933</v>
      </c>
    </row>
    <row r="527" spans="1:27" ht="18.600000000000001" customHeight="1">
      <c r="A527" s="140" t="str">
        <f>IF(priority(Main[[#This Row],[Comments]])&lt;&gt;0, priority(Main[[#This Row],[Comments]]),"")</f>
        <v/>
      </c>
      <c r="B527" s="90" t="s">
        <v>1407</v>
      </c>
      <c r="C527" s="72" t="s">
        <v>93</v>
      </c>
      <c r="D527" s="73" t="s">
        <v>425</v>
      </c>
      <c r="E527" s="74"/>
      <c r="F527" s="74">
        <v>40269</v>
      </c>
      <c r="G527" s="75" t="str">
        <f>IF(stdProdLT(Main[[#This Row],[Comments]])=0.1,"N/A",IF(stdProdLT(Main[[#This Row],[Comments]])=0,"",stdProdLT(Main[[#This Row],[Comments]])))</f>
        <v/>
      </c>
      <c r="H527" s="76" t="str">
        <f>IF(AND(Main[[#This Row],[In Stock Date]]&lt;&gt;"",Main[[#This Row],[Revised Due Date]]&lt;&gt;""),Main[[#This Row],[In Stock Date]]-Main[[#This Row],[Revised Due Date]],"")</f>
        <v/>
      </c>
      <c r="I527" s="72" t="s">
        <v>4</v>
      </c>
      <c r="J527" s="72" t="s">
        <v>4</v>
      </c>
      <c r="K527" s="72" t="s">
        <v>4</v>
      </c>
      <c r="L527" s="74"/>
      <c r="M527" s="77" t="str">
        <f>IF(Main[[#This Row],[Tech Start Date]]&lt;1/1/1990,"",IF(Main[[#This Row],[Class]]="C",WORKDAY(Main[[#This Row],[Tech Start Date]],9),IF(Main[[#This Row],[Class]]="B", WORKDAY(Main[[#This Row],[Tech Start Date]],6),IF(Main[[#This Row],[Class]]="A",WORKDAY(Main[[#This Row],[Tech Start Date]],2),""))))</f>
        <v/>
      </c>
      <c r="N527" s="77" t="str">
        <f>IF(Main[[#This Row],[Tech Start Date]]&lt;1/1/1990,"",IF(Main[[#This Row],[Class]]="C",WORKDAY(Main[[#This Row],[Tech Start Date]],19),IF(Main[[#This Row],[Class]]="B", WORKDAY(Main[[#This Row],[Tech Start Date]],12),IF(Main[[#This Row],[Class]]="A",WORKDAY(Main[[#This Row],[Tech Start Date]],4),""))))</f>
        <v/>
      </c>
      <c r="O527" s="77" t="str">
        <f>IF(Main[[#This Row],[Tech Start Date]]&lt;1/1/1990,"",IF(Main[[#This Row],[Class]]="C",WORKDAY(Main[[#This Row],[Tech Start Date]],23),IF(Main[[#This Row],[Class]]="B", WORKDAY(Main[[#This Row],[Tech Start Date]],15),IF(Main[[#This Row],[Class]]="A",WORKDAY(Main[[#This Row],[Tech Start Date]],5),""))))</f>
        <v/>
      </c>
      <c r="P527" s="77" t="str">
        <f>IF(Main[[#This Row],[Tech Start Date]]&lt;1/1/1990,"",IF(Main[[#This Row],[Class]]="C",WORKDAY(Main[[#This Row],[Tech Start Date]],28),IF(Main[[#This Row],[Class]]="B", WORKDAY(Main[[#This Row],[Tech Start Date]],19),IF(Main[[#This Row],[Class]]="A",WORKDAY(Main[[#This Row],[Tech Start Date]],9),""))))</f>
        <v/>
      </c>
      <c r="Q527" s="74">
        <v>40185</v>
      </c>
      <c r="R527" s="74"/>
      <c r="S527" s="72" t="s">
        <v>11</v>
      </c>
      <c r="T527" s="80" t="s">
        <v>4</v>
      </c>
      <c r="U527" s="72" t="s">
        <v>12</v>
      </c>
      <c r="V527" s="72" t="s">
        <v>1942</v>
      </c>
      <c r="W527" s="72" t="s">
        <v>1943</v>
      </c>
      <c r="X527" s="72" t="s">
        <v>2929</v>
      </c>
      <c r="Y527" s="72" t="s">
        <v>4</v>
      </c>
      <c r="Z527" s="72" t="s">
        <v>4</v>
      </c>
      <c r="AA527" s="147" t="s">
        <v>2929</v>
      </c>
    </row>
    <row r="528" spans="1:27" ht="18.600000000000001" customHeight="1">
      <c r="A528" s="140" t="str">
        <f>IF(priority(Main[[#This Row],[Comments]])&lt;&gt;0, priority(Main[[#This Row],[Comments]]),"")</f>
        <v/>
      </c>
      <c r="B528" s="90" t="s">
        <v>1408</v>
      </c>
      <c r="C528" s="72" t="s">
        <v>171</v>
      </c>
      <c r="D528" s="73" t="s">
        <v>426</v>
      </c>
      <c r="E528" s="74"/>
      <c r="F528" s="74">
        <v>40237</v>
      </c>
      <c r="G528" s="75" t="str">
        <f>IF(stdProdLT(Main[[#This Row],[Comments]])=0.1,"N/A",IF(stdProdLT(Main[[#This Row],[Comments]])=0,"",stdProdLT(Main[[#This Row],[Comments]])))</f>
        <v/>
      </c>
      <c r="H528" s="76" t="str">
        <f>IF(AND(Main[[#This Row],[In Stock Date]]&lt;&gt;"",Main[[#This Row],[Revised Due Date]]&lt;&gt;""),Main[[#This Row],[In Stock Date]]-Main[[#This Row],[Revised Due Date]],"")</f>
        <v/>
      </c>
      <c r="I528" s="72" t="s">
        <v>4</v>
      </c>
      <c r="J528" s="72" t="s">
        <v>4</v>
      </c>
      <c r="K528" s="72" t="s">
        <v>4</v>
      </c>
      <c r="L528" s="74"/>
      <c r="M528" s="77" t="str">
        <f>IF(Main[[#This Row],[Tech Start Date]]&lt;1/1/1990,"",IF(Main[[#This Row],[Class]]="C",WORKDAY(Main[[#This Row],[Tech Start Date]],9),IF(Main[[#This Row],[Class]]="B", WORKDAY(Main[[#This Row],[Tech Start Date]],6),IF(Main[[#This Row],[Class]]="A",WORKDAY(Main[[#This Row],[Tech Start Date]],2),""))))</f>
        <v/>
      </c>
      <c r="N528" s="77" t="str">
        <f>IF(Main[[#This Row],[Tech Start Date]]&lt;1/1/1990,"",IF(Main[[#This Row],[Class]]="C",WORKDAY(Main[[#This Row],[Tech Start Date]],19),IF(Main[[#This Row],[Class]]="B", WORKDAY(Main[[#This Row],[Tech Start Date]],12),IF(Main[[#This Row],[Class]]="A",WORKDAY(Main[[#This Row],[Tech Start Date]],4),""))))</f>
        <v/>
      </c>
      <c r="O528" s="77" t="str">
        <f>IF(Main[[#This Row],[Tech Start Date]]&lt;1/1/1990,"",IF(Main[[#This Row],[Class]]="C",WORKDAY(Main[[#This Row],[Tech Start Date]],23),IF(Main[[#This Row],[Class]]="B", WORKDAY(Main[[#This Row],[Tech Start Date]],15),IF(Main[[#This Row],[Class]]="A",WORKDAY(Main[[#This Row],[Tech Start Date]],5),""))))</f>
        <v/>
      </c>
      <c r="P528" s="77" t="str">
        <f>IF(Main[[#This Row],[Tech Start Date]]&lt;1/1/1990,"",IF(Main[[#This Row],[Class]]="C",WORKDAY(Main[[#This Row],[Tech Start Date]],28),IF(Main[[#This Row],[Class]]="B", WORKDAY(Main[[#This Row],[Tech Start Date]],19),IF(Main[[#This Row],[Class]]="A",WORKDAY(Main[[#This Row],[Tech Start Date]],9),""))))</f>
        <v/>
      </c>
      <c r="Q528" s="74">
        <v>40132</v>
      </c>
      <c r="R528" s="74"/>
      <c r="S528" s="72" t="s">
        <v>11</v>
      </c>
      <c r="T528" s="80" t="s">
        <v>4</v>
      </c>
      <c r="U528" s="72" t="s">
        <v>14</v>
      </c>
      <c r="V528" s="72" t="s">
        <v>1932</v>
      </c>
      <c r="W528" s="72" t="s">
        <v>1937</v>
      </c>
      <c r="X528" s="72" t="s">
        <v>2942</v>
      </c>
      <c r="Y528" s="72" t="s">
        <v>4</v>
      </c>
      <c r="Z528" s="72" t="s">
        <v>4</v>
      </c>
      <c r="AA528" s="147" t="s">
        <v>2942</v>
      </c>
    </row>
    <row r="529" spans="1:27" ht="18.600000000000001" customHeight="1">
      <c r="A529" s="140" t="str">
        <f>IF(priority(Main[[#This Row],[Comments]])&lt;&gt;0, priority(Main[[#This Row],[Comments]]),"")</f>
        <v/>
      </c>
      <c r="B529" s="90" t="s">
        <v>1409</v>
      </c>
      <c r="C529" s="72" t="s">
        <v>93</v>
      </c>
      <c r="D529" s="73" t="s">
        <v>427</v>
      </c>
      <c r="E529" s="74"/>
      <c r="F529" s="74">
        <v>40144</v>
      </c>
      <c r="G529" s="75" t="str">
        <f>IF(stdProdLT(Main[[#This Row],[Comments]])=0.1,"N/A",IF(stdProdLT(Main[[#This Row],[Comments]])=0,"",stdProdLT(Main[[#This Row],[Comments]])))</f>
        <v/>
      </c>
      <c r="H529" s="76" t="str">
        <f>IF(AND(Main[[#This Row],[In Stock Date]]&lt;&gt;"",Main[[#This Row],[Revised Due Date]]&lt;&gt;""),Main[[#This Row],[In Stock Date]]-Main[[#This Row],[Revised Due Date]],"")</f>
        <v/>
      </c>
      <c r="I529" s="72" t="s">
        <v>4</v>
      </c>
      <c r="J529" s="72" t="s">
        <v>4</v>
      </c>
      <c r="K529" s="72" t="s">
        <v>4</v>
      </c>
      <c r="L529" s="74"/>
      <c r="M529" s="77" t="str">
        <f>IF(Main[[#This Row],[Tech Start Date]]&lt;1/1/1990,"",IF(Main[[#This Row],[Class]]="C",WORKDAY(Main[[#This Row],[Tech Start Date]],9),IF(Main[[#This Row],[Class]]="B", WORKDAY(Main[[#This Row],[Tech Start Date]],6),IF(Main[[#This Row],[Class]]="A",WORKDAY(Main[[#This Row],[Tech Start Date]],2),""))))</f>
        <v/>
      </c>
      <c r="N529" s="77" t="str">
        <f>IF(Main[[#This Row],[Tech Start Date]]&lt;1/1/1990,"",IF(Main[[#This Row],[Class]]="C",WORKDAY(Main[[#This Row],[Tech Start Date]],19),IF(Main[[#This Row],[Class]]="B", WORKDAY(Main[[#This Row],[Tech Start Date]],12),IF(Main[[#This Row],[Class]]="A",WORKDAY(Main[[#This Row],[Tech Start Date]],4),""))))</f>
        <v/>
      </c>
      <c r="O529" s="77" t="str">
        <f>IF(Main[[#This Row],[Tech Start Date]]&lt;1/1/1990,"",IF(Main[[#This Row],[Class]]="C",WORKDAY(Main[[#This Row],[Tech Start Date]],23),IF(Main[[#This Row],[Class]]="B", WORKDAY(Main[[#This Row],[Tech Start Date]],15),IF(Main[[#This Row],[Class]]="A",WORKDAY(Main[[#This Row],[Tech Start Date]],5),""))))</f>
        <v/>
      </c>
      <c r="P529" s="77" t="str">
        <f>IF(Main[[#This Row],[Tech Start Date]]&lt;1/1/1990,"",IF(Main[[#This Row],[Class]]="C",WORKDAY(Main[[#This Row],[Tech Start Date]],28),IF(Main[[#This Row],[Class]]="B", WORKDAY(Main[[#This Row],[Tech Start Date]],19),IF(Main[[#This Row],[Class]]="A",WORKDAY(Main[[#This Row],[Tech Start Date]],9),""))))</f>
        <v/>
      </c>
      <c r="Q529" s="74">
        <v>40144</v>
      </c>
      <c r="R529" s="74"/>
      <c r="S529" s="72" t="s">
        <v>11</v>
      </c>
      <c r="T529" s="80" t="s">
        <v>4</v>
      </c>
      <c r="U529" s="72" t="s">
        <v>14</v>
      </c>
      <c r="V529" s="72" t="s">
        <v>1935</v>
      </c>
      <c r="W529" s="72" t="s">
        <v>1943</v>
      </c>
      <c r="X529" s="72" t="s">
        <v>2940</v>
      </c>
      <c r="Y529" s="72" t="s">
        <v>4</v>
      </c>
      <c r="Z529" s="72" t="s">
        <v>4</v>
      </c>
      <c r="AA529" s="147" t="s">
        <v>2940</v>
      </c>
    </row>
    <row r="530" spans="1:27" ht="18.600000000000001" customHeight="1">
      <c r="A530" s="140" t="str">
        <f>IF(priority(Main[[#This Row],[Comments]])&lt;&gt;0, priority(Main[[#This Row],[Comments]]),"")</f>
        <v/>
      </c>
      <c r="B530" s="90" t="s">
        <v>1352</v>
      </c>
      <c r="C530" s="72" t="s">
        <v>93</v>
      </c>
      <c r="D530" s="73" t="s">
        <v>428</v>
      </c>
      <c r="E530" s="74"/>
      <c r="F530" s="74">
        <v>40162</v>
      </c>
      <c r="G530" s="75" t="str">
        <f>IF(stdProdLT(Main[[#This Row],[Comments]])=0.1,"N/A",IF(stdProdLT(Main[[#This Row],[Comments]])=0,"",stdProdLT(Main[[#This Row],[Comments]])))</f>
        <v/>
      </c>
      <c r="H530" s="76" t="str">
        <f>IF(AND(Main[[#This Row],[In Stock Date]]&lt;&gt;"",Main[[#This Row],[Revised Due Date]]&lt;&gt;""),Main[[#This Row],[In Stock Date]]-Main[[#This Row],[Revised Due Date]],"")</f>
        <v/>
      </c>
      <c r="I530" s="72" t="s">
        <v>4</v>
      </c>
      <c r="J530" s="72" t="s">
        <v>4</v>
      </c>
      <c r="K530" s="72" t="s">
        <v>4</v>
      </c>
      <c r="L530" s="74"/>
      <c r="M530" s="77" t="str">
        <f>IF(Main[[#This Row],[Tech Start Date]]&lt;1/1/1990,"",IF(Main[[#This Row],[Class]]="C",WORKDAY(Main[[#This Row],[Tech Start Date]],9),IF(Main[[#This Row],[Class]]="B", WORKDAY(Main[[#This Row],[Tech Start Date]],6),IF(Main[[#This Row],[Class]]="A",WORKDAY(Main[[#This Row],[Tech Start Date]],2),""))))</f>
        <v/>
      </c>
      <c r="N530" s="77" t="str">
        <f>IF(Main[[#This Row],[Tech Start Date]]&lt;1/1/1990,"",IF(Main[[#This Row],[Class]]="C",WORKDAY(Main[[#This Row],[Tech Start Date]],19),IF(Main[[#This Row],[Class]]="B", WORKDAY(Main[[#This Row],[Tech Start Date]],12),IF(Main[[#This Row],[Class]]="A",WORKDAY(Main[[#This Row],[Tech Start Date]],4),""))))</f>
        <v/>
      </c>
      <c r="O530" s="77" t="str">
        <f>IF(Main[[#This Row],[Tech Start Date]]&lt;1/1/1990,"",IF(Main[[#This Row],[Class]]="C",WORKDAY(Main[[#This Row],[Tech Start Date]],23),IF(Main[[#This Row],[Class]]="B", WORKDAY(Main[[#This Row],[Tech Start Date]],15),IF(Main[[#This Row],[Class]]="A",WORKDAY(Main[[#This Row],[Tech Start Date]],5),""))))</f>
        <v/>
      </c>
      <c r="P530" s="77" t="str">
        <f>IF(Main[[#This Row],[Tech Start Date]]&lt;1/1/1990,"",IF(Main[[#This Row],[Class]]="C",WORKDAY(Main[[#This Row],[Tech Start Date]],28),IF(Main[[#This Row],[Class]]="B", WORKDAY(Main[[#This Row],[Tech Start Date]],19),IF(Main[[#This Row],[Class]]="A",WORKDAY(Main[[#This Row],[Tech Start Date]],9),""))))</f>
        <v/>
      </c>
      <c r="Q530" s="74">
        <v>40127</v>
      </c>
      <c r="R530" s="74"/>
      <c r="S530" s="72" t="s">
        <v>11</v>
      </c>
      <c r="T530" s="80" t="s">
        <v>4</v>
      </c>
      <c r="U530" s="72" t="s">
        <v>14</v>
      </c>
      <c r="V530" s="72" t="s">
        <v>1942</v>
      </c>
      <c r="W530" s="72" t="s">
        <v>1943</v>
      </c>
      <c r="X530" s="72" t="s">
        <v>2929</v>
      </c>
      <c r="Y530" s="72" t="s">
        <v>4</v>
      </c>
      <c r="Z530" s="72" t="s">
        <v>4</v>
      </c>
      <c r="AA530" s="147" t="s">
        <v>2929</v>
      </c>
    </row>
    <row r="531" spans="1:27" ht="18.600000000000001" customHeight="1">
      <c r="A531" s="140" t="str">
        <f>IF(priority(Main[[#This Row],[Comments]])&lt;&gt;0, priority(Main[[#This Row],[Comments]]),"")</f>
        <v/>
      </c>
      <c r="B531" s="90" t="s">
        <v>1353</v>
      </c>
      <c r="C531" s="72" t="s">
        <v>429</v>
      </c>
      <c r="D531" s="73" t="s">
        <v>430</v>
      </c>
      <c r="E531" s="74"/>
      <c r="F531" s="74">
        <v>40179</v>
      </c>
      <c r="G531" s="75" t="str">
        <f>IF(stdProdLT(Main[[#This Row],[Comments]])=0.1,"N/A",IF(stdProdLT(Main[[#This Row],[Comments]])=0,"",stdProdLT(Main[[#This Row],[Comments]])))</f>
        <v/>
      </c>
      <c r="H531" s="76" t="str">
        <f>IF(AND(Main[[#This Row],[In Stock Date]]&lt;&gt;"",Main[[#This Row],[Revised Due Date]]&lt;&gt;""),Main[[#This Row],[In Stock Date]]-Main[[#This Row],[Revised Due Date]],"")</f>
        <v/>
      </c>
      <c r="I531" s="72" t="s">
        <v>4</v>
      </c>
      <c r="J531" s="72" t="s">
        <v>4</v>
      </c>
      <c r="K531" s="72" t="s">
        <v>4</v>
      </c>
      <c r="L531" s="74"/>
      <c r="M531" s="77" t="str">
        <f>IF(Main[[#This Row],[Tech Start Date]]&lt;1/1/1990,"",IF(Main[[#This Row],[Class]]="C",WORKDAY(Main[[#This Row],[Tech Start Date]],9),IF(Main[[#This Row],[Class]]="B", WORKDAY(Main[[#This Row],[Tech Start Date]],6),IF(Main[[#This Row],[Class]]="A",WORKDAY(Main[[#This Row],[Tech Start Date]],2),""))))</f>
        <v/>
      </c>
      <c r="N531" s="77" t="str">
        <f>IF(Main[[#This Row],[Tech Start Date]]&lt;1/1/1990,"",IF(Main[[#This Row],[Class]]="C",WORKDAY(Main[[#This Row],[Tech Start Date]],19),IF(Main[[#This Row],[Class]]="B", WORKDAY(Main[[#This Row],[Tech Start Date]],12),IF(Main[[#This Row],[Class]]="A",WORKDAY(Main[[#This Row],[Tech Start Date]],4),""))))</f>
        <v/>
      </c>
      <c r="O531" s="77" t="str">
        <f>IF(Main[[#This Row],[Tech Start Date]]&lt;1/1/1990,"",IF(Main[[#This Row],[Class]]="C",WORKDAY(Main[[#This Row],[Tech Start Date]],23),IF(Main[[#This Row],[Class]]="B", WORKDAY(Main[[#This Row],[Tech Start Date]],15),IF(Main[[#This Row],[Class]]="A",WORKDAY(Main[[#This Row],[Tech Start Date]],5),""))))</f>
        <v/>
      </c>
      <c r="P531" s="77" t="str">
        <f>IF(Main[[#This Row],[Tech Start Date]]&lt;1/1/1990,"",IF(Main[[#This Row],[Class]]="C",WORKDAY(Main[[#This Row],[Tech Start Date]],28),IF(Main[[#This Row],[Class]]="B", WORKDAY(Main[[#This Row],[Tech Start Date]],19),IF(Main[[#This Row],[Class]]="A",WORKDAY(Main[[#This Row],[Tech Start Date]],9),""))))</f>
        <v/>
      </c>
      <c r="Q531" s="74">
        <v>40179</v>
      </c>
      <c r="R531" s="74"/>
      <c r="S531" s="72" t="s">
        <v>11</v>
      </c>
      <c r="T531" s="80" t="s">
        <v>4</v>
      </c>
      <c r="U531" s="72" t="s">
        <v>14</v>
      </c>
      <c r="V531" s="72" t="s">
        <v>1932</v>
      </c>
      <c r="W531" s="72" t="s">
        <v>1937</v>
      </c>
      <c r="X531" s="72" t="s">
        <v>2938</v>
      </c>
      <c r="Y531" s="72" t="s">
        <v>4</v>
      </c>
      <c r="Z531" s="72" t="s">
        <v>4</v>
      </c>
      <c r="AA531" s="147" t="s">
        <v>2938</v>
      </c>
    </row>
    <row r="532" spans="1:27" ht="18.600000000000001" customHeight="1">
      <c r="A532" s="140" t="str">
        <f>IF(priority(Main[[#This Row],[Comments]])&lt;&gt;0, priority(Main[[#This Row],[Comments]]),"")</f>
        <v/>
      </c>
      <c r="B532" s="90" t="s">
        <v>1354</v>
      </c>
      <c r="C532" s="72" t="s">
        <v>200</v>
      </c>
      <c r="D532" s="73" t="s">
        <v>431</v>
      </c>
      <c r="E532" s="74"/>
      <c r="F532" s="74"/>
      <c r="G532" s="75" t="str">
        <f>IF(stdProdLT(Main[[#This Row],[Comments]])=0.1,"N/A",IF(stdProdLT(Main[[#This Row],[Comments]])=0,"",stdProdLT(Main[[#This Row],[Comments]])))</f>
        <v/>
      </c>
      <c r="H532" s="76" t="str">
        <f>IF(AND(Main[[#This Row],[In Stock Date]]&lt;&gt;"",Main[[#This Row],[Revised Due Date]]&lt;&gt;""),Main[[#This Row],[In Stock Date]]-Main[[#This Row],[Revised Due Date]],"")</f>
        <v/>
      </c>
      <c r="I532" s="72" t="s">
        <v>4</v>
      </c>
      <c r="J532" s="72" t="s">
        <v>4</v>
      </c>
      <c r="K532" s="72" t="s">
        <v>4</v>
      </c>
      <c r="L532" s="74"/>
      <c r="M532" s="77" t="str">
        <f>IF(Main[[#This Row],[Tech Start Date]]&lt;1/1/1990,"",IF(Main[[#This Row],[Class]]="C",WORKDAY(Main[[#This Row],[Tech Start Date]],9),IF(Main[[#This Row],[Class]]="B", WORKDAY(Main[[#This Row],[Tech Start Date]],6),IF(Main[[#This Row],[Class]]="A",WORKDAY(Main[[#This Row],[Tech Start Date]],2),""))))</f>
        <v/>
      </c>
      <c r="N532" s="77" t="str">
        <f>IF(Main[[#This Row],[Tech Start Date]]&lt;1/1/1990,"",IF(Main[[#This Row],[Class]]="C",WORKDAY(Main[[#This Row],[Tech Start Date]],19),IF(Main[[#This Row],[Class]]="B", WORKDAY(Main[[#This Row],[Tech Start Date]],12),IF(Main[[#This Row],[Class]]="A",WORKDAY(Main[[#This Row],[Tech Start Date]],4),""))))</f>
        <v/>
      </c>
      <c r="O532" s="77" t="str">
        <f>IF(Main[[#This Row],[Tech Start Date]]&lt;1/1/1990,"",IF(Main[[#This Row],[Class]]="C",WORKDAY(Main[[#This Row],[Tech Start Date]],23),IF(Main[[#This Row],[Class]]="B", WORKDAY(Main[[#This Row],[Tech Start Date]],15),IF(Main[[#This Row],[Class]]="A",WORKDAY(Main[[#This Row],[Tech Start Date]],5),""))))</f>
        <v/>
      </c>
      <c r="P532" s="77" t="str">
        <f>IF(Main[[#This Row],[Tech Start Date]]&lt;1/1/1990,"",IF(Main[[#This Row],[Class]]="C",WORKDAY(Main[[#This Row],[Tech Start Date]],28),IF(Main[[#This Row],[Class]]="B", WORKDAY(Main[[#This Row],[Tech Start Date]],19),IF(Main[[#This Row],[Class]]="A",WORKDAY(Main[[#This Row],[Tech Start Date]],9),""))))</f>
        <v/>
      </c>
      <c r="Q532" s="74">
        <v>40165</v>
      </c>
      <c r="R532" s="74"/>
      <c r="S532" s="72" t="s">
        <v>11</v>
      </c>
      <c r="T532" s="80" t="s">
        <v>4</v>
      </c>
      <c r="U532" s="72" t="s">
        <v>14</v>
      </c>
      <c r="V532" s="72" t="s">
        <v>1942</v>
      </c>
      <c r="W532" s="72" t="s">
        <v>1938</v>
      </c>
      <c r="X532" s="72" t="s">
        <v>894</v>
      </c>
      <c r="Y532" s="72" t="s">
        <v>3050</v>
      </c>
      <c r="Z532" s="72" t="s">
        <v>4</v>
      </c>
      <c r="AA532" s="147" t="s">
        <v>894</v>
      </c>
    </row>
    <row r="533" spans="1:27" ht="18.600000000000001" customHeight="1">
      <c r="A533" s="140" t="str">
        <f>IF(priority(Main[[#This Row],[Comments]])&lt;&gt;0, priority(Main[[#This Row],[Comments]]),"")</f>
        <v/>
      </c>
      <c r="B533" s="90" t="s">
        <v>1355</v>
      </c>
      <c r="C533" s="72" t="s">
        <v>4</v>
      </c>
      <c r="D533" s="73" t="s">
        <v>432</v>
      </c>
      <c r="E533" s="74"/>
      <c r="F533" s="74"/>
      <c r="G533" s="75" t="str">
        <f>IF(stdProdLT(Main[[#This Row],[Comments]])=0.1,"N/A",IF(stdProdLT(Main[[#This Row],[Comments]])=0,"",stdProdLT(Main[[#This Row],[Comments]])))</f>
        <v/>
      </c>
      <c r="H533" s="76" t="str">
        <f>IF(AND(Main[[#This Row],[In Stock Date]]&lt;&gt;"",Main[[#This Row],[Revised Due Date]]&lt;&gt;""),Main[[#This Row],[In Stock Date]]-Main[[#This Row],[Revised Due Date]],"")</f>
        <v/>
      </c>
      <c r="I533" s="72" t="s">
        <v>4</v>
      </c>
      <c r="J533" s="72" t="s">
        <v>4</v>
      </c>
      <c r="K533" s="72" t="s">
        <v>4</v>
      </c>
      <c r="L533" s="74"/>
      <c r="M533" s="77" t="str">
        <f>IF(Main[[#This Row],[Tech Start Date]]&lt;1/1/1990,"",IF(Main[[#This Row],[Class]]="C",WORKDAY(Main[[#This Row],[Tech Start Date]],9),IF(Main[[#This Row],[Class]]="B", WORKDAY(Main[[#This Row],[Tech Start Date]],6),IF(Main[[#This Row],[Class]]="A",WORKDAY(Main[[#This Row],[Tech Start Date]],2),""))))</f>
        <v/>
      </c>
      <c r="N533" s="77" t="str">
        <f>IF(Main[[#This Row],[Tech Start Date]]&lt;1/1/1990,"",IF(Main[[#This Row],[Class]]="C",WORKDAY(Main[[#This Row],[Tech Start Date]],19),IF(Main[[#This Row],[Class]]="B", WORKDAY(Main[[#This Row],[Tech Start Date]],12),IF(Main[[#This Row],[Class]]="A",WORKDAY(Main[[#This Row],[Tech Start Date]],4),""))))</f>
        <v/>
      </c>
      <c r="O533" s="77" t="str">
        <f>IF(Main[[#This Row],[Tech Start Date]]&lt;1/1/1990,"",IF(Main[[#This Row],[Class]]="C",WORKDAY(Main[[#This Row],[Tech Start Date]],23),IF(Main[[#This Row],[Class]]="B", WORKDAY(Main[[#This Row],[Tech Start Date]],15),IF(Main[[#This Row],[Class]]="A",WORKDAY(Main[[#This Row],[Tech Start Date]],5),""))))</f>
        <v/>
      </c>
      <c r="P533" s="77" t="str">
        <f>IF(Main[[#This Row],[Tech Start Date]]&lt;1/1/1990,"",IF(Main[[#This Row],[Class]]="C",WORKDAY(Main[[#This Row],[Tech Start Date]],28),IF(Main[[#This Row],[Class]]="B", WORKDAY(Main[[#This Row],[Tech Start Date]],19),IF(Main[[#This Row],[Class]]="A",WORKDAY(Main[[#This Row],[Tech Start Date]],9),""))))</f>
        <v/>
      </c>
      <c r="Q533" s="74"/>
      <c r="R533" s="74"/>
      <c r="S533" s="72" t="s">
        <v>6</v>
      </c>
      <c r="T533" s="80" t="s">
        <v>4</v>
      </c>
      <c r="U533" s="72" t="s">
        <v>12</v>
      </c>
      <c r="V533" s="72" t="s">
        <v>1932</v>
      </c>
      <c r="W533" s="72" t="s">
        <v>4</v>
      </c>
      <c r="X533" s="72" t="s">
        <v>923</v>
      </c>
      <c r="Y533" s="72" t="s">
        <v>4</v>
      </c>
      <c r="Z533" s="72" t="s">
        <v>4</v>
      </c>
      <c r="AA533" s="147" t="s">
        <v>4</v>
      </c>
    </row>
    <row r="534" spans="1:27" ht="18.600000000000001" customHeight="1">
      <c r="A534" s="140" t="str">
        <f>IF(priority(Main[[#This Row],[Comments]])&lt;&gt;0, priority(Main[[#This Row],[Comments]]),"")</f>
        <v/>
      </c>
      <c r="B534" s="90" t="s">
        <v>1356</v>
      </c>
      <c r="C534" s="72" t="s">
        <v>4</v>
      </c>
      <c r="D534" s="73" t="s">
        <v>433</v>
      </c>
      <c r="E534" s="74">
        <v>40367.39403935185</v>
      </c>
      <c r="F534" s="74"/>
      <c r="G534" s="75" t="str">
        <f>IF(stdProdLT(Main[[#This Row],[Comments]])=0.1,"N/A",IF(stdProdLT(Main[[#This Row],[Comments]])=0,"",stdProdLT(Main[[#This Row],[Comments]])))</f>
        <v/>
      </c>
      <c r="H534" s="76" t="str">
        <f>IF(AND(Main[[#This Row],[In Stock Date]]&lt;&gt;"",Main[[#This Row],[Revised Due Date]]&lt;&gt;""),Main[[#This Row],[In Stock Date]]-Main[[#This Row],[Revised Due Date]],"")</f>
        <v/>
      </c>
      <c r="I534" s="72" t="s">
        <v>126</v>
      </c>
      <c r="J534" s="72" t="s">
        <v>28</v>
      </c>
      <c r="K534" s="81" t="s">
        <v>1941</v>
      </c>
      <c r="L534" s="74"/>
      <c r="M534" s="77" t="str">
        <f>IF(Main[[#This Row],[Tech Start Date]]&lt;1/1/1990,"",IF(Main[[#This Row],[Class]]="C",WORKDAY(Main[[#This Row],[Tech Start Date]],9),IF(Main[[#This Row],[Class]]="B", WORKDAY(Main[[#This Row],[Tech Start Date]],6),IF(Main[[#This Row],[Class]]="A",WORKDAY(Main[[#This Row],[Tech Start Date]],2),""))))</f>
        <v/>
      </c>
      <c r="N534" s="77" t="str">
        <f>IF(Main[[#This Row],[Tech Start Date]]&lt;1/1/1990,"",IF(Main[[#This Row],[Class]]="C",WORKDAY(Main[[#This Row],[Tech Start Date]],19),IF(Main[[#This Row],[Class]]="B", WORKDAY(Main[[#This Row],[Tech Start Date]],12),IF(Main[[#This Row],[Class]]="A",WORKDAY(Main[[#This Row],[Tech Start Date]],4),""))))</f>
        <v/>
      </c>
      <c r="O534" s="77" t="str">
        <f>IF(Main[[#This Row],[Tech Start Date]]&lt;1/1/1990,"",IF(Main[[#This Row],[Class]]="C",WORKDAY(Main[[#This Row],[Tech Start Date]],23),IF(Main[[#This Row],[Class]]="B", WORKDAY(Main[[#This Row],[Tech Start Date]],15),IF(Main[[#This Row],[Class]]="A",WORKDAY(Main[[#This Row],[Tech Start Date]],5),""))))</f>
        <v/>
      </c>
      <c r="P534" s="77" t="str">
        <f>IF(Main[[#This Row],[Tech Start Date]]&lt;1/1/1990,"",IF(Main[[#This Row],[Class]]="C",WORKDAY(Main[[#This Row],[Tech Start Date]],28),IF(Main[[#This Row],[Class]]="B", WORKDAY(Main[[#This Row],[Tech Start Date]],19),IF(Main[[#This Row],[Class]]="A",WORKDAY(Main[[#This Row],[Tech Start Date]],9),""))))</f>
        <v/>
      </c>
      <c r="Q534" s="74">
        <v>40405</v>
      </c>
      <c r="R534" s="74"/>
      <c r="S534" s="72" t="s">
        <v>6</v>
      </c>
      <c r="T534" s="80" t="s">
        <v>4</v>
      </c>
      <c r="U534" s="72" t="s">
        <v>29</v>
      </c>
      <c r="V534" s="72" t="s">
        <v>1932</v>
      </c>
      <c r="W534" s="72" t="s">
        <v>1940</v>
      </c>
      <c r="X534" s="72" t="s">
        <v>2074</v>
      </c>
      <c r="Y534" s="72" t="s">
        <v>3059</v>
      </c>
      <c r="Z534" s="72" t="s">
        <v>129</v>
      </c>
      <c r="AA534" s="147" t="s">
        <v>2074</v>
      </c>
    </row>
    <row r="535" spans="1:27" ht="18.600000000000001" customHeight="1">
      <c r="A535" s="140" t="str">
        <f>IF(priority(Main[[#This Row],[Comments]])&lt;&gt;0, priority(Main[[#This Row],[Comments]]),"")</f>
        <v/>
      </c>
      <c r="B535" s="90" t="s">
        <v>1392</v>
      </c>
      <c r="C535" s="72" t="s">
        <v>138</v>
      </c>
      <c r="D535" s="73" t="s">
        <v>137</v>
      </c>
      <c r="E535" s="74"/>
      <c r="F535" s="74">
        <v>40787</v>
      </c>
      <c r="G535" s="75" t="str">
        <f>IF(stdProdLT(Main[[#This Row],[Comments]])=0.1,"N/A",IF(stdProdLT(Main[[#This Row],[Comments]])=0,"",stdProdLT(Main[[#This Row],[Comments]])))</f>
        <v/>
      </c>
      <c r="H535" s="76" t="str">
        <f>IF(AND(Main[[#This Row],[In Stock Date]]&lt;&gt;"",Main[[#This Row],[Revised Due Date]]&lt;&gt;""),Main[[#This Row],[In Stock Date]]-Main[[#This Row],[Revised Due Date]],"")</f>
        <v/>
      </c>
      <c r="I535" s="72" t="s">
        <v>4</v>
      </c>
      <c r="J535" s="72" t="s">
        <v>4</v>
      </c>
      <c r="K535" s="72" t="s">
        <v>4</v>
      </c>
      <c r="L535" s="74"/>
      <c r="M535" s="77" t="str">
        <f>IF(Main[[#This Row],[Tech Start Date]]&lt;1/1/1990,"",IF(Main[[#This Row],[Class]]="C",WORKDAY(Main[[#This Row],[Tech Start Date]],9),IF(Main[[#This Row],[Class]]="B", WORKDAY(Main[[#This Row],[Tech Start Date]],6),IF(Main[[#This Row],[Class]]="A",WORKDAY(Main[[#This Row],[Tech Start Date]],2),""))))</f>
        <v/>
      </c>
      <c r="N535" s="77" t="str">
        <f>IF(Main[[#This Row],[Tech Start Date]]&lt;1/1/1990,"",IF(Main[[#This Row],[Class]]="C",WORKDAY(Main[[#This Row],[Tech Start Date]],19),IF(Main[[#This Row],[Class]]="B", WORKDAY(Main[[#This Row],[Tech Start Date]],12),IF(Main[[#This Row],[Class]]="A",WORKDAY(Main[[#This Row],[Tech Start Date]],4),""))))</f>
        <v/>
      </c>
      <c r="O535" s="77" t="str">
        <f>IF(Main[[#This Row],[Tech Start Date]]&lt;1/1/1990,"",IF(Main[[#This Row],[Class]]="C",WORKDAY(Main[[#This Row],[Tech Start Date]],23),IF(Main[[#This Row],[Class]]="B", WORKDAY(Main[[#This Row],[Tech Start Date]],15),IF(Main[[#This Row],[Class]]="A",WORKDAY(Main[[#This Row],[Tech Start Date]],5),""))))</f>
        <v/>
      </c>
      <c r="P535" s="77" t="str">
        <f>IF(Main[[#This Row],[Tech Start Date]]&lt;1/1/1990,"",IF(Main[[#This Row],[Class]]="C",WORKDAY(Main[[#This Row],[Tech Start Date]],28),IF(Main[[#This Row],[Class]]="B", WORKDAY(Main[[#This Row],[Tech Start Date]],19),IF(Main[[#This Row],[Class]]="A",WORKDAY(Main[[#This Row],[Tech Start Date]],9),""))))</f>
        <v/>
      </c>
      <c r="Q535" s="74"/>
      <c r="R535" s="74"/>
      <c r="S535" s="72" t="s">
        <v>11</v>
      </c>
      <c r="T535" s="80" t="s">
        <v>4</v>
      </c>
      <c r="U535" s="72" t="s">
        <v>14</v>
      </c>
      <c r="V535" s="72" t="s">
        <v>1932</v>
      </c>
      <c r="W535" s="72" t="s">
        <v>1938</v>
      </c>
      <c r="X535" s="72" t="s">
        <v>50</v>
      </c>
      <c r="Y535" s="72" t="s">
        <v>3125</v>
      </c>
      <c r="Z535" s="72" t="s">
        <v>4</v>
      </c>
      <c r="AA535" s="147" t="s">
        <v>2923</v>
      </c>
    </row>
    <row r="536" spans="1:27" ht="18.600000000000001" customHeight="1">
      <c r="A536" s="140" t="str">
        <f>IF(priority(Main[[#This Row],[Comments]])&lt;&gt;0, priority(Main[[#This Row],[Comments]]),"")</f>
        <v/>
      </c>
      <c r="B536" s="90" t="s">
        <v>1393</v>
      </c>
      <c r="C536" s="72" t="s">
        <v>4</v>
      </c>
      <c r="D536" s="73" t="s">
        <v>474</v>
      </c>
      <c r="E536" s="74">
        <v>40704.209918981483</v>
      </c>
      <c r="F536" s="74"/>
      <c r="G536" s="75" t="str">
        <f>IF(stdProdLT(Main[[#This Row],[Comments]])=0.1,"N/A",IF(stdProdLT(Main[[#This Row],[Comments]])=0,"",stdProdLT(Main[[#This Row],[Comments]])))</f>
        <v/>
      </c>
      <c r="H536" s="76" t="str">
        <f>IF(AND(Main[[#This Row],[In Stock Date]]&lt;&gt;"",Main[[#This Row],[Revised Due Date]]&lt;&gt;""),Main[[#This Row],[In Stock Date]]-Main[[#This Row],[Revised Due Date]],"")</f>
        <v/>
      </c>
      <c r="I536" s="72" t="s">
        <v>4</v>
      </c>
      <c r="J536" s="72" t="s">
        <v>4</v>
      </c>
      <c r="K536" s="72" t="s">
        <v>4</v>
      </c>
      <c r="L536" s="74"/>
      <c r="M536" s="77" t="str">
        <f>IF(Main[[#This Row],[Tech Start Date]]&lt;1/1/1990,"",IF(Main[[#This Row],[Class]]="C",WORKDAY(Main[[#This Row],[Tech Start Date]],9),IF(Main[[#This Row],[Class]]="B", WORKDAY(Main[[#This Row],[Tech Start Date]],6),IF(Main[[#This Row],[Class]]="A",WORKDAY(Main[[#This Row],[Tech Start Date]],2),""))))</f>
        <v/>
      </c>
      <c r="N536" s="77" t="str">
        <f>IF(Main[[#This Row],[Tech Start Date]]&lt;1/1/1990,"",IF(Main[[#This Row],[Class]]="C",WORKDAY(Main[[#This Row],[Tech Start Date]],19),IF(Main[[#This Row],[Class]]="B", WORKDAY(Main[[#This Row],[Tech Start Date]],12),IF(Main[[#This Row],[Class]]="A",WORKDAY(Main[[#This Row],[Tech Start Date]],4),""))))</f>
        <v/>
      </c>
      <c r="O536" s="77" t="str">
        <f>IF(Main[[#This Row],[Tech Start Date]]&lt;1/1/1990,"",IF(Main[[#This Row],[Class]]="C",WORKDAY(Main[[#This Row],[Tech Start Date]],23),IF(Main[[#This Row],[Class]]="B", WORKDAY(Main[[#This Row],[Tech Start Date]],15),IF(Main[[#This Row],[Class]]="A",WORKDAY(Main[[#This Row],[Tech Start Date]],5),""))))</f>
        <v/>
      </c>
      <c r="P536" s="77" t="str">
        <f>IF(Main[[#This Row],[Tech Start Date]]&lt;1/1/1990,"",IF(Main[[#This Row],[Class]]="C",WORKDAY(Main[[#This Row],[Tech Start Date]],28),IF(Main[[#This Row],[Class]]="B", WORKDAY(Main[[#This Row],[Tech Start Date]],19),IF(Main[[#This Row],[Class]]="A",WORKDAY(Main[[#This Row],[Tech Start Date]],9),""))))</f>
        <v/>
      </c>
      <c r="Q536" s="74">
        <v>40725</v>
      </c>
      <c r="R536" s="74"/>
      <c r="S536" s="72" t="s">
        <v>6</v>
      </c>
      <c r="T536" s="80" t="s">
        <v>4</v>
      </c>
      <c r="U536" s="72" t="s">
        <v>7</v>
      </c>
      <c r="V536" s="72" t="s">
        <v>1932</v>
      </c>
      <c r="W536" s="72" t="s">
        <v>4</v>
      </c>
      <c r="X536" s="72" t="s">
        <v>2935</v>
      </c>
      <c r="Y536" s="72" t="s">
        <v>3073</v>
      </c>
      <c r="Z536" s="72" t="s">
        <v>4</v>
      </c>
      <c r="AA536" s="147" t="s">
        <v>2935</v>
      </c>
    </row>
    <row r="537" spans="1:27" ht="18.600000000000001" customHeight="1">
      <c r="A537" s="140" t="str">
        <f>IF(priority(Main[[#This Row],[Comments]])&lt;&gt;0, priority(Main[[#This Row],[Comments]]),"")</f>
        <v/>
      </c>
      <c r="B537" s="90" t="s">
        <v>1394</v>
      </c>
      <c r="C537" s="72" t="s">
        <v>31</v>
      </c>
      <c r="D537" s="73" t="s">
        <v>475</v>
      </c>
      <c r="E537" s="74"/>
      <c r="F537" s="74">
        <v>40230</v>
      </c>
      <c r="G537" s="75" t="str">
        <f>IF(stdProdLT(Main[[#This Row],[Comments]])=0.1,"N/A",IF(stdProdLT(Main[[#This Row],[Comments]])=0,"",stdProdLT(Main[[#This Row],[Comments]])))</f>
        <v/>
      </c>
      <c r="H537" s="76" t="str">
        <f>IF(AND(Main[[#This Row],[In Stock Date]]&lt;&gt;"",Main[[#This Row],[Revised Due Date]]&lt;&gt;""),Main[[#This Row],[In Stock Date]]-Main[[#This Row],[Revised Due Date]],"")</f>
        <v/>
      </c>
      <c r="I537" s="72" t="s">
        <v>4</v>
      </c>
      <c r="J537" s="72" t="s">
        <v>4</v>
      </c>
      <c r="K537" s="72" t="s">
        <v>4</v>
      </c>
      <c r="L537" s="74"/>
      <c r="M537" s="77" t="str">
        <f>IF(Main[[#This Row],[Tech Start Date]]&lt;1/1/1990,"",IF(Main[[#This Row],[Class]]="C",WORKDAY(Main[[#This Row],[Tech Start Date]],9),IF(Main[[#This Row],[Class]]="B", WORKDAY(Main[[#This Row],[Tech Start Date]],6),IF(Main[[#This Row],[Class]]="A",WORKDAY(Main[[#This Row],[Tech Start Date]],2),""))))</f>
        <v/>
      </c>
      <c r="N537" s="77" t="str">
        <f>IF(Main[[#This Row],[Tech Start Date]]&lt;1/1/1990,"",IF(Main[[#This Row],[Class]]="C",WORKDAY(Main[[#This Row],[Tech Start Date]],19),IF(Main[[#This Row],[Class]]="B", WORKDAY(Main[[#This Row],[Tech Start Date]],12),IF(Main[[#This Row],[Class]]="A",WORKDAY(Main[[#This Row],[Tech Start Date]],4),""))))</f>
        <v/>
      </c>
      <c r="O537" s="77" t="str">
        <f>IF(Main[[#This Row],[Tech Start Date]]&lt;1/1/1990,"",IF(Main[[#This Row],[Class]]="C",WORKDAY(Main[[#This Row],[Tech Start Date]],23),IF(Main[[#This Row],[Class]]="B", WORKDAY(Main[[#This Row],[Tech Start Date]],15),IF(Main[[#This Row],[Class]]="A",WORKDAY(Main[[#This Row],[Tech Start Date]],5),""))))</f>
        <v/>
      </c>
      <c r="P537" s="77" t="str">
        <f>IF(Main[[#This Row],[Tech Start Date]]&lt;1/1/1990,"",IF(Main[[#This Row],[Class]]="C",WORKDAY(Main[[#This Row],[Tech Start Date]],28),IF(Main[[#This Row],[Class]]="B", WORKDAY(Main[[#This Row],[Tech Start Date]],19),IF(Main[[#This Row],[Class]]="A",WORKDAY(Main[[#This Row],[Tech Start Date]],9),""))))</f>
        <v/>
      </c>
      <c r="Q537" s="74">
        <v>40235</v>
      </c>
      <c r="R537" s="74"/>
      <c r="S537" s="72" t="s">
        <v>11</v>
      </c>
      <c r="T537" s="80" t="s">
        <v>4</v>
      </c>
      <c r="U537" s="72" t="s">
        <v>14</v>
      </c>
      <c r="V537" s="72" t="s">
        <v>1933</v>
      </c>
      <c r="W537" s="72" t="s">
        <v>1940</v>
      </c>
      <c r="X537" s="72" t="s">
        <v>2919</v>
      </c>
      <c r="Y537" s="72" t="s">
        <v>4</v>
      </c>
      <c r="Z537" s="72" t="s">
        <v>4</v>
      </c>
      <c r="AA537" s="147" t="s">
        <v>2919</v>
      </c>
    </row>
    <row r="538" spans="1:27" ht="18.600000000000001" customHeight="1">
      <c r="A538" s="140" t="str">
        <f>IF(priority(Main[[#This Row],[Comments]])&lt;&gt;0, priority(Main[[#This Row],[Comments]]),"")</f>
        <v/>
      </c>
      <c r="B538" s="90" t="s">
        <v>1396</v>
      </c>
      <c r="C538" s="72" t="s">
        <v>476</v>
      </c>
      <c r="D538" s="73" t="s">
        <v>477</v>
      </c>
      <c r="E538" s="74"/>
      <c r="F538" s="74">
        <v>40450</v>
      </c>
      <c r="G538" s="75" t="str">
        <f>IF(stdProdLT(Main[[#This Row],[Comments]])=0.1,"N/A",IF(stdProdLT(Main[[#This Row],[Comments]])=0,"",stdProdLT(Main[[#This Row],[Comments]])))</f>
        <v/>
      </c>
      <c r="H538" s="76" t="str">
        <f>IF(AND(Main[[#This Row],[In Stock Date]]&lt;&gt;"",Main[[#This Row],[Revised Due Date]]&lt;&gt;""),Main[[#This Row],[In Stock Date]]-Main[[#This Row],[Revised Due Date]],"")</f>
        <v/>
      </c>
      <c r="I538" s="72" t="s">
        <v>4</v>
      </c>
      <c r="J538" s="72" t="s">
        <v>4</v>
      </c>
      <c r="K538" s="81" t="s">
        <v>4</v>
      </c>
      <c r="L538" s="74"/>
      <c r="M538" s="77" t="str">
        <f>IF(Main[[#This Row],[Tech Start Date]]&lt;1/1/1990,"",IF(Main[[#This Row],[Class]]="C",WORKDAY(Main[[#This Row],[Tech Start Date]],9),IF(Main[[#This Row],[Class]]="B", WORKDAY(Main[[#This Row],[Tech Start Date]],6),IF(Main[[#This Row],[Class]]="A",WORKDAY(Main[[#This Row],[Tech Start Date]],2),""))))</f>
        <v/>
      </c>
      <c r="N538" s="77" t="str">
        <f>IF(Main[[#This Row],[Tech Start Date]]&lt;1/1/1990,"",IF(Main[[#This Row],[Class]]="C",WORKDAY(Main[[#This Row],[Tech Start Date]],19),IF(Main[[#This Row],[Class]]="B", WORKDAY(Main[[#This Row],[Tech Start Date]],12),IF(Main[[#This Row],[Class]]="A",WORKDAY(Main[[#This Row],[Tech Start Date]],4),""))))</f>
        <v/>
      </c>
      <c r="O538" s="77" t="str">
        <f>IF(Main[[#This Row],[Tech Start Date]]&lt;1/1/1990,"",IF(Main[[#This Row],[Class]]="C",WORKDAY(Main[[#This Row],[Tech Start Date]],23),IF(Main[[#This Row],[Class]]="B", WORKDAY(Main[[#This Row],[Tech Start Date]],15),IF(Main[[#This Row],[Class]]="A",WORKDAY(Main[[#This Row],[Tech Start Date]],5),""))))</f>
        <v/>
      </c>
      <c r="P538" s="77" t="str">
        <f>IF(Main[[#This Row],[Tech Start Date]]&lt;1/1/1990,"",IF(Main[[#This Row],[Class]]="C",WORKDAY(Main[[#This Row],[Tech Start Date]],28),IF(Main[[#This Row],[Class]]="B", WORKDAY(Main[[#This Row],[Tech Start Date]],19),IF(Main[[#This Row],[Class]]="A",WORKDAY(Main[[#This Row],[Tech Start Date]],9),""))))</f>
        <v/>
      </c>
      <c r="Q538" s="74">
        <v>40421</v>
      </c>
      <c r="R538" s="74"/>
      <c r="S538" s="72" t="s">
        <v>11</v>
      </c>
      <c r="T538" s="80" t="s">
        <v>4</v>
      </c>
      <c r="U538" s="72" t="s">
        <v>14</v>
      </c>
      <c r="V538" s="72" t="s">
        <v>1935</v>
      </c>
      <c r="W538" s="72" t="s">
        <v>1937</v>
      </c>
      <c r="X538" s="72" t="s">
        <v>2940</v>
      </c>
      <c r="Y538" s="72" t="s">
        <v>3084</v>
      </c>
      <c r="Z538" s="72" t="s">
        <v>4</v>
      </c>
      <c r="AA538" s="147" t="s">
        <v>2940</v>
      </c>
    </row>
    <row r="539" spans="1:27" ht="18.600000000000001" customHeight="1">
      <c r="A539" s="140" t="str">
        <f>IF(priority(Main[[#This Row],[Comments]])&lt;&gt;0, priority(Main[[#This Row],[Comments]]),"")</f>
        <v/>
      </c>
      <c r="B539" s="90" t="s">
        <v>3496</v>
      </c>
      <c r="C539" s="72" t="s">
        <v>4</v>
      </c>
      <c r="D539" s="73" t="s">
        <v>3497</v>
      </c>
      <c r="E539" s="74">
        <v>40939.633171296293</v>
      </c>
      <c r="F539" s="74"/>
      <c r="G539" s="75" t="str">
        <f>IF(stdProdLT(Main[[#This Row],[Comments]])=0.1,"N/A",IF(stdProdLT(Main[[#This Row],[Comments]])=0,"",stdProdLT(Main[[#This Row],[Comments]])))</f>
        <v/>
      </c>
      <c r="H539" s="76" t="str">
        <f>IF(AND(Main[[#This Row],[In Stock Date]]&lt;&gt;"",Main[[#This Row],[Revised Due Date]]&lt;&gt;""),Main[[#This Row],[In Stock Date]]-Main[[#This Row],[Revised Due Date]],"")</f>
        <v/>
      </c>
      <c r="I539" s="72" t="s">
        <v>4</v>
      </c>
      <c r="J539" s="72" t="s">
        <v>4</v>
      </c>
      <c r="K539" s="72" t="s">
        <v>4</v>
      </c>
      <c r="L539" s="74"/>
      <c r="M539" s="77" t="str">
        <f>IF(Main[[#This Row],[Tech Start Date]]&lt;1/1/1990,"",IF(Main[[#This Row],[Class]]="C",WORKDAY(Main[[#This Row],[Tech Start Date]],9),IF(Main[[#This Row],[Class]]="B", WORKDAY(Main[[#This Row],[Tech Start Date]],6),IF(Main[[#This Row],[Class]]="A",WORKDAY(Main[[#This Row],[Tech Start Date]],2),""))))</f>
        <v/>
      </c>
      <c r="N539" s="77" t="str">
        <f>IF(Main[[#This Row],[Tech Start Date]]&lt;1/1/1990,"",IF(Main[[#This Row],[Class]]="C",WORKDAY(Main[[#This Row],[Tech Start Date]],19),IF(Main[[#This Row],[Class]]="B", WORKDAY(Main[[#This Row],[Tech Start Date]],12),IF(Main[[#This Row],[Class]]="A",WORKDAY(Main[[#This Row],[Tech Start Date]],4),""))))</f>
        <v/>
      </c>
      <c r="O539" s="77" t="str">
        <f>IF(Main[[#This Row],[Tech Start Date]]&lt;1/1/1990,"",IF(Main[[#This Row],[Class]]="C",WORKDAY(Main[[#This Row],[Tech Start Date]],23),IF(Main[[#This Row],[Class]]="B", WORKDAY(Main[[#This Row],[Tech Start Date]],15),IF(Main[[#This Row],[Class]]="A",WORKDAY(Main[[#This Row],[Tech Start Date]],5),""))))</f>
        <v/>
      </c>
      <c r="P539" s="77" t="str">
        <f>IF(Main[[#This Row],[Tech Start Date]]&lt;1/1/1990,"",IF(Main[[#This Row],[Class]]="C",WORKDAY(Main[[#This Row],[Tech Start Date]],28),IF(Main[[#This Row],[Class]]="B", WORKDAY(Main[[#This Row],[Tech Start Date]],19),IF(Main[[#This Row],[Class]]="A",WORKDAY(Main[[#This Row],[Tech Start Date]],9),""))))</f>
        <v/>
      </c>
      <c r="Q539" s="74"/>
      <c r="R539" s="74"/>
      <c r="S539" s="72" t="s">
        <v>6</v>
      </c>
      <c r="T539" s="80" t="s">
        <v>4</v>
      </c>
      <c r="U539" s="72" t="s">
        <v>7</v>
      </c>
      <c r="V539" s="72" t="s">
        <v>1932</v>
      </c>
      <c r="W539" s="72" t="s">
        <v>1936</v>
      </c>
      <c r="X539" s="72" t="s">
        <v>310</v>
      </c>
      <c r="Y539" s="72" t="s">
        <v>4</v>
      </c>
      <c r="Z539" s="72" t="s">
        <v>4</v>
      </c>
      <c r="AA539" s="147" t="s">
        <v>4</v>
      </c>
    </row>
    <row r="540" spans="1:27" ht="18.600000000000001" customHeight="1">
      <c r="A540" s="140" t="str">
        <f>IF(priority(Main[[#This Row],[Comments]])&lt;&gt;0, priority(Main[[#This Row],[Comments]]),"")</f>
        <v/>
      </c>
      <c r="B540" s="90" t="s">
        <v>3498</v>
      </c>
      <c r="C540" s="72" t="s">
        <v>4</v>
      </c>
      <c r="D540" s="73" t="s">
        <v>3499</v>
      </c>
      <c r="E540" s="74">
        <v>40939.634004629632</v>
      </c>
      <c r="F540" s="74"/>
      <c r="G540" s="75" t="str">
        <f>IF(stdProdLT(Main[[#This Row],[Comments]])=0.1,"N/A",IF(stdProdLT(Main[[#This Row],[Comments]])=0,"",stdProdLT(Main[[#This Row],[Comments]])))</f>
        <v/>
      </c>
      <c r="H540" s="76" t="str">
        <f>IF(AND(Main[[#This Row],[In Stock Date]]&lt;&gt;"",Main[[#This Row],[Revised Due Date]]&lt;&gt;""),Main[[#This Row],[In Stock Date]]-Main[[#This Row],[Revised Due Date]],"")</f>
        <v/>
      </c>
      <c r="I540" s="72" t="s">
        <v>4</v>
      </c>
      <c r="J540" s="72" t="s">
        <v>4</v>
      </c>
      <c r="K540" s="72" t="s">
        <v>4</v>
      </c>
      <c r="L540" s="74"/>
      <c r="M540" s="77" t="str">
        <f>IF(Main[[#This Row],[Tech Start Date]]&lt;1/1/1990,"",IF(Main[[#This Row],[Class]]="C",WORKDAY(Main[[#This Row],[Tech Start Date]],9),IF(Main[[#This Row],[Class]]="B", WORKDAY(Main[[#This Row],[Tech Start Date]],6),IF(Main[[#This Row],[Class]]="A",WORKDAY(Main[[#This Row],[Tech Start Date]],2),""))))</f>
        <v/>
      </c>
      <c r="N540" s="77" t="str">
        <f>IF(Main[[#This Row],[Tech Start Date]]&lt;1/1/1990,"",IF(Main[[#This Row],[Class]]="C",WORKDAY(Main[[#This Row],[Tech Start Date]],19),IF(Main[[#This Row],[Class]]="B", WORKDAY(Main[[#This Row],[Tech Start Date]],12),IF(Main[[#This Row],[Class]]="A",WORKDAY(Main[[#This Row],[Tech Start Date]],4),""))))</f>
        <v/>
      </c>
      <c r="O540" s="77" t="str">
        <f>IF(Main[[#This Row],[Tech Start Date]]&lt;1/1/1990,"",IF(Main[[#This Row],[Class]]="C",WORKDAY(Main[[#This Row],[Tech Start Date]],23),IF(Main[[#This Row],[Class]]="B", WORKDAY(Main[[#This Row],[Tech Start Date]],15),IF(Main[[#This Row],[Class]]="A",WORKDAY(Main[[#This Row],[Tech Start Date]],5),""))))</f>
        <v/>
      </c>
      <c r="P540" s="77" t="str">
        <f>IF(Main[[#This Row],[Tech Start Date]]&lt;1/1/1990,"",IF(Main[[#This Row],[Class]]="C",WORKDAY(Main[[#This Row],[Tech Start Date]],28),IF(Main[[#This Row],[Class]]="B", WORKDAY(Main[[#This Row],[Tech Start Date]],19),IF(Main[[#This Row],[Class]]="A",WORKDAY(Main[[#This Row],[Tech Start Date]],9),""))))</f>
        <v/>
      </c>
      <c r="Q540" s="74"/>
      <c r="R540" s="74"/>
      <c r="S540" s="72" t="s">
        <v>6</v>
      </c>
      <c r="T540" s="80" t="s">
        <v>4</v>
      </c>
      <c r="U540" s="72" t="s">
        <v>7</v>
      </c>
      <c r="V540" s="72" t="s">
        <v>1932</v>
      </c>
      <c r="W540" s="72" t="s">
        <v>1934</v>
      </c>
      <c r="X540" s="72" t="s">
        <v>310</v>
      </c>
      <c r="Y540" s="72" t="s">
        <v>4</v>
      </c>
      <c r="Z540" s="72" t="s">
        <v>888</v>
      </c>
      <c r="AA540" s="147" t="s">
        <v>4</v>
      </c>
    </row>
    <row r="541" spans="1:27" ht="18.600000000000001" customHeight="1">
      <c r="A541" s="140" t="str">
        <f>IF(priority(Main[[#This Row],[Comments]])&lt;&gt;0, priority(Main[[#This Row],[Comments]]),"")</f>
        <v/>
      </c>
      <c r="B541" s="90" t="s">
        <v>1398</v>
      </c>
      <c r="C541" s="72" t="s">
        <v>31</v>
      </c>
      <c r="D541" s="73" t="s">
        <v>478</v>
      </c>
      <c r="E541" s="74"/>
      <c r="F541" s="74"/>
      <c r="G541" s="75" t="str">
        <f>IF(stdProdLT(Main[[#This Row],[Comments]])=0.1,"N/A",IF(stdProdLT(Main[[#This Row],[Comments]])=0,"",stdProdLT(Main[[#This Row],[Comments]])))</f>
        <v/>
      </c>
      <c r="H541" s="76" t="str">
        <f>IF(AND(Main[[#This Row],[In Stock Date]]&lt;&gt;"",Main[[#This Row],[Revised Due Date]]&lt;&gt;""),Main[[#This Row],[In Stock Date]]-Main[[#This Row],[Revised Due Date]],"")</f>
        <v/>
      </c>
      <c r="I541" s="72" t="s">
        <v>4</v>
      </c>
      <c r="J541" s="72" t="s">
        <v>4</v>
      </c>
      <c r="K541" s="72" t="s">
        <v>4</v>
      </c>
      <c r="L541" s="74"/>
      <c r="M541" s="77" t="str">
        <f>IF(Main[[#This Row],[Tech Start Date]]&lt;1/1/1990,"",IF(Main[[#This Row],[Class]]="C",WORKDAY(Main[[#This Row],[Tech Start Date]],9),IF(Main[[#This Row],[Class]]="B", WORKDAY(Main[[#This Row],[Tech Start Date]],6),IF(Main[[#This Row],[Class]]="A",WORKDAY(Main[[#This Row],[Tech Start Date]],2),""))))</f>
        <v/>
      </c>
      <c r="N541" s="77" t="str">
        <f>IF(Main[[#This Row],[Tech Start Date]]&lt;1/1/1990,"",IF(Main[[#This Row],[Class]]="C",WORKDAY(Main[[#This Row],[Tech Start Date]],19),IF(Main[[#This Row],[Class]]="B", WORKDAY(Main[[#This Row],[Tech Start Date]],12),IF(Main[[#This Row],[Class]]="A",WORKDAY(Main[[#This Row],[Tech Start Date]],4),""))))</f>
        <v/>
      </c>
      <c r="O541" s="77" t="str">
        <f>IF(Main[[#This Row],[Tech Start Date]]&lt;1/1/1990,"",IF(Main[[#This Row],[Class]]="C",WORKDAY(Main[[#This Row],[Tech Start Date]],23),IF(Main[[#This Row],[Class]]="B", WORKDAY(Main[[#This Row],[Tech Start Date]],15),IF(Main[[#This Row],[Class]]="A",WORKDAY(Main[[#This Row],[Tech Start Date]],5),""))))</f>
        <v/>
      </c>
      <c r="P541" s="77" t="str">
        <f>IF(Main[[#This Row],[Tech Start Date]]&lt;1/1/1990,"",IF(Main[[#This Row],[Class]]="C",WORKDAY(Main[[#This Row],[Tech Start Date]],28),IF(Main[[#This Row],[Class]]="B", WORKDAY(Main[[#This Row],[Tech Start Date]],19),IF(Main[[#This Row],[Class]]="A",WORKDAY(Main[[#This Row],[Tech Start Date]],9),""))))</f>
        <v/>
      </c>
      <c r="Q541" s="74">
        <v>40318</v>
      </c>
      <c r="R541" s="74"/>
      <c r="S541" s="72" t="s">
        <v>11</v>
      </c>
      <c r="T541" s="80" t="s">
        <v>4</v>
      </c>
      <c r="U541" s="72" t="s">
        <v>14</v>
      </c>
      <c r="V541" s="72" t="s">
        <v>1935</v>
      </c>
      <c r="W541" s="72" t="s">
        <v>1934</v>
      </c>
      <c r="X541" s="72" t="s">
        <v>2914</v>
      </c>
      <c r="Y541" s="72" t="s">
        <v>4</v>
      </c>
      <c r="Z541" s="72" t="s">
        <v>4</v>
      </c>
      <c r="AA541" s="147" t="s">
        <v>2914</v>
      </c>
    </row>
    <row r="542" spans="1:27" ht="18.600000000000001" customHeight="1">
      <c r="A542" s="140" t="str">
        <f>IF(priority(Main[[#This Row],[Comments]])&lt;&gt;0, priority(Main[[#This Row],[Comments]]),"")</f>
        <v/>
      </c>
      <c r="B542" s="90" t="s">
        <v>1400</v>
      </c>
      <c r="C542" s="72" t="s">
        <v>4</v>
      </c>
      <c r="D542" s="73" t="s">
        <v>479</v>
      </c>
      <c r="E542" s="74">
        <v>40679.254976851851</v>
      </c>
      <c r="F542" s="74"/>
      <c r="G542" s="75" t="str">
        <f>IF(stdProdLT(Main[[#This Row],[Comments]])=0.1,"N/A",IF(stdProdLT(Main[[#This Row],[Comments]])=0,"",stdProdLT(Main[[#This Row],[Comments]])))</f>
        <v/>
      </c>
      <c r="H542" s="76" t="str">
        <f>IF(AND(Main[[#This Row],[In Stock Date]]&lt;&gt;"",Main[[#This Row],[Revised Due Date]]&lt;&gt;""),Main[[#This Row],[In Stock Date]]-Main[[#This Row],[Revised Due Date]],"")</f>
        <v/>
      </c>
      <c r="I542" s="72" t="s">
        <v>4</v>
      </c>
      <c r="J542" s="72" t="s">
        <v>4</v>
      </c>
      <c r="K542" s="72" t="s">
        <v>4</v>
      </c>
      <c r="L542" s="74"/>
      <c r="M542" s="77" t="str">
        <f>IF(Main[[#This Row],[Tech Start Date]]&lt;1/1/1990,"",IF(Main[[#This Row],[Class]]="C",WORKDAY(Main[[#This Row],[Tech Start Date]],9),IF(Main[[#This Row],[Class]]="B", WORKDAY(Main[[#This Row],[Tech Start Date]],6),IF(Main[[#This Row],[Class]]="A",WORKDAY(Main[[#This Row],[Tech Start Date]],2),""))))</f>
        <v/>
      </c>
      <c r="N542" s="77" t="str">
        <f>IF(Main[[#This Row],[Tech Start Date]]&lt;1/1/1990,"",IF(Main[[#This Row],[Class]]="C",WORKDAY(Main[[#This Row],[Tech Start Date]],19),IF(Main[[#This Row],[Class]]="B", WORKDAY(Main[[#This Row],[Tech Start Date]],12),IF(Main[[#This Row],[Class]]="A",WORKDAY(Main[[#This Row],[Tech Start Date]],4),""))))</f>
        <v/>
      </c>
      <c r="O542" s="77" t="str">
        <f>IF(Main[[#This Row],[Tech Start Date]]&lt;1/1/1990,"",IF(Main[[#This Row],[Class]]="C",WORKDAY(Main[[#This Row],[Tech Start Date]],23),IF(Main[[#This Row],[Class]]="B", WORKDAY(Main[[#This Row],[Tech Start Date]],15),IF(Main[[#This Row],[Class]]="A",WORKDAY(Main[[#This Row],[Tech Start Date]],5),""))))</f>
        <v/>
      </c>
      <c r="P542" s="77" t="str">
        <f>IF(Main[[#This Row],[Tech Start Date]]&lt;1/1/1990,"",IF(Main[[#This Row],[Class]]="C",WORKDAY(Main[[#This Row],[Tech Start Date]],28),IF(Main[[#This Row],[Class]]="B", WORKDAY(Main[[#This Row],[Tech Start Date]],19),IF(Main[[#This Row],[Class]]="A",WORKDAY(Main[[#This Row],[Tech Start Date]],9),""))))</f>
        <v/>
      </c>
      <c r="Q542" s="74">
        <v>40724</v>
      </c>
      <c r="R542" s="74"/>
      <c r="S542" s="72" t="s">
        <v>6</v>
      </c>
      <c r="T542" s="80" t="s">
        <v>4</v>
      </c>
      <c r="U542" s="72" t="s">
        <v>7</v>
      </c>
      <c r="V542" s="72" t="s">
        <v>1932</v>
      </c>
      <c r="W542" s="72" t="s">
        <v>4</v>
      </c>
      <c r="X542" s="72" t="s">
        <v>2906</v>
      </c>
      <c r="Y542" s="72" t="s">
        <v>3025</v>
      </c>
      <c r="Z542" s="72" t="s">
        <v>4</v>
      </c>
      <c r="AA542" s="147" t="s">
        <v>2906</v>
      </c>
    </row>
    <row r="543" spans="1:27" ht="18.600000000000001" customHeight="1">
      <c r="A543" s="140" t="str">
        <f>IF(priority(Main[[#This Row],[Comments]])&lt;&gt;0, priority(Main[[#This Row],[Comments]]),"")</f>
        <v/>
      </c>
      <c r="B543" s="90" t="s">
        <v>1401</v>
      </c>
      <c r="C543" s="72" t="s">
        <v>4</v>
      </c>
      <c r="D543" s="73" t="s">
        <v>480</v>
      </c>
      <c r="E543" s="74"/>
      <c r="F543" s="74"/>
      <c r="G543" s="75" t="str">
        <f>IF(stdProdLT(Main[[#This Row],[Comments]])=0.1,"N/A",IF(stdProdLT(Main[[#This Row],[Comments]])=0,"",stdProdLT(Main[[#This Row],[Comments]])))</f>
        <v/>
      </c>
      <c r="H543" s="76" t="str">
        <f>IF(AND(Main[[#This Row],[In Stock Date]]&lt;&gt;"",Main[[#This Row],[Revised Due Date]]&lt;&gt;""),Main[[#This Row],[In Stock Date]]-Main[[#This Row],[Revised Due Date]],"")</f>
        <v/>
      </c>
      <c r="I543" s="72" t="s">
        <v>129</v>
      </c>
      <c r="J543" s="72" t="s">
        <v>4</v>
      </c>
      <c r="K543" s="81" t="s">
        <v>4</v>
      </c>
      <c r="L543" s="74"/>
      <c r="M543" s="77" t="str">
        <f>IF(Main[[#This Row],[Tech Start Date]]&lt;1/1/1990,"",IF(Main[[#This Row],[Class]]="C",WORKDAY(Main[[#This Row],[Tech Start Date]],9),IF(Main[[#This Row],[Class]]="B", WORKDAY(Main[[#This Row],[Tech Start Date]],6),IF(Main[[#This Row],[Class]]="A",WORKDAY(Main[[#This Row],[Tech Start Date]],2),""))))</f>
        <v/>
      </c>
      <c r="N543" s="77" t="str">
        <f>IF(Main[[#This Row],[Tech Start Date]]&lt;1/1/1990,"",IF(Main[[#This Row],[Class]]="C",WORKDAY(Main[[#This Row],[Tech Start Date]],19),IF(Main[[#This Row],[Class]]="B", WORKDAY(Main[[#This Row],[Tech Start Date]],12),IF(Main[[#This Row],[Class]]="A",WORKDAY(Main[[#This Row],[Tech Start Date]],4),""))))</f>
        <v/>
      </c>
      <c r="O543" s="77" t="str">
        <f>IF(Main[[#This Row],[Tech Start Date]]&lt;1/1/1990,"",IF(Main[[#This Row],[Class]]="C",WORKDAY(Main[[#This Row],[Tech Start Date]],23),IF(Main[[#This Row],[Class]]="B", WORKDAY(Main[[#This Row],[Tech Start Date]],15),IF(Main[[#This Row],[Class]]="A",WORKDAY(Main[[#This Row],[Tech Start Date]],5),""))))</f>
        <v/>
      </c>
      <c r="P543" s="77" t="str">
        <f>IF(Main[[#This Row],[Tech Start Date]]&lt;1/1/1990,"",IF(Main[[#This Row],[Class]]="C",WORKDAY(Main[[#This Row],[Tech Start Date]],28),IF(Main[[#This Row],[Class]]="B", WORKDAY(Main[[#This Row],[Tech Start Date]],19),IF(Main[[#This Row],[Class]]="A",WORKDAY(Main[[#This Row],[Tech Start Date]],9),""))))</f>
        <v/>
      </c>
      <c r="Q543" s="74">
        <v>40359</v>
      </c>
      <c r="R543" s="74"/>
      <c r="S543" s="72" t="s">
        <v>6</v>
      </c>
      <c r="T543" s="80" t="s">
        <v>4</v>
      </c>
      <c r="U543" s="72" t="s">
        <v>14</v>
      </c>
      <c r="V543" s="72" t="s">
        <v>1932</v>
      </c>
      <c r="W543" s="72" t="s">
        <v>1937</v>
      </c>
      <c r="X543" s="72" t="s">
        <v>102</v>
      </c>
      <c r="Y543" s="72" t="s">
        <v>3126</v>
      </c>
      <c r="Z543" s="72" t="s">
        <v>4</v>
      </c>
      <c r="AA543" s="147" t="s">
        <v>2957</v>
      </c>
    </row>
    <row r="544" spans="1:27" ht="18.600000000000001" customHeight="1">
      <c r="A544" s="140" t="str">
        <f>IF(priority(Main[[#This Row],[Comments]])&lt;&gt;0, priority(Main[[#This Row],[Comments]]),"")</f>
        <v/>
      </c>
      <c r="B544" s="90" t="s">
        <v>1402</v>
      </c>
      <c r="C544" s="72" t="s">
        <v>4</v>
      </c>
      <c r="D544" s="73" t="s">
        <v>481</v>
      </c>
      <c r="E544" s="74"/>
      <c r="F544" s="74"/>
      <c r="G544" s="75" t="str">
        <f>IF(stdProdLT(Main[[#This Row],[Comments]])=0.1,"N/A",IF(stdProdLT(Main[[#This Row],[Comments]])=0,"",stdProdLT(Main[[#This Row],[Comments]])))</f>
        <v/>
      </c>
      <c r="H544" s="76" t="str">
        <f>IF(AND(Main[[#This Row],[In Stock Date]]&lt;&gt;"",Main[[#This Row],[Revised Due Date]]&lt;&gt;""),Main[[#This Row],[In Stock Date]]-Main[[#This Row],[Revised Due Date]],"")</f>
        <v/>
      </c>
      <c r="I544" s="72" t="s">
        <v>4</v>
      </c>
      <c r="J544" s="72" t="s">
        <v>4</v>
      </c>
      <c r="K544" s="72" t="s">
        <v>4</v>
      </c>
      <c r="L544" s="74"/>
      <c r="M544" s="77" t="str">
        <f>IF(Main[[#This Row],[Tech Start Date]]&lt;1/1/1990,"",IF(Main[[#This Row],[Class]]="C",WORKDAY(Main[[#This Row],[Tech Start Date]],9),IF(Main[[#This Row],[Class]]="B", WORKDAY(Main[[#This Row],[Tech Start Date]],6),IF(Main[[#This Row],[Class]]="A",WORKDAY(Main[[#This Row],[Tech Start Date]],2),""))))</f>
        <v/>
      </c>
      <c r="N544" s="77" t="str">
        <f>IF(Main[[#This Row],[Tech Start Date]]&lt;1/1/1990,"",IF(Main[[#This Row],[Class]]="C",WORKDAY(Main[[#This Row],[Tech Start Date]],19),IF(Main[[#This Row],[Class]]="B", WORKDAY(Main[[#This Row],[Tech Start Date]],12),IF(Main[[#This Row],[Class]]="A",WORKDAY(Main[[#This Row],[Tech Start Date]],4),""))))</f>
        <v/>
      </c>
      <c r="O544" s="77" t="str">
        <f>IF(Main[[#This Row],[Tech Start Date]]&lt;1/1/1990,"",IF(Main[[#This Row],[Class]]="C",WORKDAY(Main[[#This Row],[Tech Start Date]],23),IF(Main[[#This Row],[Class]]="B", WORKDAY(Main[[#This Row],[Tech Start Date]],15),IF(Main[[#This Row],[Class]]="A",WORKDAY(Main[[#This Row],[Tech Start Date]],5),""))))</f>
        <v/>
      </c>
      <c r="P544" s="77" t="str">
        <f>IF(Main[[#This Row],[Tech Start Date]]&lt;1/1/1990,"",IF(Main[[#This Row],[Class]]="C",WORKDAY(Main[[#This Row],[Tech Start Date]],28),IF(Main[[#This Row],[Class]]="B", WORKDAY(Main[[#This Row],[Tech Start Date]],19),IF(Main[[#This Row],[Class]]="A",WORKDAY(Main[[#This Row],[Tech Start Date]],9),""))))</f>
        <v/>
      </c>
      <c r="Q544" s="74">
        <v>40151</v>
      </c>
      <c r="R544" s="74"/>
      <c r="S544" s="72" t="s">
        <v>6</v>
      </c>
      <c r="T544" s="80" t="s">
        <v>4</v>
      </c>
      <c r="U544" s="72" t="s">
        <v>12</v>
      </c>
      <c r="V544" s="72" t="s">
        <v>1932</v>
      </c>
      <c r="W544" s="72" t="s">
        <v>1934</v>
      </c>
      <c r="X544" s="72" t="s">
        <v>905</v>
      </c>
      <c r="Y544" s="72" t="s">
        <v>3127</v>
      </c>
      <c r="Z544" s="72" t="s">
        <v>4</v>
      </c>
      <c r="AA544" s="147" t="s">
        <v>905</v>
      </c>
    </row>
    <row r="545" spans="1:27" ht="18.600000000000001" customHeight="1">
      <c r="A545" s="140" t="str">
        <f>IF(priority(Main[[#This Row],[Comments]])&lt;&gt;0, priority(Main[[#This Row],[Comments]]),"")</f>
        <v/>
      </c>
      <c r="B545" s="90" t="s">
        <v>2285</v>
      </c>
      <c r="C545" s="72" t="s">
        <v>95</v>
      </c>
      <c r="D545" s="73" t="s">
        <v>2286</v>
      </c>
      <c r="E545" s="74">
        <v>40806.589305555557</v>
      </c>
      <c r="F545" s="74"/>
      <c r="G545" s="75" t="str">
        <f>IF(stdProdLT(Main[[#This Row],[Comments]])=0.1,"N/A",IF(stdProdLT(Main[[#This Row],[Comments]])=0,"",stdProdLT(Main[[#This Row],[Comments]])))</f>
        <v/>
      </c>
      <c r="H545" s="76" t="str">
        <f>IF(AND(Main[[#This Row],[In Stock Date]]&lt;&gt;"",Main[[#This Row],[Revised Due Date]]&lt;&gt;""),Main[[#This Row],[In Stock Date]]-Main[[#This Row],[Revised Due Date]],"")</f>
        <v/>
      </c>
      <c r="I545" s="72" t="s">
        <v>4</v>
      </c>
      <c r="J545" s="72" t="s">
        <v>4</v>
      </c>
      <c r="K545" s="81" t="s">
        <v>4</v>
      </c>
      <c r="L545" s="74"/>
      <c r="M545" s="77" t="str">
        <f>IF(Main[[#This Row],[Tech Start Date]]&lt;1/1/1990,"",IF(Main[[#This Row],[Class]]="C",WORKDAY(Main[[#This Row],[Tech Start Date]],9),IF(Main[[#This Row],[Class]]="B", WORKDAY(Main[[#This Row],[Tech Start Date]],6),IF(Main[[#This Row],[Class]]="A",WORKDAY(Main[[#This Row],[Tech Start Date]],2),""))))</f>
        <v/>
      </c>
      <c r="N545" s="77" t="str">
        <f>IF(Main[[#This Row],[Tech Start Date]]&lt;1/1/1990,"",IF(Main[[#This Row],[Class]]="C",WORKDAY(Main[[#This Row],[Tech Start Date]],19),IF(Main[[#This Row],[Class]]="B", WORKDAY(Main[[#This Row],[Tech Start Date]],12),IF(Main[[#This Row],[Class]]="A",WORKDAY(Main[[#This Row],[Tech Start Date]],4),""))))</f>
        <v/>
      </c>
      <c r="O545" s="77" t="str">
        <f>IF(Main[[#This Row],[Tech Start Date]]&lt;1/1/1990,"",IF(Main[[#This Row],[Class]]="C",WORKDAY(Main[[#This Row],[Tech Start Date]],23),IF(Main[[#This Row],[Class]]="B", WORKDAY(Main[[#This Row],[Tech Start Date]],15),IF(Main[[#This Row],[Class]]="A",WORKDAY(Main[[#This Row],[Tech Start Date]],5),""))))</f>
        <v/>
      </c>
      <c r="P545" s="77" t="str">
        <f>IF(Main[[#This Row],[Tech Start Date]]&lt;1/1/1990,"",IF(Main[[#This Row],[Class]]="C",WORKDAY(Main[[#This Row],[Tech Start Date]],28),IF(Main[[#This Row],[Class]]="B", WORKDAY(Main[[#This Row],[Tech Start Date]],19),IF(Main[[#This Row],[Class]]="A",WORKDAY(Main[[#This Row],[Tech Start Date]],9),""))))</f>
        <v/>
      </c>
      <c r="Q545" s="74">
        <v>40823</v>
      </c>
      <c r="R545" s="74"/>
      <c r="S545" s="72" t="s">
        <v>17</v>
      </c>
      <c r="T545" s="80" t="s">
        <v>4</v>
      </c>
      <c r="U545" s="72" t="s">
        <v>7</v>
      </c>
      <c r="V545" s="72" t="s">
        <v>1933</v>
      </c>
      <c r="W545" s="72" t="s">
        <v>1937</v>
      </c>
      <c r="X545" s="72" t="s">
        <v>559</v>
      </c>
      <c r="Y545" s="72" t="s">
        <v>3039</v>
      </c>
      <c r="Z545" s="72" t="s">
        <v>4</v>
      </c>
      <c r="AA545" s="147" t="s">
        <v>559</v>
      </c>
    </row>
    <row r="546" spans="1:27" ht="18.600000000000001" customHeight="1">
      <c r="A546" s="140" t="str">
        <f>IF(priority(Main[[#This Row],[Comments]])&lt;&gt;0, priority(Main[[#This Row],[Comments]]),"")</f>
        <v/>
      </c>
      <c r="B546" s="90" t="s">
        <v>2247</v>
      </c>
      <c r="C546" s="72" t="s">
        <v>4</v>
      </c>
      <c r="D546" s="73" t="s">
        <v>2248</v>
      </c>
      <c r="E546" s="74"/>
      <c r="F546" s="74"/>
      <c r="G546" s="75" t="str">
        <f>IF(stdProdLT(Main[[#This Row],[Comments]])=0.1,"N/A",IF(stdProdLT(Main[[#This Row],[Comments]])=0,"",stdProdLT(Main[[#This Row],[Comments]])))</f>
        <v/>
      </c>
      <c r="H546" s="76" t="str">
        <f>IF(AND(Main[[#This Row],[In Stock Date]]&lt;&gt;"",Main[[#This Row],[Revised Due Date]]&lt;&gt;""),Main[[#This Row],[In Stock Date]]-Main[[#This Row],[Revised Due Date]],"")</f>
        <v/>
      </c>
      <c r="I546" s="72" t="s">
        <v>4</v>
      </c>
      <c r="J546" s="72" t="s">
        <v>4</v>
      </c>
      <c r="K546" s="81" t="s">
        <v>4</v>
      </c>
      <c r="L546" s="74"/>
      <c r="M546" s="77" t="str">
        <f>IF(Main[[#This Row],[Tech Start Date]]&lt;1/1/1990,"",IF(Main[[#This Row],[Class]]="C",WORKDAY(Main[[#This Row],[Tech Start Date]],9),IF(Main[[#This Row],[Class]]="B", WORKDAY(Main[[#This Row],[Tech Start Date]],6),IF(Main[[#This Row],[Class]]="A",WORKDAY(Main[[#This Row],[Tech Start Date]],2),""))))</f>
        <v/>
      </c>
      <c r="N546" s="77" t="str">
        <f>IF(Main[[#This Row],[Tech Start Date]]&lt;1/1/1990,"",IF(Main[[#This Row],[Class]]="C",WORKDAY(Main[[#This Row],[Tech Start Date]],19),IF(Main[[#This Row],[Class]]="B", WORKDAY(Main[[#This Row],[Tech Start Date]],12),IF(Main[[#This Row],[Class]]="A",WORKDAY(Main[[#This Row],[Tech Start Date]],4),""))))</f>
        <v/>
      </c>
      <c r="O546" s="77" t="str">
        <f>IF(Main[[#This Row],[Tech Start Date]]&lt;1/1/1990,"",IF(Main[[#This Row],[Class]]="C",WORKDAY(Main[[#This Row],[Tech Start Date]],23),IF(Main[[#This Row],[Class]]="B", WORKDAY(Main[[#This Row],[Tech Start Date]],15),IF(Main[[#This Row],[Class]]="A",WORKDAY(Main[[#This Row],[Tech Start Date]],5),""))))</f>
        <v/>
      </c>
      <c r="P546" s="77" t="str">
        <f>IF(Main[[#This Row],[Tech Start Date]]&lt;1/1/1990,"",IF(Main[[#This Row],[Class]]="C",WORKDAY(Main[[#This Row],[Tech Start Date]],28),IF(Main[[#This Row],[Class]]="B", WORKDAY(Main[[#This Row],[Tech Start Date]],19),IF(Main[[#This Row],[Class]]="A",WORKDAY(Main[[#This Row],[Tech Start Date]],9),""))))</f>
        <v/>
      </c>
      <c r="Q546" s="74"/>
      <c r="R546" s="74"/>
      <c r="S546" s="72" t="s">
        <v>49</v>
      </c>
      <c r="T546" s="80" t="s">
        <v>4</v>
      </c>
      <c r="U546" s="72" t="s">
        <v>14</v>
      </c>
      <c r="V546" s="72" t="s">
        <v>1933</v>
      </c>
      <c r="W546" s="72" t="s">
        <v>1936</v>
      </c>
      <c r="X546" s="72" t="s">
        <v>310</v>
      </c>
      <c r="Y546" s="72" t="s">
        <v>4</v>
      </c>
      <c r="Z546" s="72" t="s">
        <v>4</v>
      </c>
      <c r="AA546" s="147" t="s">
        <v>4</v>
      </c>
    </row>
    <row r="547" spans="1:27" ht="18.600000000000001" customHeight="1">
      <c r="A547" s="140" t="str">
        <f>IF(priority(Main[[#This Row],[Comments]])&lt;&gt;0, priority(Main[[#This Row],[Comments]]),"")</f>
        <v/>
      </c>
      <c r="B547" s="90" t="s">
        <v>1365</v>
      </c>
      <c r="C547" s="72" t="s">
        <v>4</v>
      </c>
      <c r="D547" s="73" t="s">
        <v>445</v>
      </c>
      <c r="E547" s="74">
        <v>40389.394756944443</v>
      </c>
      <c r="F547" s="74"/>
      <c r="G547" s="75" t="str">
        <f>IF(stdProdLT(Main[[#This Row],[Comments]])=0.1,"N/A",IF(stdProdLT(Main[[#This Row],[Comments]])=0,"",stdProdLT(Main[[#This Row],[Comments]])))</f>
        <v/>
      </c>
      <c r="H547" s="76" t="str">
        <f>IF(AND(Main[[#This Row],[In Stock Date]]&lt;&gt;"",Main[[#This Row],[Revised Due Date]]&lt;&gt;""),Main[[#This Row],[In Stock Date]]-Main[[#This Row],[Revised Due Date]],"")</f>
        <v/>
      </c>
      <c r="I547" s="72" t="s">
        <v>4</v>
      </c>
      <c r="J547" s="72" t="s">
        <v>28</v>
      </c>
      <c r="K547" s="72" t="s">
        <v>1944</v>
      </c>
      <c r="L547" s="74"/>
      <c r="M547" s="77" t="str">
        <f>IF(Main[[#This Row],[Tech Start Date]]&lt;1/1/1990,"",IF(Main[[#This Row],[Class]]="C",WORKDAY(Main[[#This Row],[Tech Start Date]],9),IF(Main[[#This Row],[Class]]="B", WORKDAY(Main[[#This Row],[Tech Start Date]],6),IF(Main[[#This Row],[Class]]="A",WORKDAY(Main[[#This Row],[Tech Start Date]],2),""))))</f>
        <v/>
      </c>
      <c r="N547" s="77" t="str">
        <f>IF(Main[[#This Row],[Tech Start Date]]&lt;1/1/1990,"",IF(Main[[#This Row],[Class]]="C",WORKDAY(Main[[#This Row],[Tech Start Date]],19),IF(Main[[#This Row],[Class]]="B", WORKDAY(Main[[#This Row],[Tech Start Date]],12),IF(Main[[#This Row],[Class]]="A",WORKDAY(Main[[#This Row],[Tech Start Date]],4),""))))</f>
        <v/>
      </c>
      <c r="O547" s="77" t="str">
        <f>IF(Main[[#This Row],[Tech Start Date]]&lt;1/1/1990,"",IF(Main[[#This Row],[Class]]="C",WORKDAY(Main[[#This Row],[Tech Start Date]],23),IF(Main[[#This Row],[Class]]="B", WORKDAY(Main[[#This Row],[Tech Start Date]],15),IF(Main[[#This Row],[Class]]="A",WORKDAY(Main[[#This Row],[Tech Start Date]],5),""))))</f>
        <v/>
      </c>
      <c r="P547" s="77" t="str">
        <f>IF(Main[[#This Row],[Tech Start Date]]&lt;1/1/1990,"",IF(Main[[#This Row],[Class]]="C",WORKDAY(Main[[#This Row],[Tech Start Date]],28),IF(Main[[#This Row],[Class]]="B", WORKDAY(Main[[#This Row],[Tech Start Date]],19),IF(Main[[#This Row],[Class]]="A",WORKDAY(Main[[#This Row],[Tech Start Date]],9),""))))</f>
        <v/>
      </c>
      <c r="Q547" s="74">
        <v>40451</v>
      </c>
      <c r="R547" s="74"/>
      <c r="S547" s="72" t="s">
        <v>17</v>
      </c>
      <c r="T547" s="80" t="s">
        <v>4</v>
      </c>
      <c r="U547" s="72" t="s">
        <v>7</v>
      </c>
      <c r="V547" s="72" t="s">
        <v>1932</v>
      </c>
      <c r="W547" s="72" t="s">
        <v>1937</v>
      </c>
      <c r="X547" s="72" t="s">
        <v>129</v>
      </c>
      <c r="Y547" s="72" t="s">
        <v>3046</v>
      </c>
      <c r="Z547" s="72" t="s">
        <v>2912</v>
      </c>
      <c r="AA547" s="147" t="s">
        <v>2912</v>
      </c>
    </row>
    <row r="548" spans="1:27" ht="18.600000000000001" customHeight="1">
      <c r="A548" s="140" t="str">
        <f>IF(priority(Main[[#This Row],[Comments]])&lt;&gt;0, priority(Main[[#This Row],[Comments]]),"")</f>
        <v/>
      </c>
      <c r="B548" s="90" t="s">
        <v>1404</v>
      </c>
      <c r="C548" s="72" t="s">
        <v>72</v>
      </c>
      <c r="D548" s="73" t="s">
        <v>482</v>
      </c>
      <c r="E548" s="74"/>
      <c r="F548" s="74">
        <v>40031</v>
      </c>
      <c r="G548" s="75" t="str">
        <f>IF(stdProdLT(Main[[#This Row],[Comments]])=0.1,"N/A",IF(stdProdLT(Main[[#This Row],[Comments]])=0,"",stdProdLT(Main[[#This Row],[Comments]])))</f>
        <v/>
      </c>
      <c r="H548" s="76" t="str">
        <f>IF(AND(Main[[#This Row],[In Stock Date]]&lt;&gt;"",Main[[#This Row],[Revised Due Date]]&lt;&gt;""),Main[[#This Row],[In Stock Date]]-Main[[#This Row],[Revised Due Date]],"")</f>
        <v/>
      </c>
      <c r="I548" s="72" t="s">
        <v>4</v>
      </c>
      <c r="J548" s="72" t="s">
        <v>4</v>
      </c>
      <c r="K548" s="72" t="s">
        <v>4</v>
      </c>
      <c r="L548" s="74"/>
      <c r="M548" s="77" t="str">
        <f>IF(Main[[#This Row],[Tech Start Date]]&lt;1/1/1990,"",IF(Main[[#This Row],[Class]]="C",WORKDAY(Main[[#This Row],[Tech Start Date]],9),IF(Main[[#This Row],[Class]]="B", WORKDAY(Main[[#This Row],[Tech Start Date]],6),IF(Main[[#This Row],[Class]]="A",WORKDAY(Main[[#This Row],[Tech Start Date]],2),""))))</f>
        <v/>
      </c>
      <c r="N548" s="77" t="str">
        <f>IF(Main[[#This Row],[Tech Start Date]]&lt;1/1/1990,"",IF(Main[[#This Row],[Class]]="C",WORKDAY(Main[[#This Row],[Tech Start Date]],19),IF(Main[[#This Row],[Class]]="B", WORKDAY(Main[[#This Row],[Tech Start Date]],12),IF(Main[[#This Row],[Class]]="A",WORKDAY(Main[[#This Row],[Tech Start Date]],4),""))))</f>
        <v/>
      </c>
      <c r="O548" s="77" t="str">
        <f>IF(Main[[#This Row],[Tech Start Date]]&lt;1/1/1990,"",IF(Main[[#This Row],[Class]]="C",WORKDAY(Main[[#This Row],[Tech Start Date]],23),IF(Main[[#This Row],[Class]]="B", WORKDAY(Main[[#This Row],[Tech Start Date]],15),IF(Main[[#This Row],[Class]]="A",WORKDAY(Main[[#This Row],[Tech Start Date]],5),""))))</f>
        <v/>
      </c>
      <c r="P548" s="77" t="str">
        <f>IF(Main[[#This Row],[Tech Start Date]]&lt;1/1/1990,"",IF(Main[[#This Row],[Class]]="C",WORKDAY(Main[[#This Row],[Tech Start Date]],28),IF(Main[[#This Row],[Class]]="B", WORKDAY(Main[[#This Row],[Tech Start Date]],19),IF(Main[[#This Row],[Class]]="A",WORKDAY(Main[[#This Row],[Tech Start Date]],9),""))))</f>
        <v/>
      </c>
      <c r="Q548" s="74">
        <v>39976</v>
      </c>
      <c r="R548" s="74"/>
      <c r="S548" s="72" t="s">
        <v>11</v>
      </c>
      <c r="T548" s="80" t="s">
        <v>4</v>
      </c>
      <c r="U548" s="72" t="s">
        <v>14</v>
      </c>
      <c r="V548" s="72" t="s">
        <v>1933</v>
      </c>
      <c r="W548" s="72" t="s">
        <v>1940</v>
      </c>
      <c r="X548" s="72" t="s">
        <v>2908</v>
      </c>
      <c r="Y548" s="72" t="s">
        <v>3030</v>
      </c>
      <c r="Z548" s="72" t="s">
        <v>4</v>
      </c>
      <c r="AA548" s="147" t="s">
        <v>2908</v>
      </c>
    </row>
    <row r="549" spans="1:27" ht="18.600000000000001" customHeight="1">
      <c r="A549" s="140" t="str">
        <f>IF(priority(Main[[#This Row],[Comments]])&lt;&gt;0, priority(Main[[#This Row],[Comments]]),"")</f>
        <v/>
      </c>
      <c r="B549" s="90" t="s">
        <v>1405</v>
      </c>
      <c r="C549" s="72" t="s">
        <v>83</v>
      </c>
      <c r="D549" s="73" t="s">
        <v>483</v>
      </c>
      <c r="E549" s="74"/>
      <c r="F549" s="74"/>
      <c r="G549" s="75" t="str">
        <f>IF(stdProdLT(Main[[#This Row],[Comments]])=0.1,"N/A",IF(stdProdLT(Main[[#This Row],[Comments]])=0,"",stdProdLT(Main[[#This Row],[Comments]])))</f>
        <v/>
      </c>
      <c r="H549" s="76" t="str">
        <f>IF(AND(Main[[#This Row],[In Stock Date]]&lt;&gt;"",Main[[#This Row],[Revised Due Date]]&lt;&gt;""),Main[[#This Row],[In Stock Date]]-Main[[#This Row],[Revised Due Date]],"")</f>
        <v/>
      </c>
      <c r="I549" s="72" t="s">
        <v>4</v>
      </c>
      <c r="J549" s="72" t="s">
        <v>4</v>
      </c>
      <c r="K549" s="81" t="s">
        <v>4</v>
      </c>
      <c r="L549" s="74"/>
      <c r="M549" s="77" t="str">
        <f>IF(Main[[#This Row],[Tech Start Date]]&lt;1/1/1990,"",IF(Main[[#This Row],[Class]]="C",WORKDAY(Main[[#This Row],[Tech Start Date]],9),IF(Main[[#This Row],[Class]]="B", WORKDAY(Main[[#This Row],[Tech Start Date]],6),IF(Main[[#This Row],[Class]]="A",WORKDAY(Main[[#This Row],[Tech Start Date]],2),""))))</f>
        <v/>
      </c>
      <c r="N549" s="77" t="str">
        <f>IF(Main[[#This Row],[Tech Start Date]]&lt;1/1/1990,"",IF(Main[[#This Row],[Class]]="C",WORKDAY(Main[[#This Row],[Tech Start Date]],19),IF(Main[[#This Row],[Class]]="B", WORKDAY(Main[[#This Row],[Tech Start Date]],12),IF(Main[[#This Row],[Class]]="A",WORKDAY(Main[[#This Row],[Tech Start Date]],4),""))))</f>
        <v/>
      </c>
      <c r="O549" s="77" t="str">
        <f>IF(Main[[#This Row],[Tech Start Date]]&lt;1/1/1990,"",IF(Main[[#This Row],[Class]]="C",WORKDAY(Main[[#This Row],[Tech Start Date]],23),IF(Main[[#This Row],[Class]]="B", WORKDAY(Main[[#This Row],[Tech Start Date]],15),IF(Main[[#This Row],[Class]]="A",WORKDAY(Main[[#This Row],[Tech Start Date]],5),""))))</f>
        <v/>
      </c>
      <c r="P549" s="77" t="str">
        <f>IF(Main[[#This Row],[Tech Start Date]]&lt;1/1/1990,"",IF(Main[[#This Row],[Class]]="C",WORKDAY(Main[[#This Row],[Tech Start Date]],28),IF(Main[[#This Row],[Class]]="B", WORKDAY(Main[[#This Row],[Tech Start Date]],19),IF(Main[[#This Row],[Class]]="A",WORKDAY(Main[[#This Row],[Tech Start Date]],9),""))))</f>
        <v/>
      </c>
      <c r="Q549" s="74">
        <v>40137</v>
      </c>
      <c r="R549" s="74"/>
      <c r="S549" s="72" t="s">
        <v>11</v>
      </c>
      <c r="T549" s="80" t="s">
        <v>4</v>
      </c>
      <c r="U549" s="72" t="s">
        <v>14</v>
      </c>
      <c r="V549" s="72" t="s">
        <v>1932</v>
      </c>
      <c r="W549" s="72" t="s">
        <v>1943</v>
      </c>
      <c r="X549" s="72" t="s">
        <v>2901</v>
      </c>
      <c r="Y549" s="72" t="s">
        <v>4</v>
      </c>
      <c r="Z549" s="72" t="s">
        <v>4</v>
      </c>
      <c r="AA549" s="147" t="s">
        <v>2901</v>
      </c>
    </row>
    <row r="550" spans="1:27" ht="18.600000000000001" customHeight="1">
      <c r="A550" s="140" t="str">
        <f>IF(priority(Main[[#This Row],[Comments]])&lt;&gt;0, priority(Main[[#This Row],[Comments]]),"")</f>
        <v/>
      </c>
      <c r="B550" s="90" t="s">
        <v>1406</v>
      </c>
      <c r="C550" s="72" t="s">
        <v>95</v>
      </c>
      <c r="D550" s="73" t="s">
        <v>484</v>
      </c>
      <c r="E550" s="74"/>
      <c r="F550" s="74">
        <v>40196</v>
      </c>
      <c r="G550" s="75" t="str">
        <f>IF(stdProdLT(Main[[#This Row],[Comments]])=0.1,"N/A",IF(stdProdLT(Main[[#This Row],[Comments]])=0,"",stdProdLT(Main[[#This Row],[Comments]])))</f>
        <v/>
      </c>
      <c r="H550" s="76" t="str">
        <f>IF(AND(Main[[#This Row],[In Stock Date]]&lt;&gt;"",Main[[#This Row],[Revised Due Date]]&lt;&gt;""),Main[[#This Row],[In Stock Date]]-Main[[#This Row],[Revised Due Date]],"")</f>
        <v/>
      </c>
      <c r="I550" s="72" t="s">
        <v>4</v>
      </c>
      <c r="J550" s="72" t="s">
        <v>4</v>
      </c>
      <c r="K550" s="72" t="s">
        <v>4</v>
      </c>
      <c r="L550" s="74"/>
      <c r="M550" s="77" t="str">
        <f>IF(Main[[#This Row],[Tech Start Date]]&lt;1/1/1990,"",IF(Main[[#This Row],[Class]]="C",WORKDAY(Main[[#This Row],[Tech Start Date]],9),IF(Main[[#This Row],[Class]]="B", WORKDAY(Main[[#This Row],[Tech Start Date]],6),IF(Main[[#This Row],[Class]]="A",WORKDAY(Main[[#This Row],[Tech Start Date]],2),""))))</f>
        <v/>
      </c>
      <c r="N550" s="77" t="str">
        <f>IF(Main[[#This Row],[Tech Start Date]]&lt;1/1/1990,"",IF(Main[[#This Row],[Class]]="C",WORKDAY(Main[[#This Row],[Tech Start Date]],19),IF(Main[[#This Row],[Class]]="B", WORKDAY(Main[[#This Row],[Tech Start Date]],12),IF(Main[[#This Row],[Class]]="A",WORKDAY(Main[[#This Row],[Tech Start Date]],4),""))))</f>
        <v/>
      </c>
      <c r="O550" s="77" t="str">
        <f>IF(Main[[#This Row],[Tech Start Date]]&lt;1/1/1990,"",IF(Main[[#This Row],[Class]]="C",WORKDAY(Main[[#This Row],[Tech Start Date]],23),IF(Main[[#This Row],[Class]]="B", WORKDAY(Main[[#This Row],[Tech Start Date]],15),IF(Main[[#This Row],[Class]]="A",WORKDAY(Main[[#This Row],[Tech Start Date]],5),""))))</f>
        <v/>
      </c>
      <c r="P550" s="77" t="str">
        <f>IF(Main[[#This Row],[Tech Start Date]]&lt;1/1/1990,"",IF(Main[[#This Row],[Class]]="C",WORKDAY(Main[[#This Row],[Tech Start Date]],28),IF(Main[[#This Row],[Class]]="B", WORKDAY(Main[[#This Row],[Tech Start Date]],19),IF(Main[[#This Row],[Class]]="A",WORKDAY(Main[[#This Row],[Tech Start Date]],9),""))))</f>
        <v/>
      </c>
      <c r="Q550" s="74">
        <v>40077</v>
      </c>
      <c r="R550" s="74"/>
      <c r="S550" s="72" t="s">
        <v>11</v>
      </c>
      <c r="T550" s="80" t="s">
        <v>4</v>
      </c>
      <c r="U550" s="72" t="s">
        <v>14</v>
      </c>
      <c r="V550" s="72" t="s">
        <v>1935</v>
      </c>
      <c r="W550" s="72" t="s">
        <v>1940</v>
      </c>
      <c r="X550" s="72" t="s">
        <v>2960</v>
      </c>
      <c r="Y550" s="72" t="s">
        <v>4</v>
      </c>
      <c r="Z550" s="72" t="s">
        <v>4</v>
      </c>
      <c r="AA550" s="147" t="s">
        <v>3594</v>
      </c>
    </row>
    <row r="551" spans="1:27" ht="18.600000000000001" customHeight="1">
      <c r="A551" s="140" t="str">
        <f>IF(priority(Main[[#This Row],[Comments]])&lt;&gt;0, priority(Main[[#This Row],[Comments]]),"")</f>
        <v/>
      </c>
      <c r="B551" s="90" t="s">
        <v>1410</v>
      </c>
      <c r="C551" s="72" t="s">
        <v>4</v>
      </c>
      <c r="D551" s="73" t="s">
        <v>485</v>
      </c>
      <c r="E551" s="74"/>
      <c r="F551" s="74"/>
      <c r="G551" s="75" t="str">
        <f>IF(stdProdLT(Main[[#This Row],[Comments]])=0.1,"N/A",IF(stdProdLT(Main[[#This Row],[Comments]])=0,"",stdProdLT(Main[[#This Row],[Comments]])))</f>
        <v/>
      </c>
      <c r="H551" s="76" t="str">
        <f>IF(AND(Main[[#This Row],[In Stock Date]]&lt;&gt;"",Main[[#This Row],[Revised Due Date]]&lt;&gt;""),Main[[#This Row],[In Stock Date]]-Main[[#This Row],[Revised Due Date]],"")</f>
        <v/>
      </c>
      <c r="I551" s="72" t="s">
        <v>4</v>
      </c>
      <c r="J551" s="72" t="s">
        <v>4</v>
      </c>
      <c r="K551" s="72" t="s">
        <v>4</v>
      </c>
      <c r="L551" s="74"/>
      <c r="M551" s="77" t="str">
        <f>IF(Main[[#This Row],[Tech Start Date]]&lt;1/1/1990,"",IF(Main[[#This Row],[Class]]="C",WORKDAY(Main[[#This Row],[Tech Start Date]],9),IF(Main[[#This Row],[Class]]="B", WORKDAY(Main[[#This Row],[Tech Start Date]],6),IF(Main[[#This Row],[Class]]="A",WORKDAY(Main[[#This Row],[Tech Start Date]],2),""))))</f>
        <v/>
      </c>
      <c r="N551" s="77" t="str">
        <f>IF(Main[[#This Row],[Tech Start Date]]&lt;1/1/1990,"",IF(Main[[#This Row],[Class]]="C",WORKDAY(Main[[#This Row],[Tech Start Date]],19),IF(Main[[#This Row],[Class]]="B", WORKDAY(Main[[#This Row],[Tech Start Date]],12),IF(Main[[#This Row],[Class]]="A",WORKDAY(Main[[#This Row],[Tech Start Date]],4),""))))</f>
        <v/>
      </c>
      <c r="O551" s="77" t="str">
        <f>IF(Main[[#This Row],[Tech Start Date]]&lt;1/1/1990,"",IF(Main[[#This Row],[Class]]="C",WORKDAY(Main[[#This Row],[Tech Start Date]],23),IF(Main[[#This Row],[Class]]="B", WORKDAY(Main[[#This Row],[Tech Start Date]],15),IF(Main[[#This Row],[Class]]="A",WORKDAY(Main[[#This Row],[Tech Start Date]],5),""))))</f>
        <v/>
      </c>
      <c r="P551" s="77" t="str">
        <f>IF(Main[[#This Row],[Tech Start Date]]&lt;1/1/1990,"",IF(Main[[#This Row],[Class]]="C",WORKDAY(Main[[#This Row],[Tech Start Date]],28),IF(Main[[#This Row],[Class]]="B", WORKDAY(Main[[#This Row],[Tech Start Date]],19),IF(Main[[#This Row],[Class]]="A",WORKDAY(Main[[#This Row],[Tech Start Date]],9),""))))</f>
        <v/>
      </c>
      <c r="Q551" s="74"/>
      <c r="R551" s="74"/>
      <c r="S551" s="72" t="s">
        <v>4</v>
      </c>
      <c r="T551" s="80" t="s">
        <v>4</v>
      </c>
      <c r="U551" s="72" t="s">
        <v>14</v>
      </c>
      <c r="V551" s="72" t="s">
        <v>1935</v>
      </c>
      <c r="W551" s="72" t="s">
        <v>4</v>
      </c>
      <c r="X551" s="72" t="s">
        <v>2903</v>
      </c>
      <c r="Y551" s="72" t="s">
        <v>3019</v>
      </c>
      <c r="Z551" s="72" t="s">
        <v>4</v>
      </c>
      <c r="AA551" s="147" t="s">
        <v>2903</v>
      </c>
    </row>
    <row r="552" spans="1:27" ht="18.600000000000001" customHeight="1">
      <c r="A552" s="140" t="str">
        <f>IF(priority(Main[[#This Row],[Comments]])&lt;&gt;0, priority(Main[[#This Row],[Comments]]),"")</f>
        <v/>
      </c>
      <c r="B552" s="90" t="s">
        <v>1165</v>
      </c>
      <c r="C552" s="72" t="s">
        <v>4</v>
      </c>
      <c r="D552" s="73" t="s">
        <v>211</v>
      </c>
      <c r="E552" s="74"/>
      <c r="F552" s="74"/>
      <c r="G552" s="75" t="str">
        <f>IF(stdProdLT(Main[[#This Row],[Comments]])=0.1,"N/A",IF(stdProdLT(Main[[#This Row],[Comments]])=0,"",stdProdLT(Main[[#This Row],[Comments]])))</f>
        <v/>
      </c>
      <c r="H552" s="76" t="str">
        <f>IF(AND(Main[[#This Row],[In Stock Date]]&lt;&gt;"",Main[[#This Row],[Revised Due Date]]&lt;&gt;""),Main[[#This Row],[In Stock Date]]-Main[[#This Row],[Revised Due Date]],"")</f>
        <v/>
      </c>
      <c r="I552" s="72" t="s">
        <v>4</v>
      </c>
      <c r="J552" s="72" t="s">
        <v>28</v>
      </c>
      <c r="K552" s="72" t="s">
        <v>4</v>
      </c>
      <c r="L552" s="74"/>
      <c r="M552" s="77" t="str">
        <f>IF(Main[[#This Row],[Tech Start Date]]&lt;1/1/1990,"",IF(Main[[#This Row],[Class]]="C",WORKDAY(Main[[#This Row],[Tech Start Date]],9),IF(Main[[#This Row],[Class]]="B", WORKDAY(Main[[#This Row],[Tech Start Date]],6),IF(Main[[#This Row],[Class]]="A",WORKDAY(Main[[#This Row],[Tech Start Date]],2),""))))</f>
        <v/>
      </c>
      <c r="N552" s="77" t="str">
        <f>IF(Main[[#This Row],[Tech Start Date]]&lt;1/1/1990,"",IF(Main[[#This Row],[Class]]="C",WORKDAY(Main[[#This Row],[Tech Start Date]],19),IF(Main[[#This Row],[Class]]="B", WORKDAY(Main[[#This Row],[Tech Start Date]],12),IF(Main[[#This Row],[Class]]="A",WORKDAY(Main[[#This Row],[Tech Start Date]],4),""))))</f>
        <v/>
      </c>
      <c r="O552" s="77" t="str">
        <f>IF(Main[[#This Row],[Tech Start Date]]&lt;1/1/1990,"",IF(Main[[#This Row],[Class]]="C",WORKDAY(Main[[#This Row],[Tech Start Date]],23),IF(Main[[#This Row],[Class]]="B", WORKDAY(Main[[#This Row],[Tech Start Date]],15),IF(Main[[#This Row],[Class]]="A",WORKDAY(Main[[#This Row],[Tech Start Date]],5),""))))</f>
        <v/>
      </c>
      <c r="P552" s="77" t="str">
        <f>IF(Main[[#This Row],[Tech Start Date]]&lt;1/1/1990,"",IF(Main[[#This Row],[Class]]="C",WORKDAY(Main[[#This Row],[Tech Start Date]],28),IF(Main[[#This Row],[Class]]="B", WORKDAY(Main[[#This Row],[Tech Start Date]],19),IF(Main[[#This Row],[Class]]="A",WORKDAY(Main[[#This Row],[Tech Start Date]],9),""))))</f>
        <v/>
      </c>
      <c r="Q552" s="74"/>
      <c r="R552" s="74"/>
      <c r="S552" s="72" t="s">
        <v>6</v>
      </c>
      <c r="T552" s="80" t="s">
        <v>4</v>
      </c>
      <c r="U552" s="72" t="s">
        <v>14</v>
      </c>
      <c r="V552" s="72" t="s">
        <v>1942</v>
      </c>
      <c r="W552" s="72" t="s">
        <v>1938</v>
      </c>
      <c r="X552" s="72" t="s">
        <v>50</v>
      </c>
      <c r="Y552" s="72" t="s">
        <v>3050</v>
      </c>
      <c r="Z552" s="72" t="s">
        <v>30</v>
      </c>
      <c r="AA552" s="147" t="s">
        <v>894</v>
      </c>
    </row>
    <row r="553" spans="1:27" ht="18.600000000000001" customHeight="1">
      <c r="A553" s="140" t="str">
        <f>IF(priority(Main[[#This Row],[Comments]])&lt;&gt;0, priority(Main[[#This Row],[Comments]]),"")</f>
        <v/>
      </c>
      <c r="B553" s="90" t="s">
        <v>1412</v>
      </c>
      <c r="C553" s="72" t="s">
        <v>47</v>
      </c>
      <c r="D553" s="73" t="s">
        <v>487</v>
      </c>
      <c r="E553" s="74">
        <v>39937.619513888887</v>
      </c>
      <c r="F553" s="74"/>
      <c r="G553" s="75" t="str">
        <f>IF(stdProdLT(Main[[#This Row],[Comments]])=0.1,"N/A",IF(stdProdLT(Main[[#This Row],[Comments]])=0,"",stdProdLT(Main[[#This Row],[Comments]])))</f>
        <v/>
      </c>
      <c r="H553" s="76" t="str">
        <f>IF(AND(Main[[#This Row],[In Stock Date]]&lt;&gt;"",Main[[#This Row],[Revised Due Date]]&lt;&gt;""),Main[[#This Row],[In Stock Date]]-Main[[#This Row],[Revised Due Date]],"")</f>
        <v/>
      </c>
      <c r="I553" s="72" t="s">
        <v>4</v>
      </c>
      <c r="J553" s="72" t="s">
        <v>4</v>
      </c>
      <c r="K553" s="72" t="s">
        <v>4</v>
      </c>
      <c r="L553" s="74"/>
      <c r="M553" s="77" t="str">
        <f>IF(Main[[#This Row],[Tech Start Date]]&lt;1/1/1990,"",IF(Main[[#This Row],[Class]]="C",WORKDAY(Main[[#This Row],[Tech Start Date]],9),IF(Main[[#This Row],[Class]]="B", WORKDAY(Main[[#This Row],[Tech Start Date]],6),IF(Main[[#This Row],[Class]]="A",WORKDAY(Main[[#This Row],[Tech Start Date]],2),""))))</f>
        <v/>
      </c>
      <c r="N553" s="77" t="str">
        <f>IF(Main[[#This Row],[Tech Start Date]]&lt;1/1/1990,"",IF(Main[[#This Row],[Class]]="C",WORKDAY(Main[[#This Row],[Tech Start Date]],19),IF(Main[[#This Row],[Class]]="B", WORKDAY(Main[[#This Row],[Tech Start Date]],12),IF(Main[[#This Row],[Class]]="A",WORKDAY(Main[[#This Row],[Tech Start Date]],4),""))))</f>
        <v/>
      </c>
      <c r="O553" s="77" t="str">
        <f>IF(Main[[#This Row],[Tech Start Date]]&lt;1/1/1990,"",IF(Main[[#This Row],[Class]]="C",WORKDAY(Main[[#This Row],[Tech Start Date]],23),IF(Main[[#This Row],[Class]]="B", WORKDAY(Main[[#This Row],[Tech Start Date]],15),IF(Main[[#This Row],[Class]]="A",WORKDAY(Main[[#This Row],[Tech Start Date]],5),""))))</f>
        <v/>
      </c>
      <c r="P553" s="77" t="str">
        <f>IF(Main[[#This Row],[Tech Start Date]]&lt;1/1/1990,"",IF(Main[[#This Row],[Class]]="C",WORKDAY(Main[[#This Row],[Tech Start Date]],28),IF(Main[[#This Row],[Class]]="B", WORKDAY(Main[[#This Row],[Tech Start Date]],19),IF(Main[[#This Row],[Class]]="A",WORKDAY(Main[[#This Row],[Tech Start Date]],9),""))))</f>
        <v/>
      </c>
      <c r="Q553" s="74"/>
      <c r="R553" s="74"/>
      <c r="S553" s="72" t="s">
        <v>17</v>
      </c>
      <c r="T553" s="80" t="s">
        <v>4</v>
      </c>
      <c r="U553" s="72" t="s">
        <v>7</v>
      </c>
      <c r="V553" s="72" t="s">
        <v>1935</v>
      </c>
      <c r="W553" s="72" t="s">
        <v>4</v>
      </c>
      <c r="X553" s="72" t="s">
        <v>2911</v>
      </c>
      <c r="Y553" s="72" t="s">
        <v>3035</v>
      </c>
      <c r="Z553" s="72" t="s">
        <v>4</v>
      </c>
      <c r="AA553" s="147" t="s">
        <v>2911</v>
      </c>
    </row>
    <row r="554" spans="1:27" ht="18.600000000000001" customHeight="1">
      <c r="A554" s="140" t="str">
        <f>IF(priority(Main[[#This Row],[Comments]])&lt;&gt;0, priority(Main[[#This Row],[Comments]]),"")</f>
        <v/>
      </c>
      <c r="B554" s="90" t="s">
        <v>1413</v>
      </c>
      <c r="C554" s="72" t="s">
        <v>93</v>
      </c>
      <c r="D554" s="73" t="s">
        <v>568</v>
      </c>
      <c r="E554" s="74"/>
      <c r="F554" s="74">
        <v>40210</v>
      </c>
      <c r="G554" s="75" t="str">
        <f>IF(stdProdLT(Main[[#This Row],[Comments]])=0.1,"N/A",IF(stdProdLT(Main[[#This Row],[Comments]])=0,"",stdProdLT(Main[[#This Row],[Comments]])))</f>
        <v/>
      </c>
      <c r="H554" s="76" t="str">
        <f>IF(AND(Main[[#This Row],[In Stock Date]]&lt;&gt;"",Main[[#This Row],[Revised Due Date]]&lt;&gt;""),Main[[#This Row],[In Stock Date]]-Main[[#This Row],[Revised Due Date]],"")</f>
        <v/>
      </c>
      <c r="I554" s="72" t="s">
        <v>4</v>
      </c>
      <c r="J554" s="72" t="s">
        <v>4</v>
      </c>
      <c r="K554" s="72" t="s">
        <v>4</v>
      </c>
      <c r="L554" s="74"/>
      <c r="M554" s="77" t="str">
        <f>IF(Main[[#This Row],[Tech Start Date]]&lt;1/1/1990,"",IF(Main[[#This Row],[Class]]="C",WORKDAY(Main[[#This Row],[Tech Start Date]],9),IF(Main[[#This Row],[Class]]="B", WORKDAY(Main[[#This Row],[Tech Start Date]],6),IF(Main[[#This Row],[Class]]="A",WORKDAY(Main[[#This Row],[Tech Start Date]],2),""))))</f>
        <v/>
      </c>
      <c r="N554" s="77" t="str">
        <f>IF(Main[[#This Row],[Tech Start Date]]&lt;1/1/1990,"",IF(Main[[#This Row],[Class]]="C",WORKDAY(Main[[#This Row],[Tech Start Date]],19),IF(Main[[#This Row],[Class]]="B", WORKDAY(Main[[#This Row],[Tech Start Date]],12),IF(Main[[#This Row],[Class]]="A",WORKDAY(Main[[#This Row],[Tech Start Date]],4),""))))</f>
        <v/>
      </c>
      <c r="O554" s="77" t="str">
        <f>IF(Main[[#This Row],[Tech Start Date]]&lt;1/1/1990,"",IF(Main[[#This Row],[Class]]="C",WORKDAY(Main[[#This Row],[Tech Start Date]],23),IF(Main[[#This Row],[Class]]="B", WORKDAY(Main[[#This Row],[Tech Start Date]],15),IF(Main[[#This Row],[Class]]="A",WORKDAY(Main[[#This Row],[Tech Start Date]],5),""))))</f>
        <v/>
      </c>
      <c r="P554" s="77" t="str">
        <f>IF(Main[[#This Row],[Tech Start Date]]&lt;1/1/1990,"",IF(Main[[#This Row],[Class]]="C",WORKDAY(Main[[#This Row],[Tech Start Date]],28),IF(Main[[#This Row],[Class]]="B", WORKDAY(Main[[#This Row],[Tech Start Date]],19),IF(Main[[#This Row],[Class]]="A",WORKDAY(Main[[#This Row],[Tech Start Date]],9),""))))</f>
        <v/>
      </c>
      <c r="Q554" s="74">
        <v>40195</v>
      </c>
      <c r="R554" s="74"/>
      <c r="S554" s="72" t="s">
        <v>11</v>
      </c>
      <c r="T554" s="80" t="s">
        <v>4</v>
      </c>
      <c r="U554" s="72" t="s">
        <v>12</v>
      </c>
      <c r="V554" s="72" t="s">
        <v>1942</v>
      </c>
      <c r="W554" s="72" t="s">
        <v>1943</v>
      </c>
      <c r="X554" s="72" t="s">
        <v>2929</v>
      </c>
      <c r="Y554" s="72" t="s">
        <v>4</v>
      </c>
      <c r="Z554" s="72" t="s">
        <v>4</v>
      </c>
      <c r="AA554" s="147" t="s">
        <v>2929</v>
      </c>
    </row>
    <row r="555" spans="1:27" ht="18.600000000000001" customHeight="1">
      <c r="A555" s="140" t="str">
        <f>IF(priority(Main[[#This Row],[Comments]])&lt;&gt;0, priority(Main[[#This Row],[Comments]]),"")</f>
        <v/>
      </c>
      <c r="B555" s="90" t="s">
        <v>1761</v>
      </c>
      <c r="C555" s="72" t="s">
        <v>4</v>
      </c>
      <c r="D555" s="73" t="s">
        <v>803</v>
      </c>
      <c r="E555" s="74">
        <v>40584.406446759262</v>
      </c>
      <c r="F555" s="74">
        <v>40602</v>
      </c>
      <c r="G555" s="75" t="str">
        <f>IF(stdProdLT(Main[[#This Row],[Comments]])=0.1,"N/A",IF(stdProdLT(Main[[#This Row],[Comments]])=0,"",stdProdLT(Main[[#This Row],[Comments]])))</f>
        <v/>
      </c>
      <c r="H555" s="76" t="str">
        <f>IF(AND(Main[[#This Row],[In Stock Date]]&lt;&gt;"",Main[[#This Row],[Revised Due Date]]&lt;&gt;""),Main[[#This Row],[In Stock Date]]-Main[[#This Row],[Revised Due Date]],"")</f>
        <v/>
      </c>
      <c r="I555" s="72" t="s">
        <v>4</v>
      </c>
      <c r="J555" s="72" t="s">
        <v>28</v>
      </c>
      <c r="K555" s="72" t="s">
        <v>1944</v>
      </c>
      <c r="L555" s="74"/>
      <c r="M555" s="77" t="str">
        <f>IF(Main[[#This Row],[Tech Start Date]]&lt;1/1/1990,"",IF(Main[[#This Row],[Class]]="C",WORKDAY(Main[[#This Row],[Tech Start Date]],9),IF(Main[[#This Row],[Class]]="B", WORKDAY(Main[[#This Row],[Tech Start Date]],6),IF(Main[[#This Row],[Class]]="A",WORKDAY(Main[[#This Row],[Tech Start Date]],2),""))))</f>
        <v/>
      </c>
      <c r="N555" s="77" t="str">
        <f>IF(Main[[#This Row],[Tech Start Date]]&lt;1/1/1990,"",IF(Main[[#This Row],[Class]]="C",WORKDAY(Main[[#This Row],[Tech Start Date]],19),IF(Main[[#This Row],[Class]]="B", WORKDAY(Main[[#This Row],[Tech Start Date]],12),IF(Main[[#This Row],[Class]]="A",WORKDAY(Main[[#This Row],[Tech Start Date]],4),""))))</f>
        <v/>
      </c>
      <c r="O555" s="77" t="str">
        <f>IF(Main[[#This Row],[Tech Start Date]]&lt;1/1/1990,"",IF(Main[[#This Row],[Class]]="C",WORKDAY(Main[[#This Row],[Tech Start Date]],23),IF(Main[[#This Row],[Class]]="B", WORKDAY(Main[[#This Row],[Tech Start Date]],15),IF(Main[[#This Row],[Class]]="A",WORKDAY(Main[[#This Row],[Tech Start Date]],5),""))))</f>
        <v/>
      </c>
      <c r="P555" s="77" t="str">
        <f>IF(Main[[#This Row],[Tech Start Date]]&lt;1/1/1990,"",IF(Main[[#This Row],[Class]]="C",WORKDAY(Main[[#This Row],[Tech Start Date]],28),IF(Main[[#This Row],[Class]]="B", WORKDAY(Main[[#This Row],[Tech Start Date]],19),IF(Main[[#This Row],[Class]]="A",WORKDAY(Main[[#This Row],[Tech Start Date]],9),""))))</f>
        <v/>
      </c>
      <c r="Q555" s="74">
        <v>40602</v>
      </c>
      <c r="R555" s="74"/>
      <c r="S555" s="72" t="s">
        <v>17</v>
      </c>
      <c r="T555" s="80" t="s">
        <v>4</v>
      </c>
      <c r="U555" s="72" t="s">
        <v>7</v>
      </c>
      <c r="V555" s="72" t="s">
        <v>1932</v>
      </c>
      <c r="W555" s="72" t="s">
        <v>1940</v>
      </c>
      <c r="X555" s="72" t="s">
        <v>2912</v>
      </c>
      <c r="Y555" s="72" t="s">
        <v>3037</v>
      </c>
      <c r="Z555" s="72" t="s">
        <v>129</v>
      </c>
      <c r="AA555" s="147" t="s">
        <v>2912</v>
      </c>
    </row>
    <row r="556" spans="1:27" ht="18.600000000000001" customHeight="1">
      <c r="A556" s="140" t="str">
        <f>IF(priority(Main[[#This Row],[Comments]])&lt;&gt;0, priority(Main[[#This Row],[Comments]]),"")</f>
        <v/>
      </c>
      <c r="B556" s="90" t="s">
        <v>1416</v>
      </c>
      <c r="C556" s="72" t="s">
        <v>31</v>
      </c>
      <c r="D556" s="73" t="s">
        <v>489</v>
      </c>
      <c r="E556" s="74"/>
      <c r="F556" s="74"/>
      <c r="G556" s="75" t="str">
        <f>IF(stdProdLT(Main[[#This Row],[Comments]])=0.1,"N/A",IF(stdProdLT(Main[[#This Row],[Comments]])=0,"",stdProdLT(Main[[#This Row],[Comments]])))</f>
        <v/>
      </c>
      <c r="H556" s="76" t="str">
        <f>IF(AND(Main[[#This Row],[In Stock Date]]&lt;&gt;"",Main[[#This Row],[Revised Due Date]]&lt;&gt;""),Main[[#This Row],[In Stock Date]]-Main[[#This Row],[Revised Due Date]],"")</f>
        <v/>
      </c>
      <c r="I556" s="72" t="s">
        <v>4</v>
      </c>
      <c r="J556" s="72" t="s">
        <v>4</v>
      </c>
      <c r="K556" s="72" t="s">
        <v>4</v>
      </c>
      <c r="L556" s="74"/>
      <c r="M556" s="77" t="str">
        <f>IF(Main[[#This Row],[Tech Start Date]]&lt;1/1/1990,"",IF(Main[[#This Row],[Class]]="C",WORKDAY(Main[[#This Row],[Tech Start Date]],9),IF(Main[[#This Row],[Class]]="B", WORKDAY(Main[[#This Row],[Tech Start Date]],6),IF(Main[[#This Row],[Class]]="A",WORKDAY(Main[[#This Row],[Tech Start Date]],2),""))))</f>
        <v/>
      </c>
      <c r="N556" s="77" t="str">
        <f>IF(Main[[#This Row],[Tech Start Date]]&lt;1/1/1990,"",IF(Main[[#This Row],[Class]]="C",WORKDAY(Main[[#This Row],[Tech Start Date]],19),IF(Main[[#This Row],[Class]]="B", WORKDAY(Main[[#This Row],[Tech Start Date]],12),IF(Main[[#This Row],[Class]]="A",WORKDAY(Main[[#This Row],[Tech Start Date]],4),""))))</f>
        <v/>
      </c>
      <c r="O556" s="77" t="str">
        <f>IF(Main[[#This Row],[Tech Start Date]]&lt;1/1/1990,"",IF(Main[[#This Row],[Class]]="C",WORKDAY(Main[[#This Row],[Tech Start Date]],23),IF(Main[[#This Row],[Class]]="B", WORKDAY(Main[[#This Row],[Tech Start Date]],15),IF(Main[[#This Row],[Class]]="A",WORKDAY(Main[[#This Row],[Tech Start Date]],5),""))))</f>
        <v/>
      </c>
      <c r="P556" s="77" t="str">
        <f>IF(Main[[#This Row],[Tech Start Date]]&lt;1/1/1990,"",IF(Main[[#This Row],[Class]]="C",WORKDAY(Main[[#This Row],[Tech Start Date]],28),IF(Main[[#This Row],[Class]]="B", WORKDAY(Main[[#This Row],[Tech Start Date]],19),IF(Main[[#This Row],[Class]]="A",WORKDAY(Main[[#This Row],[Tech Start Date]],9),""))))</f>
        <v/>
      </c>
      <c r="Q556" s="74">
        <v>40318</v>
      </c>
      <c r="R556" s="74"/>
      <c r="S556" s="72" t="s">
        <v>11</v>
      </c>
      <c r="T556" s="80" t="s">
        <v>4</v>
      </c>
      <c r="U556" s="72" t="s">
        <v>14</v>
      </c>
      <c r="V556" s="72" t="s">
        <v>1935</v>
      </c>
      <c r="W556" s="72" t="s">
        <v>1934</v>
      </c>
      <c r="X556" s="72" t="s">
        <v>2914</v>
      </c>
      <c r="Y556" s="72" t="s">
        <v>4</v>
      </c>
      <c r="Z556" s="72" t="s">
        <v>4</v>
      </c>
      <c r="AA556" s="147" t="s">
        <v>2914</v>
      </c>
    </row>
    <row r="557" spans="1:27" ht="18.600000000000001" customHeight="1">
      <c r="A557" s="140" t="str">
        <f>IF(priority(Main[[#This Row],[Comments]])&lt;&gt;0, priority(Main[[#This Row],[Comments]]),"")</f>
        <v/>
      </c>
      <c r="B557" s="90" t="s">
        <v>2216</v>
      </c>
      <c r="C557" s="72" t="s">
        <v>4</v>
      </c>
      <c r="D557" s="73" t="s">
        <v>2217</v>
      </c>
      <c r="E557" s="74">
        <v>40784.623067129629</v>
      </c>
      <c r="F557" s="74"/>
      <c r="G557" s="75" t="str">
        <f>IF(stdProdLT(Main[[#This Row],[Comments]])=0.1,"N/A",IF(stdProdLT(Main[[#This Row],[Comments]])=0,"",stdProdLT(Main[[#This Row],[Comments]])))</f>
        <v/>
      </c>
      <c r="H557" s="76" t="str">
        <f>IF(AND(Main[[#This Row],[In Stock Date]]&lt;&gt;"",Main[[#This Row],[Revised Due Date]]&lt;&gt;""),Main[[#This Row],[In Stock Date]]-Main[[#This Row],[Revised Due Date]],"")</f>
        <v/>
      </c>
      <c r="I557" s="72" t="s">
        <v>4</v>
      </c>
      <c r="J557" s="72" t="s">
        <v>4</v>
      </c>
      <c r="K557" s="72" t="s">
        <v>4</v>
      </c>
      <c r="L557" s="74"/>
      <c r="M557" s="77" t="str">
        <f>IF(Main[[#This Row],[Tech Start Date]]&lt;1/1/1990,"",IF(Main[[#This Row],[Class]]="C",WORKDAY(Main[[#This Row],[Tech Start Date]],9),IF(Main[[#This Row],[Class]]="B", WORKDAY(Main[[#This Row],[Tech Start Date]],6),IF(Main[[#This Row],[Class]]="A",WORKDAY(Main[[#This Row],[Tech Start Date]],2),""))))</f>
        <v/>
      </c>
      <c r="N557" s="77" t="str">
        <f>IF(Main[[#This Row],[Tech Start Date]]&lt;1/1/1990,"",IF(Main[[#This Row],[Class]]="C",WORKDAY(Main[[#This Row],[Tech Start Date]],19),IF(Main[[#This Row],[Class]]="B", WORKDAY(Main[[#This Row],[Tech Start Date]],12),IF(Main[[#This Row],[Class]]="A",WORKDAY(Main[[#This Row],[Tech Start Date]],4),""))))</f>
        <v/>
      </c>
      <c r="O557" s="77" t="str">
        <f>IF(Main[[#This Row],[Tech Start Date]]&lt;1/1/1990,"",IF(Main[[#This Row],[Class]]="C",WORKDAY(Main[[#This Row],[Tech Start Date]],23),IF(Main[[#This Row],[Class]]="B", WORKDAY(Main[[#This Row],[Tech Start Date]],15),IF(Main[[#This Row],[Class]]="A",WORKDAY(Main[[#This Row],[Tech Start Date]],5),""))))</f>
        <v/>
      </c>
      <c r="P557" s="77" t="str">
        <f>IF(Main[[#This Row],[Tech Start Date]]&lt;1/1/1990,"",IF(Main[[#This Row],[Class]]="C",WORKDAY(Main[[#This Row],[Tech Start Date]],28),IF(Main[[#This Row],[Class]]="B", WORKDAY(Main[[#This Row],[Tech Start Date]],19),IF(Main[[#This Row],[Class]]="A",WORKDAY(Main[[#This Row],[Tech Start Date]],9),""))))</f>
        <v/>
      </c>
      <c r="Q557" s="74"/>
      <c r="R557" s="74"/>
      <c r="S557" s="72" t="s">
        <v>17</v>
      </c>
      <c r="T557" s="80" t="s">
        <v>4</v>
      </c>
      <c r="U557" s="72" t="s">
        <v>7</v>
      </c>
      <c r="V557" s="72" t="s">
        <v>1935</v>
      </c>
      <c r="W557" s="72" t="s">
        <v>1937</v>
      </c>
      <c r="X557" s="72" t="s">
        <v>2969</v>
      </c>
      <c r="Y557" s="72" t="s">
        <v>3128</v>
      </c>
      <c r="Z557" s="72" t="s">
        <v>4</v>
      </c>
      <c r="AA557" s="147" t="s">
        <v>2969</v>
      </c>
    </row>
    <row r="558" spans="1:27" ht="18.600000000000001" customHeight="1">
      <c r="A558" s="140" t="str">
        <f>IF(priority(Main[[#This Row],[Comments]])&lt;&gt;0, priority(Main[[#This Row],[Comments]]),"")</f>
        <v/>
      </c>
      <c r="B558" s="90" t="s">
        <v>1418</v>
      </c>
      <c r="C558" s="72" t="s">
        <v>187</v>
      </c>
      <c r="D558" s="73" t="s">
        <v>491</v>
      </c>
      <c r="E558" s="74"/>
      <c r="F558" s="74"/>
      <c r="G558" s="75" t="str">
        <f>IF(stdProdLT(Main[[#This Row],[Comments]])=0.1,"N/A",IF(stdProdLT(Main[[#This Row],[Comments]])=0,"",stdProdLT(Main[[#This Row],[Comments]])))</f>
        <v/>
      </c>
      <c r="H558" s="76" t="str">
        <f>IF(AND(Main[[#This Row],[In Stock Date]]&lt;&gt;"",Main[[#This Row],[Revised Due Date]]&lt;&gt;""),Main[[#This Row],[In Stock Date]]-Main[[#This Row],[Revised Due Date]],"")</f>
        <v/>
      </c>
      <c r="I558" s="72" t="s">
        <v>4</v>
      </c>
      <c r="J558" s="72" t="s">
        <v>4</v>
      </c>
      <c r="K558" s="72" t="s">
        <v>4</v>
      </c>
      <c r="L558" s="74"/>
      <c r="M558" s="77" t="str">
        <f>IF(Main[[#This Row],[Tech Start Date]]&lt;1/1/1990,"",IF(Main[[#This Row],[Class]]="C",WORKDAY(Main[[#This Row],[Tech Start Date]],9),IF(Main[[#This Row],[Class]]="B", WORKDAY(Main[[#This Row],[Tech Start Date]],6),IF(Main[[#This Row],[Class]]="A",WORKDAY(Main[[#This Row],[Tech Start Date]],2),""))))</f>
        <v/>
      </c>
      <c r="N558" s="77" t="str">
        <f>IF(Main[[#This Row],[Tech Start Date]]&lt;1/1/1990,"",IF(Main[[#This Row],[Class]]="C",WORKDAY(Main[[#This Row],[Tech Start Date]],19),IF(Main[[#This Row],[Class]]="B", WORKDAY(Main[[#This Row],[Tech Start Date]],12),IF(Main[[#This Row],[Class]]="A",WORKDAY(Main[[#This Row],[Tech Start Date]],4),""))))</f>
        <v/>
      </c>
      <c r="O558" s="77" t="str">
        <f>IF(Main[[#This Row],[Tech Start Date]]&lt;1/1/1990,"",IF(Main[[#This Row],[Class]]="C",WORKDAY(Main[[#This Row],[Tech Start Date]],23),IF(Main[[#This Row],[Class]]="B", WORKDAY(Main[[#This Row],[Tech Start Date]],15),IF(Main[[#This Row],[Class]]="A",WORKDAY(Main[[#This Row],[Tech Start Date]],5),""))))</f>
        <v/>
      </c>
      <c r="P558" s="77" t="str">
        <f>IF(Main[[#This Row],[Tech Start Date]]&lt;1/1/1990,"",IF(Main[[#This Row],[Class]]="C",WORKDAY(Main[[#This Row],[Tech Start Date]],28),IF(Main[[#This Row],[Class]]="B", WORKDAY(Main[[#This Row],[Tech Start Date]],19),IF(Main[[#This Row],[Class]]="A",WORKDAY(Main[[#This Row],[Tech Start Date]],9),""))))</f>
        <v/>
      </c>
      <c r="Q558" s="74">
        <v>40116</v>
      </c>
      <c r="R558" s="74"/>
      <c r="S558" s="72" t="s">
        <v>11</v>
      </c>
      <c r="T558" s="80" t="s">
        <v>4</v>
      </c>
      <c r="U558" s="72" t="s">
        <v>14</v>
      </c>
      <c r="V558" s="72" t="s">
        <v>1935</v>
      </c>
      <c r="W558" s="72" t="s">
        <v>1934</v>
      </c>
      <c r="X558" s="72" t="s">
        <v>2947</v>
      </c>
      <c r="Y558" s="72" t="s">
        <v>4</v>
      </c>
      <c r="Z558" s="72" t="s">
        <v>4</v>
      </c>
      <c r="AA558" s="147" t="s">
        <v>2947</v>
      </c>
    </row>
    <row r="559" spans="1:27" ht="18.600000000000001" customHeight="1">
      <c r="A559" s="140" t="str">
        <f>IF(priority(Main[[#This Row],[Comments]])&lt;&gt;0, priority(Main[[#This Row],[Comments]]),"")</f>
        <v/>
      </c>
      <c r="B559" s="90" t="s">
        <v>1587</v>
      </c>
      <c r="C559" s="72" t="s">
        <v>657</v>
      </c>
      <c r="D559" s="73" t="s">
        <v>658</v>
      </c>
      <c r="E559" s="74">
        <v>40350.419861111113</v>
      </c>
      <c r="F559" s="74">
        <v>40444</v>
      </c>
      <c r="G559" s="75" t="str">
        <f>IF(stdProdLT(Main[[#This Row],[Comments]])=0.1,"N/A",IF(stdProdLT(Main[[#This Row],[Comments]])=0,"",stdProdLT(Main[[#This Row],[Comments]])))</f>
        <v/>
      </c>
      <c r="H559" s="76" t="str">
        <f>IF(AND(Main[[#This Row],[In Stock Date]]&lt;&gt;"",Main[[#This Row],[Revised Due Date]]&lt;&gt;""),Main[[#This Row],[In Stock Date]]-Main[[#This Row],[Revised Due Date]],"")</f>
        <v/>
      </c>
      <c r="I559" s="72" t="s">
        <v>659</v>
      </c>
      <c r="J559" s="72" t="s">
        <v>28</v>
      </c>
      <c r="K559" s="72" t="s">
        <v>1944</v>
      </c>
      <c r="L559" s="74"/>
      <c r="M559" s="77" t="str">
        <f>IF(Main[[#This Row],[Tech Start Date]]&lt;1/1/1990,"",IF(Main[[#This Row],[Class]]="C",WORKDAY(Main[[#This Row],[Tech Start Date]],9),IF(Main[[#This Row],[Class]]="B", WORKDAY(Main[[#This Row],[Tech Start Date]],6),IF(Main[[#This Row],[Class]]="A",WORKDAY(Main[[#This Row],[Tech Start Date]],2),""))))</f>
        <v/>
      </c>
      <c r="N559" s="77" t="str">
        <f>IF(Main[[#This Row],[Tech Start Date]]&lt;1/1/1990,"",IF(Main[[#This Row],[Class]]="C",WORKDAY(Main[[#This Row],[Tech Start Date]],19),IF(Main[[#This Row],[Class]]="B", WORKDAY(Main[[#This Row],[Tech Start Date]],12),IF(Main[[#This Row],[Class]]="A",WORKDAY(Main[[#This Row],[Tech Start Date]],4),""))))</f>
        <v/>
      </c>
      <c r="O559" s="77" t="str">
        <f>IF(Main[[#This Row],[Tech Start Date]]&lt;1/1/1990,"",IF(Main[[#This Row],[Class]]="C",WORKDAY(Main[[#This Row],[Tech Start Date]],23),IF(Main[[#This Row],[Class]]="B", WORKDAY(Main[[#This Row],[Tech Start Date]],15),IF(Main[[#This Row],[Class]]="A",WORKDAY(Main[[#This Row],[Tech Start Date]],5),""))))</f>
        <v/>
      </c>
      <c r="P559" s="77" t="str">
        <f>IF(Main[[#This Row],[Tech Start Date]]&lt;1/1/1990,"",IF(Main[[#This Row],[Class]]="C",WORKDAY(Main[[#This Row],[Tech Start Date]],28),IF(Main[[#This Row],[Class]]="B", WORKDAY(Main[[#This Row],[Tech Start Date]],19),IF(Main[[#This Row],[Class]]="A",WORKDAY(Main[[#This Row],[Tech Start Date]],9),""))))</f>
        <v/>
      </c>
      <c r="Q559" s="74">
        <v>40353</v>
      </c>
      <c r="R559" s="74"/>
      <c r="S559" s="72" t="s">
        <v>17</v>
      </c>
      <c r="T559" s="80" t="s">
        <v>4</v>
      </c>
      <c r="U559" s="72" t="s">
        <v>7</v>
      </c>
      <c r="V559" s="72" t="s">
        <v>1935</v>
      </c>
      <c r="W559" s="72" t="s">
        <v>1937</v>
      </c>
      <c r="X559" s="72" t="s">
        <v>2970</v>
      </c>
      <c r="Y559" s="72" t="s">
        <v>3129</v>
      </c>
      <c r="Z559" s="72" t="s">
        <v>535</v>
      </c>
      <c r="AA559" s="147" t="s">
        <v>3601</v>
      </c>
    </row>
    <row r="560" spans="1:27" ht="18.600000000000001" customHeight="1">
      <c r="A560" s="140" t="str">
        <f>IF(priority(Main[[#This Row],[Comments]])&lt;&gt;0, priority(Main[[#This Row],[Comments]]),"")</f>
        <v/>
      </c>
      <c r="B560" s="90" t="s">
        <v>1421</v>
      </c>
      <c r="C560" s="72" t="s">
        <v>67</v>
      </c>
      <c r="D560" s="73" t="s">
        <v>493</v>
      </c>
      <c r="E560" s="74"/>
      <c r="F560" s="74">
        <v>40561</v>
      </c>
      <c r="G560" s="75" t="str">
        <f>IF(stdProdLT(Main[[#This Row],[Comments]])=0.1,"N/A",IF(stdProdLT(Main[[#This Row],[Comments]])=0,"",stdProdLT(Main[[#This Row],[Comments]])))</f>
        <v/>
      </c>
      <c r="H560" s="76" t="str">
        <f>IF(AND(Main[[#This Row],[In Stock Date]]&lt;&gt;"",Main[[#This Row],[Revised Due Date]]&lt;&gt;""),Main[[#This Row],[In Stock Date]]-Main[[#This Row],[Revised Due Date]],"")</f>
        <v/>
      </c>
      <c r="I560" s="72" t="s">
        <v>4</v>
      </c>
      <c r="J560" s="72" t="s">
        <v>4</v>
      </c>
      <c r="K560" s="81" t="s">
        <v>4</v>
      </c>
      <c r="L560" s="74"/>
      <c r="M560" s="77" t="str">
        <f>IF(Main[[#This Row],[Tech Start Date]]&lt;1/1/1990,"",IF(Main[[#This Row],[Class]]="C",WORKDAY(Main[[#This Row],[Tech Start Date]],9),IF(Main[[#This Row],[Class]]="B", WORKDAY(Main[[#This Row],[Tech Start Date]],6),IF(Main[[#This Row],[Class]]="A",WORKDAY(Main[[#This Row],[Tech Start Date]],2),""))))</f>
        <v/>
      </c>
      <c r="N560" s="77" t="str">
        <f>IF(Main[[#This Row],[Tech Start Date]]&lt;1/1/1990,"",IF(Main[[#This Row],[Class]]="C",WORKDAY(Main[[#This Row],[Tech Start Date]],19),IF(Main[[#This Row],[Class]]="B", WORKDAY(Main[[#This Row],[Tech Start Date]],12),IF(Main[[#This Row],[Class]]="A",WORKDAY(Main[[#This Row],[Tech Start Date]],4),""))))</f>
        <v/>
      </c>
      <c r="O560" s="77" t="str">
        <f>IF(Main[[#This Row],[Tech Start Date]]&lt;1/1/1990,"",IF(Main[[#This Row],[Class]]="C",WORKDAY(Main[[#This Row],[Tech Start Date]],23),IF(Main[[#This Row],[Class]]="B", WORKDAY(Main[[#This Row],[Tech Start Date]],15),IF(Main[[#This Row],[Class]]="A",WORKDAY(Main[[#This Row],[Tech Start Date]],5),""))))</f>
        <v/>
      </c>
      <c r="P560" s="77" t="str">
        <f>IF(Main[[#This Row],[Tech Start Date]]&lt;1/1/1990,"",IF(Main[[#This Row],[Class]]="C",WORKDAY(Main[[#This Row],[Tech Start Date]],28),IF(Main[[#This Row],[Class]]="B", WORKDAY(Main[[#This Row],[Tech Start Date]],19),IF(Main[[#This Row],[Class]]="A",WORKDAY(Main[[#This Row],[Tech Start Date]],9),""))))</f>
        <v/>
      </c>
      <c r="Q560" s="74"/>
      <c r="R560" s="74"/>
      <c r="S560" s="72" t="s">
        <v>11</v>
      </c>
      <c r="T560" s="80" t="s">
        <v>4</v>
      </c>
      <c r="U560" s="72" t="s">
        <v>14</v>
      </c>
      <c r="V560" s="72" t="s">
        <v>1935</v>
      </c>
      <c r="W560" s="72" t="s">
        <v>1938</v>
      </c>
      <c r="X560" s="72" t="s">
        <v>50</v>
      </c>
      <c r="Y560" s="72" t="s">
        <v>4</v>
      </c>
      <c r="Z560" s="72" t="s">
        <v>4</v>
      </c>
      <c r="AA560" s="147" t="s">
        <v>4</v>
      </c>
    </row>
    <row r="561" spans="1:27" ht="18.600000000000001" customHeight="1">
      <c r="A561" s="140" t="str">
        <f>IF(priority(Main[[#This Row],[Comments]])&lt;&gt;0, priority(Main[[#This Row],[Comments]]),"")</f>
        <v/>
      </c>
      <c r="B561" s="90" t="s">
        <v>1423</v>
      </c>
      <c r="C561" s="72" t="s">
        <v>31</v>
      </c>
      <c r="D561" s="73" t="s">
        <v>495</v>
      </c>
      <c r="E561" s="74"/>
      <c r="F561" s="74">
        <v>40203</v>
      </c>
      <c r="G561" s="75" t="str">
        <f>IF(stdProdLT(Main[[#This Row],[Comments]])=0.1,"N/A",IF(stdProdLT(Main[[#This Row],[Comments]])=0,"",stdProdLT(Main[[#This Row],[Comments]])))</f>
        <v/>
      </c>
      <c r="H561" s="76" t="str">
        <f>IF(AND(Main[[#This Row],[In Stock Date]]&lt;&gt;"",Main[[#This Row],[Revised Due Date]]&lt;&gt;""),Main[[#This Row],[In Stock Date]]-Main[[#This Row],[Revised Due Date]],"")</f>
        <v/>
      </c>
      <c r="I561" s="72" t="s">
        <v>4</v>
      </c>
      <c r="J561" s="72" t="s">
        <v>4</v>
      </c>
      <c r="K561" s="72" t="s">
        <v>4</v>
      </c>
      <c r="L561" s="74"/>
      <c r="M561" s="77" t="str">
        <f>IF(Main[[#This Row],[Tech Start Date]]&lt;1/1/1990,"",IF(Main[[#This Row],[Class]]="C",WORKDAY(Main[[#This Row],[Tech Start Date]],9),IF(Main[[#This Row],[Class]]="B", WORKDAY(Main[[#This Row],[Tech Start Date]],6),IF(Main[[#This Row],[Class]]="A",WORKDAY(Main[[#This Row],[Tech Start Date]],2),""))))</f>
        <v/>
      </c>
      <c r="N561" s="77" t="str">
        <f>IF(Main[[#This Row],[Tech Start Date]]&lt;1/1/1990,"",IF(Main[[#This Row],[Class]]="C",WORKDAY(Main[[#This Row],[Tech Start Date]],19),IF(Main[[#This Row],[Class]]="B", WORKDAY(Main[[#This Row],[Tech Start Date]],12),IF(Main[[#This Row],[Class]]="A",WORKDAY(Main[[#This Row],[Tech Start Date]],4),""))))</f>
        <v/>
      </c>
      <c r="O561" s="77" t="str">
        <f>IF(Main[[#This Row],[Tech Start Date]]&lt;1/1/1990,"",IF(Main[[#This Row],[Class]]="C",WORKDAY(Main[[#This Row],[Tech Start Date]],23),IF(Main[[#This Row],[Class]]="B", WORKDAY(Main[[#This Row],[Tech Start Date]],15),IF(Main[[#This Row],[Class]]="A",WORKDAY(Main[[#This Row],[Tech Start Date]],5),""))))</f>
        <v/>
      </c>
      <c r="P561" s="77" t="str">
        <f>IF(Main[[#This Row],[Tech Start Date]]&lt;1/1/1990,"",IF(Main[[#This Row],[Class]]="C",WORKDAY(Main[[#This Row],[Tech Start Date]],28),IF(Main[[#This Row],[Class]]="B", WORKDAY(Main[[#This Row],[Tech Start Date]],19),IF(Main[[#This Row],[Class]]="A",WORKDAY(Main[[#This Row],[Tech Start Date]],9),""))))</f>
        <v/>
      </c>
      <c r="Q561" s="74">
        <v>40063</v>
      </c>
      <c r="R561" s="74"/>
      <c r="S561" s="72" t="s">
        <v>11</v>
      </c>
      <c r="T561" s="80" t="s">
        <v>4</v>
      </c>
      <c r="U561" s="72" t="s">
        <v>14</v>
      </c>
      <c r="V561" s="72" t="s">
        <v>1942</v>
      </c>
      <c r="W561" s="72" t="s">
        <v>1938</v>
      </c>
      <c r="X561" s="72" t="s">
        <v>2955</v>
      </c>
      <c r="Y561" s="72" t="s">
        <v>4</v>
      </c>
      <c r="Z561" s="72" t="s">
        <v>4</v>
      </c>
      <c r="AA561" s="147" t="s">
        <v>2955</v>
      </c>
    </row>
    <row r="562" spans="1:27" ht="18.600000000000001" customHeight="1">
      <c r="A562" s="140" t="str">
        <f>IF(priority(Main[[#This Row],[Comments]])&lt;&gt;0, priority(Main[[#This Row],[Comments]]),"")</f>
        <v/>
      </c>
      <c r="B562" s="90" t="s">
        <v>1424</v>
      </c>
      <c r="C562" s="72" t="s">
        <v>4</v>
      </c>
      <c r="D562" s="73" t="s">
        <v>496</v>
      </c>
      <c r="E562" s="74">
        <v>40381.391886574071</v>
      </c>
      <c r="F562" s="74"/>
      <c r="G562" s="75" t="str">
        <f>IF(stdProdLT(Main[[#This Row],[Comments]])=0.1,"N/A",IF(stdProdLT(Main[[#This Row],[Comments]])=0,"",stdProdLT(Main[[#This Row],[Comments]])))</f>
        <v/>
      </c>
      <c r="H562" s="76" t="str">
        <f>IF(AND(Main[[#This Row],[In Stock Date]]&lt;&gt;"",Main[[#This Row],[Revised Due Date]]&lt;&gt;""),Main[[#This Row],[In Stock Date]]-Main[[#This Row],[Revised Due Date]],"")</f>
        <v/>
      </c>
      <c r="I562" s="72" t="s">
        <v>4</v>
      </c>
      <c r="J562" s="72" t="s">
        <v>28</v>
      </c>
      <c r="K562" s="72" t="s">
        <v>4</v>
      </c>
      <c r="L562" s="74"/>
      <c r="M562" s="77" t="str">
        <f>IF(Main[[#This Row],[Tech Start Date]]&lt;1/1/1990,"",IF(Main[[#This Row],[Class]]="C",WORKDAY(Main[[#This Row],[Tech Start Date]],9),IF(Main[[#This Row],[Class]]="B", WORKDAY(Main[[#This Row],[Tech Start Date]],6),IF(Main[[#This Row],[Class]]="A",WORKDAY(Main[[#This Row],[Tech Start Date]],2),""))))</f>
        <v/>
      </c>
      <c r="N562" s="77" t="str">
        <f>IF(Main[[#This Row],[Tech Start Date]]&lt;1/1/1990,"",IF(Main[[#This Row],[Class]]="C",WORKDAY(Main[[#This Row],[Tech Start Date]],19),IF(Main[[#This Row],[Class]]="B", WORKDAY(Main[[#This Row],[Tech Start Date]],12),IF(Main[[#This Row],[Class]]="A",WORKDAY(Main[[#This Row],[Tech Start Date]],4),""))))</f>
        <v/>
      </c>
      <c r="O562" s="77" t="str">
        <f>IF(Main[[#This Row],[Tech Start Date]]&lt;1/1/1990,"",IF(Main[[#This Row],[Class]]="C",WORKDAY(Main[[#This Row],[Tech Start Date]],23),IF(Main[[#This Row],[Class]]="B", WORKDAY(Main[[#This Row],[Tech Start Date]],15),IF(Main[[#This Row],[Class]]="A",WORKDAY(Main[[#This Row],[Tech Start Date]],5),""))))</f>
        <v/>
      </c>
      <c r="P562" s="77" t="str">
        <f>IF(Main[[#This Row],[Tech Start Date]]&lt;1/1/1990,"",IF(Main[[#This Row],[Class]]="C",WORKDAY(Main[[#This Row],[Tech Start Date]],28),IF(Main[[#This Row],[Class]]="B", WORKDAY(Main[[#This Row],[Tech Start Date]],19),IF(Main[[#This Row],[Class]]="A",WORKDAY(Main[[#This Row],[Tech Start Date]],9),""))))</f>
        <v/>
      </c>
      <c r="Q562" s="74">
        <v>40451</v>
      </c>
      <c r="R562" s="74"/>
      <c r="S562" s="72" t="s">
        <v>6</v>
      </c>
      <c r="T562" s="80" t="s">
        <v>4</v>
      </c>
      <c r="U562" s="72" t="s">
        <v>7</v>
      </c>
      <c r="V562" s="72" t="s">
        <v>1932</v>
      </c>
      <c r="W562" s="72" t="s">
        <v>1934</v>
      </c>
      <c r="X562" s="72" t="s">
        <v>2971</v>
      </c>
      <c r="Y562" s="72" t="s">
        <v>3130</v>
      </c>
      <c r="Z562" s="72" t="s">
        <v>129</v>
      </c>
      <c r="AA562" s="147" t="s">
        <v>2971</v>
      </c>
    </row>
    <row r="563" spans="1:27" ht="18.600000000000001" customHeight="1">
      <c r="A563" s="140" t="str">
        <f>IF(priority(Main[[#This Row],[Comments]])&lt;&gt;0, priority(Main[[#This Row],[Comments]]),"")</f>
        <v/>
      </c>
      <c r="B563" s="90" t="s">
        <v>2770</v>
      </c>
      <c r="C563" s="72" t="s">
        <v>4</v>
      </c>
      <c r="D563" s="73" t="s">
        <v>2771</v>
      </c>
      <c r="E563" s="74">
        <v>40897.44736111111</v>
      </c>
      <c r="F563" s="74"/>
      <c r="G563" s="75" t="str">
        <f>IF(stdProdLT(Main[[#This Row],[Comments]])=0.1,"N/A",IF(stdProdLT(Main[[#This Row],[Comments]])=0,"",stdProdLT(Main[[#This Row],[Comments]])))</f>
        <v/>
      </c>
      <c r="H563" s="76" t="str">
        <f>IF(AND(Main[[#This Row],[In Stock Date]]&lt;&gt;"",Main[[#This Row],[Revised Due Date]]&lt;&gt;""),Main[[#This Row],[In Stock Date]]-Main[[#This Row],[Revised Due Date]],"")</f>
        <v/>
      </c>
      <c r="I563" s="72" t="s">
        <v>4</v>
      </c>
      <c r="J563" s="72" t="s">
        <v>4</v>
      </c>
      <c r="K563" s="72" t="s">
        <v>4</v>
      </c>
      <c r="L563" s="74"/>
      <c r="M563" s="77" t="str">
        <f>IF(Main[[#This Row],[Tech Start Date]]&lt;1/1/1990,"",IF(Main[[#This Row],[Class]]="C",WORKDAY(Main[[#This Row],[Tech Start Date]],9),IF(Main[[#This Row],[Class]]="B", WORKDAY(Main[[#This Row],[Tech Start Date]],6),IF(Main[[#This Row],[Class]]="A",WORKDAY(Main[[#This Row],[Tech Start Date]],2),""))))</f>
        <v/>
      </c>
      <c r="N563" s="77" t="str">
        <f>IF(Main[[#This Row],[Tech Start Date]]&lt;1/1/1990,"",IF(Main[[#This Row],[Class]]="C",WORKDAY(Main[[#This Row],[Tech Start Date]],19),IF(Main[[#This Row],[Class]]="B", WORKDAY(Main[[#This Row],[Tech Start Date]],12),IF(Main[[#This Row],[Class]]="A",WORKDAY(Main[[#This Row],[Tech Start Date]],4),""))))</f>
        <v/>
      </c>
      <c r="O563" s="77" t="str">
        <f>IF(Main[[#This Row],[Tech Start Date]]&lt;1/1/1990,"",IF(Main[[#This Row],[Class]]="C",WORKDAY(Main[[#This Row],[Tech Start Date]],23),IF(Main[[#This Row],[Class]]="B", WORKDAY(Main[[#This Row],[Tech Start Date]],15),IF(Main[[#This Row],[Class]]="A",WORKDAY(Main[[#This Row],[Tech Start Date]],5),""))))</f>
        <v/>
      </c>
      <c r="P563" s="77" t="str">
        <f>IF(Main[[#This Row],[Tech Start Date]]&lt;1/1/1990,"",IF(Main[[#This Row],[Class]]="C",WORKDAY(Main[[#This Row],[Tech Start Date]],28),IF(Main[[#This Row],[Class]]="B", WORKDAY(Main[[#This Row],[Tech Start Date]],19),IF(Main[[#This Row],[Class]]="A",WORKDAY(Main[[#This Row],[Tech Start Date]],9),""))))</f>
        <v/>
      </c>
      <c r="Q563" s="74"/>
      <c r="R563" s="74"/>
      <c r="S563" s="72" t="s">
        <v>23</v>
      </c>
      <c r="T563" s="80" t="s">
        <v>4</v>
      </c>
      <c r="U563" s="72" t="s">
        <v>7</v>
      </c>
      <c r="V563" s="72" t="s">
        <v>1933</v>
      </c>
      <c r="W563" s="72" t="s">
        <v>1936</v>
      </c>
      <c r="X563" s="72" t="s">
        <v>403</v>
      </c>
      <c r="Y563" s="72" t="s">
        <v>4</v>
      </c>
      <c r="Z563" s="72" t="s">
        <v>4</v>
      </c>
      <c r="AA563" s="147" t="s">
        <v>3573</v>
      </c>
    </row>
    <row r="564" spans="1:27" ht="18.600000000000001" customHeight="1">
      <c r="A564" s="140" t="str">
        <f>IF(priority(Main[[#This Row],[Comments]])&lt;&gt;0, priority(Main[[#This Row],[Comments]]),"")</f>
        <v/>
      </c>
      <c r="B564" s="90" t="s">
        <v>1425</v>
      </c>
      <c r="C564" s="72" t="s">
        <v>4</v>
      </c>
      <c r="D564" s="73" t="s">
        <v>497</v>
      </c>
      <c r="E564" s="74"/>
      <c r="F564" s="74"/>
      <c r="G564" s="75" t="str">
        <f>IF(stdProdLT(Main[[#This Row],[Comments]])=0.1,"N/A",IF(stdProdLT(Main[[#This Row],[Comments]])=0,"",stdProdLT(Main[[#This Row],[Comments]])))</f>
        <v/>
      </c>
      <c r="H564" s="76" t="str">
        <f>IF(AND(Main[[#This Row],[In Stock Date]]&lt;&gt;"",Main[[#This Row],[Revised Due Date]]&lt;&gt;""),Main[[#This Row],[In Stock Date]]-Main[[#This Row],[Revised Due Date]],"")</f>
        <v/>
      </c>
      <c r="I564" s="72" t="s">
        <v>81</v>
      </c>
      <c r="J564" s="72" t="s">
        <v>4</v>
      </c>
      <c r="K564" s="72" t="s">
        <v>4</v>
      </c>
      <c r="L564" s="74"/>
      <c r="M564" s="77" t="str">
        <f>IF(Main[[#This Row],[Tech Start Date]]&lt;1/1/1990,"",IF(Main[[#This Row],[Class]]="C",WORKDAY(Main[[#This Row],[Tech Start Date]],9),IF(Main[[#This Row],[Class]]="B", WORKDAY(Main[[#This Row],[Tech Start Date]],6),IF(Main[[#This Row],[Class]]="A",WORKDAY(Main[[#This Row],[Tech Start Date]],2),""))))</f>
        <v/>
      </c>
      <c r="N564" s="77" t="str">
        <f>IF(Main[[#This Row],[Tech Start Date]]&lt;1/1/1990,"",IF(Main[[#This Row],[Class]]="C",WORKDAY(Main[[#This Row],[Tech Start Date]],19),IF(Main[[#This Row],[Class]]="B", WORKDAY(Main[[#This Row],[Tech Start Date]],12),IF(Main[[#This Row],[Class]]="A",WORKDAY(Main[[#This Row],[Tech Start Date]],4),""))))</f>
        <v/>
      </c>
      <c r="O564" s="77" t="str">
        <f>IF(Main[[#This Row],[Tech Start Date]]&lt;1/1/1990,"",IF(Main[[#This Row],[Class]]="C",WORKDAY(Main[[#This Row],[Tech Start Date]],23),IF(Main[[#This Row],[Class]]="B", WORKDAY(Main[[#This Row],[Tech Start Date]],15),IF(Main[[#This Row],[Class]]="A",WORKDAY(Main[[#This Row],[Tech Start Date]],5),""))))</f>
        <v/>
      </c>
      <c r="P564" s="77" t="str">
        <f>IF(Main[[#This Row],[Tech Start Date]]&lt;1/1/1990,"",IF(Main[[#This Row],[Class]]="C",WORKDAY(Main[[#This Row],[Tech Start Date]],28),IF(Main[[#This Row],[Class]]="B", WORKDAY(Main[[#This Row],[Tech Start Date]],19),IF(Main[[#This Row],[Class]]="A",WORKDAY(Main[[#This Row],[Tech Start Date]],9),""))))</f>
        <v/>
      </c>
      <c r="Q564" s="74">
        <v>40338</v>
      </c>
      <c r="R564" s="74"/>
      <c r="S564" s="72" t="s">
        <v>6</v>
      </c>
      <c r="T564" s="80" t="s">
        <v>4</v>
      </c>
      <c r="U564" s="72" t="s">
        <v>14</v>
      </c>
      <c r="V564" s="72" t="s">
        <v>1935</v>
      </c>
      <c r="W564" s="72" t="s">
        <v>1936</v>
      </c>
      <c r="X564" s="72" t="s">
        <v>403</v>
      </c>
      <c r="Y564" s="72" t="s">
        <v>3148</v>
      </c>
      <c r="Z564" s="72" t="s">
        <v>4</v>
      </c>
      <c r="AA564" s="147" t="s">
        <v>3605</v>
      </c>
    </row>
    <row r="565" spans="1:27" ht="18.600000000000001" customHeight="1">
      <c r="A565" s="140" t="str">
        <f>IF(priority(Main[[#This Row],[Comments]])&lt;&gt;0, priority(Main[[#This Row],[Comments]]),"")</f>
        <v/>
      </c>
      <c r="B565" s="90" t="s">
        <v>1426</v>
      </c>
      <c r="C565" s="72" t="s">
        <v>498</v>
      </c>
      <c r="D565" s="73" t="s">
        <v>499</v>
      </c>
      <c r="E565" s="74"/>
      <c r="F565" s="74"/>
      <c r="G565" s="75" t="str">
        <f>IF(stdProdLT(Main[[#This Row],[Comments]])=0.1,"N/A",IF(stdProdLT(Main[[#This Row],[Comments]])=0,"",stdProdLT(Main[[#This Row],[Comments]])))</f>
        <v/>
      </c>
      <c r="H565" s="76" t="str">
        <f>IF(AND(Main[[#This Row],[In Stock Date]]&lt;&gt;"",Main[[#This Row],[Revised Due Date]]&lt;&gt;""),Main[[#This Row],[In Stock Date]]-Main[[#This Row],[Revised Due Date]],"")</f>
        <v/>
      </c>
      <c r="I565" s="72" t="s">
        <v>4</v>
      </c>
      <c r="J565" s="72" t="s">
        <v>4</v>
      </c>
      <c r="K565" s="81" t="s">
        <v>4</v>
      </c>
      <c r="L565" s="74"/>
      <c r="M565" s="77" t="str">
        <f>IF(Main[[#This Row],[Tech Start Date]]&lt;1/1/1990,"",IF(Main[[#This Row],[Class]]="C",WORKDAY(Main[[#This Row],[Tech Start Date]],9),IF(Main[[#This Row],[Class]]="B", WORKDAY(Main[[#This Row],[Tech Start Date]],6),IF(Main[[#This Row],[Class]]="A",WORKDAY(Main[[#This Row],[Tech Start Date]],2),""))))</f>
        <v/>
      </c>
      <c r="N565" s="77" t="str">
        <f>IF(Main[[#This Row],[Tech Start Date]]&lt;1/1/1990,"",IF(Main[[#This Row],[Class]]="C",WORKDAY(Main[[#This Row],[Tech Start Date]],19),IF(Main[[#This Row],[Class]]="B", WORKDAY(Main[[#This Row],[Tech Start Date]],12),IF(Main[[#This Row],[Class]]="A",WORKDAY(Main[[#This Row],[Tech Start Date]],4),""))))</f>
        <v/>
      </c>
      <c r="O565" s="77" t="str">
        <f>IF(Main[[#This Row],[Tech Start Date]]&lt;1/1/1990,"",IF(Main[[#This Row],[Class]]="C",WORKDAY(Main[[#This Row],[Tech Start Date]],23),IF(Main[[#This Row],[Class]]="B", WORKDAY(Main[[#This Row],[Tech Start Date]],15),IF(Main[[#This Row],[Class]]="A",WORKDAY(Main[[#This Row],[Tech Start Date]],5),""))))</f>
        <v/>
      </c>
      <c r="P565" s="77" t="str">
        <f>IF(Main[[#This Row],[Tech Start Date]]&lt;1/1/1990,"",IF(Main[[#This Row],[Class]]="C",WORKDAY(Main[[#This Row],[Tech Start Date]],28),IF(Main[[#This Row],[Class]]="B", WORKDAY(Main[[#This Row],[Tech Start Date]],19),IF(Main[[#This Row],[Class]]="A",WORKDAY(Main[[#This Row],[Tech Start Date]],9),""))))</f>
        <v/>
      </c>
      <c r="Q565" s="74">
        <v>40239</v>
      </c>
      <c r="R565" s="74"/>
      <c r="S565" s="72" t="s">
        <v>11</v>
      </c>
      <c r="T565" s="80" t="s">
        <v>4</v>
      </c>
      <c r="U565" s="72" t="s">
        <v>14</v>
      </c>
      <c r="V565" s="72" t="s">
        <v>1935</v>
      </c>
      <c r="W565" s="72" t="s">
        <v>1934</v>
      </c>
      <c r="X565" s="72" t="s">
        <v>2980</v>
      </c>
      <c r="Y565" s="72" t="s">
        <v>4</v>
      </c>
      <c r="Z565" s="72" t="s">
        <v>4</v>
      </c>
      <c r="AA565" s="147" t="s">
        <v>2980</v>
      </c>
    </row>
    <row r="566" spans="1:27" ht="18.600000000000001" customHeight="1">
      <c r="A566" s="140" t="str">
        <f>IF(priority(Main[[#This Row],[Comments]])&lt;&gt;0, priority(Main[[#This Row],[Comments]]),"")</f>
        <v/>
      </c>
      <c r="B566" s="90" t="s">
        <v>1427</v>
      </c>
      <c r="C566" s="72" t="s">
        <v>500</v>
      </c>
      <c r="D566" s="73" t="s">
        <v>501</v>
      </c>
      <c r="E566" s="74"/>
      <c r="F566" s="74"/>
      <c r="G566" s="75" t="str">
        <f>IF(stdProdLT(Main[[#This Row],[Comments]])=0.1,"N/A",IF(stdProdLT(Main[[#This Row],[Comments]])=0,"",stdProdLT(Main[[#This Row],[Comments]])))</f>
        <v/>
      </c>
      <c r="H566" s="76" t="str">
        <f>IF(AND(Main[[#This Row],[In Stock Date]]&lt;&gt;"",Main[[#This Row],[Revised Due Date]]&lt;&gt;""),Main[[#This Row],[In Stock Date]]-Main[[#This Row],[Revised Due Date]],"")</f>
        <v/>
      </c>
      <c r="I566" s="72" t="s">
        <v>4</v>
      </c>
      <c r="J566" s="72" t="s">
        <v>4</v>
      </c>
      <c r="K566" s="72" t="s">
        <v>4</v>
      </c>
      <c r="L566" s="74"/>
      <c r="M566" s="77" t="str">
        <f>IF(Main[[#This Row],[Tech Start Date]]&lt;1/1/1990,"",IF(Main[[#This Row],[Class]]="C",WORKDAY(Main[[#This Row],[Tech Start Date]],9),IF(Main[[#This Row],[Class]]="B", WORKDAY(Main[[#This Row],[Tech Start Date]],6),IF(Main[[#This Row],[Class]]="A",WORKDAY(Main[[#This Row],[Tech Start Date]],2),""))))</f>
        <v/>
      </c>
      <c r="N566" s="77" t="str">
        <f>IF(Main[[#This Row],[Tech Start Date]]&lt;1/1/1990,"",IF(Main[[#This Row],[Class]]="C",WORKDAY(Main[[#This Row],[Tech Start Date]],19),IF(Main[[#This Row],[Class]]="B", WORKDAY(Main[[#This Row],[Tech Start Date]],12),IF(Main[[#This Row],[Class]]="A",WORKDAY(Main[[#This Row],[Tech Start Date]],4),""))))</f>
        <v/>
      </c>
      <c r="O566" s="77" t="str">
        <f>IF(Main[[#This Row],[Tech Start Date]]&lt;1/1/1990,"",IF(Main[[#This Row],[Class]]="C",WORKDAY(Main[[#This Row],[Tech Start Date]],23),IF(Main[[#This Row],[Class]]="B", WORKDAY(Main[[#This Row],[Tech Start Date]],15),IF(Main[[#This Row],[Class]]="A",WORKDAY(Main[[#This Row],[Tech Start Date]],5),""))))</f>
        <v/>
      </c>
      <c r="P566" s="77" t="str">
        <f>IF(Main[[#This Row],[Tech Start Date]]&lt;1/1/1990,"",IF(Main[[#This Row],[Class]]="C",WORKDAY(Main[[#This Row],[Tech Start Date]],28),IF(Main[[#This Row],[Class]]="B", WORKDAY(Main[[#This Row],[Tech Start Date]],19),IF(Main[[#This Row],[Class]]="A",WORKDAY(Main[[#This Row],[Tech Start Date]],9),""))))</f>
        <v/>
      </c>
      <c r="Q566" s="74"/>
      <c r="R566" s="74"/>
      <c r="S566" s="72" t="s">
        <v>11</v>
      </c>
      <c r="T566" s="80" t="s">
        <v>4</v>
      </c>
      <c r="U566" s="72" t="s">
        <v>14</v>
      </c>
      <c r="V566" s="72" t="s">
        <v>1932</v>
      </c>
      <c r="W566" s="72" t="s">
        <v>1940</v>
      </c>
      <c r="X566" s="72" t="s">
        <v>50</v>
      </c>
      <c r="Y566" s="72" t="s">
        <v>3149</v>
      </c>
      <c r="Z566" s="72" t="s">
        <v>4</v>
      </c>
      <c r="AA566" s="147" t="s">
        <v>2944</v>
      </c>
    </row>
    <row r="567" spans="1:27" ht="18.600000000000001" customHeight="1">
      <c r="A567" s="140" t="str">
        <f>IF(priority(Main[[#This Row],[Comments]])&lt;&gt;0, priority(Main[[#This Row],[Comments]]),"")</f>
        <v/>
      </c>
      <c r="B567" s="90" t="s">
        <v>1428</v>
      </c>
      <c r="C567" s="72" t="s">
        <v>93</v>
      </c>
      <c r="D567" s="73" t="s">
        <v>502</v>
      </c>
      <c r="E567" s="74"/>
      <c r="F567" s="74">
        <v>40132</v>
      </c>
      <c r="G567" s="75" t="str">
        <f>IF(stdProdLT(Main[[#This Row],[Comments]])=0.1,"N/A",IF(stdProdLT(Main[[#This Row],[Comments]])=0,"",stdProdLT(Main[[#This Row],[Comments]])))</f>
        <v/>
      </c>
      <c r="H567" s="76" t="str">
        <f>IF(AND(Main[[#This Row],[In Stock Date]]&lt;&gt;"",Main[[#This Row],[Revised Due Date]]&lt;&gt;""),Main[[#This Row],[In Stock Date]]-Main[[#This Row],[Revised Due Date]],"")</f>
        <v/>
      </c>
      <c r="I567" s="72" t="s">
        <v>4</v>
      </c>
      <c r="J567" s="72" t="s">
        <v>4</v>
      </c>
      <c r="K567" s="81" t="s">
        <v>4</v>
      </c>
      <c r="L567" s="74"/>
      <c r="M567" s="77" t="str">
        <f>IF(Main[[#This Row],[Tech Start Date]]&lt;1/1/1990,"",IF(Main[[#This Row],[Class]]="C",WORKDAY(Main[[#This Row],[Tech Start Date]],9),IF(Main[[#This Row],[Class]]="B", WORKDAY(Main[[#This Row],[Tech Start Date]],6),IF(Main[[#This Row],[Class]]="A",WORKDAY(Main[[#This Row],[Tech Start Date]],2),""))))</f>
        <v/>
      </c>
      <c r="N567" s="77" t="str">
        <f>IF(Main[[#This Row],[Tech Start Date]]&lt;1/1/1990,"",IF(Main[[#This Row],[Class]]="C",WORKDAY(Main[[#This Row],[Tech Start Date]],19),IF(Main[[#This Row],[Class]]="B", WORKDAY(Main[[#This Row],[Tech Start Date]],12),IF(Main[[#This Row],[Class]]="A",WORKDAY(Main[[#This Row],[Tech Start Date]],4),""))))</f>
        <v/>
      </c>
      <c r="O567" s="77" t="str">
        <f>IF(Main[[#This Row],[Tech Start Date]]&lt;1/1/1990,"",IF(Main[[#This Row],[Class]]="C",WORKDAY(Main[[#This Row],[Tech Start Date]],23),IF(Main[[#This Row],[Class]]="B", WORKDAY(Main[[#This Row],[Tech Start Date]],15),IF(Main[[#This Row],[Class]]="A",WORKDAY(Main[[#This Row],[Tech Start Date]],5),""))))</f>
        <v/>
      </c>
      <c r="P567" s="77" t="str">
        <f>IF(Main[[#This Row],[Tech Start Date]]&lt;1/1/1990,"",IF(Main[[#This Row],[Class]]="C",WORKDAY(Main[[#This Row],[Tech Start Date]],28),IF(Main[[#This Row],[Class]]="B", WORKDAY(Main[[#This Row],[Tech Start Date]],19),IF(Main[[#This Row],[Class]]="A",WORKDAY(Main[[#This Row],[Tech Start Date]],9),""))))</f>
        <v/>
      </c>
      <c r="Q567" s="74">
        <v>40132</v>
      </c>
      <c r="R567" s="74"/>
      <c r="S567" s="72" t="s">
        <v>11</v>
      </c>
      <c r="T567" s="80" t="s">
        <v>4</v>
      </c>
      <c r="U567" s="72" t="s">
        <v>14</v>
      </c>
      <c r="V567" s="72" t="s">
        <v>1942</v>
      </c>
      <c r="W567" s="72" t="s">
        <v>1943</v>
      </c>
      <c r="X567" s="72" t="s">
        <v>2940</v>
      </c>
      <c r="Y567" s="72" t="s">
        <v>4</v>
      </c>
      <c r="Z567" s="72" t="s">
        <v>4</v>
      </c>
      <c r="AA567" s="147" t="s">
        <v>2940</v>
      </c>
    </row>
    <row r="568" spans="1:27" ht="18.600000000000001" customHeight="1">
      <c r="A568" s="140" t="str">
        <f>IF(priority(Main[[#This Row],[Comments]])&lt;&gt;0, priority(Main[[#This Row],[Comments]]),"")</f>
        <v/>
      </c>
      <c r="B568" s="90" t="s">
        <v>1429</v>
      </c>
      <c r="C568" s="72" t="s">
        <v>99</v>
      </c>
      <c r="D568" s="73" t="s">
        <v>503</v>
      </c>
      <c r="E568" s="74"/>
      <c r="F568" s="74">
        <v>40435</v>
      </c>
      <c r="G568" s="75" t="str">
        <f>IF(stdProdLT(Main[[#This Row],[Comments]])=0.1,"N/A",IF(stdProdLT(Main[[#This Row],[Comments]])=0,"",stdProdLT(Main[[#This Row],[Comments]])))</f>
        <v/>
      </c>
      <c r="H568" s="76" t="str">
        <f>IF(AND(Main[[#This Row],[In Stock Date]]&lt;&gt;"",Main[[#This Row],[Revised Due Date]]&lt;&gt;""),Main[[#This Row],[In Stock Date]]-Main[[#This Row],[Revised Due Date]],"")</f>
        <v/>
      </c>
      <c r="I568" s="72" t="s">
        <v>4</v>
      </c>
      <c r="J568" s="72" t="s">
        <v>28</v>
      </c>
      <c r="K568" s="72" t="s">
        <v>4</v>
      </c>
      <c r="L568" s="74"/>
      <c r="M568" s="77" t="str">
        <f>IF(Main[[#This Row],[Tech Start Date]]&lt;1/1/1990,"",IF(Main[[#This Row],[Class]]="C",WORKDAY(Main[[#This Row],[Tech Start Date]],9),IF(Main[[#This Row],[Class]]="B", WORKDAY(Main[[#This Row],[Tech Start Date]],6),IF(Main[[#This Row],[Class]]="A",WORKDAY(Main[[#This Row],[Tech Start Date]],2),""))))</f>
        <v/>
      </c>
      <c r="N568" s="77" t="str">
        <f>IF(Main[[#This Row],[Tech Start Date]]&lt;1/1/1990,"",IF(Main[[#This Row],[Class]]="C",WORKDAY(Main[[#This Row],[Tech Start Date]],19),IF(Main[[#This Row],[Class]]="B", WORKDAY(Main[[#This Row],[Tech Start Date]],12),IF(Main[[#This Row],[Class]]="A",WORKDAY(Main[[#This Row],[Tech Start Date]],4),""))))</f>
        <v/>
      </c>
      <c r="O568" s="77" t="str">
        <f>IF(Main[[#This Row],[Tech Start Date]]&lt;1/1/1990,"",IF(Main[[#This Row],[Class]]="C",WORKDAY(Main[[#This Row],[Tech Start Date]],23),IF(Main[[#This Row],[Class]]="B", WORKDAY(Main[[#This Row],[Tech Start Date]],15),IF(Main[[#This Row],[Class]]="A",WORKDAY(Main[[#This Row],[Tech Start Date]],5),""))))</f>
        <v/>
      </c>
      <c r="P568" s="77" t="str">
        <f>IF(Main[[#This Row],[Tech Start Date]]&lt;1/1/1990,"",IF(Main[[#This Row],[Class]]="C",WORKDAY(Main[[#This Row],[Tech Start Date]],28),IF(Main[[#This Row],[Class]]="B", WORKDAY(Main[[#This Row],[Tech Start Date]],19),IF(Main[[#This Row],[Class]]="A",WORKDAY(Main[[#This Row],[Tech Start Date]],9),""))))</f>
        <v/>
      </c>
      <c r="Q568" s="74">
        <v>40435</v>
      </c>
      <c r="R568" s="74"/>
      <c r="S568" s="72" t="s">
        <v>11</v>
      </c>
      <c r="T568" s="80" t="s">
        <v>4</v>
      </c>
      <c r="U568" s="72" t="s">
        <v>14</v>
      </c>
      <c r="V568" s="72" t="s">
        <v>1935</v>
      </c>
      <c r="W568" s="72" t="s">
        <v>1937</v>
      </c>
      <c r="X568" s="72" t="s">
        <v>2921</v>
      </c>
      <c r="Y568" s="72" t="s">
        <v>3053</v>
      </c>
      <c r="Z568" s="72" t="s">
        <v>535</v>
      </c>
      <c r="AA568" s="147" t="s">
        <v>2918</v>
      </c>
    </row>
    <row r="569" spans="1:27" ht="18.600000000000001" customHeight="1">
      <c r="A569" s="140" t="str">
        <f>IF(priority(Main[[#This Row],[Comments]])&lt;&gt;0, priority(Main[[#This Row],[Comments]]),"")</f>
        <v/>
      </c>
      <c r="B569" s="90" t="s">
        <v>1295</v>
      </c>
      <c r="C569" s="72" t="s">
        <v>42</v>
      </c>
      <c r="D569" s="73" t="s">
        <v>359</v>
      </c>
      <c r="E569" s="74"/>
      <c r="F569" s="74"/>
      <c r="G569" s="75" t="str">
        <f>IF(stdProdLT(Main[[#This Row],[Comments]])=0.1,"N/A",IF(stdProdLT(Main[[#This Row],[Comments]])=0,"",stdProdLT(Main[[#This Row],[Comments]])))</f>
        <v/>
      </c>
      <c r="H569" s="76" t="str">
        <f>IF(AND(Main[[#This Row],[In Stock Date]]&lt;&gt;"",Main[[#This Row],[Revised Due Date]]&lt;&gt;""),Main[[#This Row],[In Stock Date]]-Main[[#This Row],[Revised Due Date]],"")</f>
        <v/>
      </c>
      <c r="I569" s="72" t="s">
        <v>4</v>
      </c>
      <c r="J569" s="72" t="s">
        <v>4</v>
      </c>
      <c r="K569" s="72" t="s">
        <v>4</v>
      </c>
      <c r="L569" s="74"/>
      <c r="M569" s="77" t="str">
        <f>IF(Main[[#This Row],[Tech Start Date]]&lt;1/1/1990,"",IF(Main[[#This Row],[Class]]="C",WORKDAY(Main[[#This Row],[Tech Start Date]],9),IF(Main[[#This Row],[Class]]="B", WORKDAY(Main[[#This Row],[Tech Start Date]],6),IF(Main[[#This Row],[Class]]="A",WORKDAY(Main[[#This Row],[Tech Start Date]],2),""))))</f>
        <v/>
      </c>
      <c r="N569" s="77" t="str">
        <f>IF(Main[[#This Row],[Tech Start Date]]&lt;1/1/1990,"",IF(Main[[#This Row],[Class]]="C",WORKDAY(Main[[#This Row],[Tech Start Date]],19),IF(Main[[#This Row],[Class]]="B", WORKDAY(Main[[#This Row],[Tech Start Date]],12),IF(Main[[#This Row],[Class]]="A",WORKDAY(Main[[#This Row],[Tech Start Date]],4),""))))</f>
        <v/>
      </c>
      <c r="O569" s="77" t="str">
        <f>IF(Main[[#This Row],[Tech Start Date]]&lt;1/1/1990,"",IF(Main[[#This Row],[Class]]="C",WORKDAY(Main[[#This Row],[Tech Start Date]],23),IF(Main[[#This Row],[Class]]="B", WORKDAY(Main[[#This Row],[Tech Start Date]],15),IF(Main[[#This Row],[Class]]="A",WORKDAY(Main[[#This Row],[Tech Start Date]],5),""))))</f>
        <v/>
      </c>
      <c r="P569" s="77" t="str">
        <f>IF(Main[[#This Row],[Tech Start Date]]&lt;1/1/1990,"",IF(Main[[#This Row],[Class]]="C",WORKDAY(Main[[#This Row],[Tech Start Date]],28),IF(Main[[#This Row],[Class]]="B", WORKDAY(Main[[#This Row],[Tech Start Date]],19),IF(Main[[#This Row],[Class]]="A",WORKDAY(Main[[#This Row],[Tech Start Date]],9),""))))</f>
        <v/>
      </c>
      <c r="Q569" s="74"/>
      <c r="R569" s="74"/>
      <c r="S569" s="72" t="s">
        <v>17</v>
      </c>
      <c r="T569" s="80" t="s">
        <v>4</v>
      </c>
      <c r="U569" s="72" t="s">
        <v>14</v>
      </c>
      <c r="V569" s="72" t="s">
        <v>1935</v>
      </c>
      <c r="W569" s="72" t="s">
        <v>4</v>
      </c>
      <c r="X569" s="72" t="s">
        <v>403</v>
      </c>
      <c r="Y569" s="72" t="s">
        <v>4</v>
      </c>
      <c r="Z569" s="72" t="s">
        <v>4</v>
      </c>
      <c r="AA569" s="147" t="s">
        <v>3606</v>
      </c>
    </row>
    <row r="570" spans="1:27" ht="18.600000000000001" customHeight="1">
      <c r="A570" s="140" t="str">
        <f>IF(priority(Main[[#This Row],[Comments]])&lt;&gt;0, priority(Main[[#This Row],[Comments]]),"")</f>
        <v/>
      </c>
      <c r="B570" s="90" t="s">
        <v>1430</v>
      </c>
      <c r="C570" s="72" t="s">
        <v>504</v>
      </c>
      <c r="D570" s="73" t="s">
        <v>505</v>
      </c>
      <c r="E570" s="74"/>
      <c r="F570" s="74">
        <v>40296</v>
      </c>
      <c r="G570" s="75" t="str">
        <f>IF(stdProdLT(Main[[#This Row],[Comments]])=0.1,"N/A",IF(stdProdLT(Main[[#This Row],[Comments]])=0,"",stdProdLT(Main[[#This Row],[Comments]])))</f>
        <v/>
      </c>
      <c r="H570" s="76" t="str">
        <f>IF(AND(Main[[#This Row],[In Stock Date]]&lt;&gt;"",Main[[#This Row],[Revised Due Date]]&lt;&gt;""),Main[[#This Row],[In Stock Date]]-Main[[#This Row],[Revised Due Date]],"")</f>
        <v/>
      </c>
      <c r="I570" s="72" t="s">
        <v>4</v>
      </c>
      <c r="J570" s="72" t="s">
        <v>4</v>
      </c>
      <c r="K570" s="72" t="s">
        <v>4</v>
      </c>
      <c r="L570" s="74"/>
      <c r="M570" s="77" t="str">
        <f>IF(Main[[#This Row],[Tech Start Date]]&lt;1/1/1990,"",IF(Main[[#This Row],[Class]]="C",WORKDAY(Main[[#This Row],[Tech Start Date]],9),IF(Main[[#This Row],[Class]]="B", WORKDAY(Main[[#This Row],[Tech Start Date]],6),IF(Main[[#This Row],[Class]]="A",WORKDAY(Main[[#This Row],[Tech Start Date]],2),""))))</f>
        <v/>
      </c>
      <c r="N570" s="77" t="str">
        <f>IF(Main[[#This Row],[Tech Start Date]]&lt;1/1/1990,"",IF(Main[[#This Row],[Class]]="C",WORKDAY(Main[[#This Row],[Tech Start Date]],19),IF(Main[[#This Row],[Class]]="B", WORKDAY(Main[[#This Row],[Tech Start Date]],12),IF(Main[[#This Row],[Class]]="A",WORKDAY(Main[[#This Row],[Tech Start Date]],4),""))))</f>
        <v/>
      </c>
      <c r="O570" s="77" t="str">
        <f>IF(Main[[#This Row],[Tech Start Date]]&lt;1/1/1990,"",IF(Main[[#This Row],[Class]]="C",WORKDAY(Main[[#This Row],[Tech Start Date]],23),IF(Main[[#This Row],[Class]]="B", WORKDAY(Main[[#This Row],[Tech Start Date]],15),IF(Main[[#This Row],[Class]]="A",WORKDAY(Main[[#This Row],[Tech Start Date]],5),""))))</f>
        <v/>
      </c>
      <c r="P570" s="77" t="str">
        <f>IF(Main[[#This Row],[Tech Start Date]]&lt;1/1/1990,"",IF(Main[[#This Row],[Class]]="C",WORKDAY(Main[[#This Row],[Tech Start Date]],28),IF(Main[[#This Row],[Class]]="B", WORKDAY(Main[[#This Row],[Tech Start Date]],19),IF(Main[[#This Row],[Class]]="A",WORKDAY(Main[[#This Row],[Tech Start Date]],9),""))))</f>
        <v/>
      </c>
      <c r="Q570" s="74"/>
      <c r="R570" s="74"/>
      <c r="S570" s="72" t="s">
        <v>11</v>
      </c>
      <c r="T570" s="80" t="s">
        <v>4</v>
      </c>
      <c r="U570" s="72" t="s">
        <v>14</v>
      </c>
      <c r="V570" s="72" t="s">
        <v>1942</v>
      </c>
      <c r="W570" s="72" t="s">
        <v>1938</v>
      </c>
      <c r="X570" s="72" t="s">
        <v>2952</v>
      </c>
      <c r="Y570" s="72" t="s">
        <v>3099</v>
      </c>
      <c r="Z570" s="72" t="s">
        <v>4</v>
      </c>
      <c r="AA570" s="147" t="s">
        <v>2952</v>
      </c>
    </row>
    <row r="571" spans="1:27" ht="18.600000000000001" customHeight="1">
      <c r="A571" s="140" t="str">
        <f>IF(priority(Main[[#This Row],[Comments]])&lt;&gt;0, priority(Main[[#This Row],[Comments]]),"")</f>
        <v/>
      </c>
      <c r="B571" s="90" t="s">
        <v>1875</v>
      </c>
      <c r="C571" s="72" t="s">
        <v>47</v>
      </c>
      <c r="D571" s="73" t="s">
        <v>925</v>
      </c>
      <c r="E571" s="74">
        <v>39937.592280092591</v>
      </c>
      <c r="F571" s="74"/>
      <c r="G571" s="75" t="str">
        <f>IF(stdProdLT(Main[[#This Row],[Comments]])=0.1,"N/A",IF(stdProdLT(Main[[#This Row],[Comments]])=0,"",stdProdLT(Main[[#This Row],[Comments]])))</f>
        <v/>
      </c>
      <c r="H571" s="76" t="str">
        <f>IF(AND(Main[[#This Row],[In Stock Date]]&lt;&gt;"",Main[[#This Row],[Revised Due Date]]&lt;&gt;""),Main[[#This Row],[In Stock Date]]-Main[[#This Row],[Revised Due Date]],"")</f>
        <v/>
      </c>
      <c r="I571" s="72" t="s">
        <v>900</v>
      </c>
      <c r="J571" s="72" t="s">
        <v>4</v>
      </c>
      <c r="K571" s="72" t="s">
        <v>1944</v>
      </c>
      <c r="L571" s="74"/>
      <c r="M571" s="77" t="str">
        <f>IF(Main[[#This Row],[Tech Start Date]]&lt;1/1/1990,"",IF(Main[[#This Row],[Class]]="C",WORKDAY(Main[[#This Row],[Tech Start Date]],9),IF(Main[[#This Row],[Class]]="B", WORKDAY(Main[[#This Row],[Tech Start Date]],6),IF(Main[[#This Row],[Class]]="A",WORKDAY(Main[[#This Row],[Tech Start Date]],2),""))))</f>
        <v/>
      </c>
      <c r="N571" s="77" t="str">
        <f>IF(Main[[#This Row],[Tech Start Date]]&lt;1/1/1990,"",IF(Main[[#This Row],[Class]]="C",WORKDAY(Main[[#This Row],[Tech Start Date]],19),IF(Main[[#This Row],[Class]]="B", WORKDAY(Main[[#This Row],[Tech Start Date]],12),IF(Main[[#This Row],[Class]]="A",WORKDAY(Main[[#This Row],[Tech Start Date]],4),""))))</f>
        <v/>
      </c>
      <c r="O571" s="77" t="str">
        <f>IF(Main[[#This Row],[Tech Start Date]]&lt;1/1/1990,"",IF(Main[[#This Row],[Class]]="C",WORKDAY(Main[[#This Row],[Tech Start Date]],23),IF(Main[[#This Row],[Class]]="B", WORKDAY(Main[[#This Row],[Tech Start Date]],15),IF(Main[[#This Row],[Class]]="A",WORKDAY(Main[[#This Row],[Tech Start Date]],5),""))))</f>
        <v/>
      </c>
      <c r="P571" s="77" t="str">
        <f>IF(Main[[#This Row],[Tech Start Date]]&lt;1/1/1990,"",IF(Main[[#This Row],[Class]]="C",WORKDAY(Main[[#This Row],[Tech Start Date]],28),IF(Main[[#This Row],[Class]]="B", WORKDAY(Main[[#This Row],[Tech Start Date]],19),IF(Main[[#This Row],[Class]]="A",WORKDAY(Main[[#This Row],[Tech Start Date]],9),""))))</f>
        <v/>
      </c>
      <c r="Q571" s="74">
        <v>40209</v>
      </c>
      <c r="R571" s="74">
        <v>40574</v>
      </c>
      <c r="S571" s="72" t="s">
        <v>17</v>
      </c>
      <c r="T571" s="80" t="s">
        <v>4</v>
      </c>
      <c r="U571" s="72" t="s">
        <v>29</v>
      </c>
      <c r="V571" s="72" t="s">
        <v>1932</v>
      </c>
      <c r="W571" s="72" t="s">
        <v>1936</v>
      </c>
      <c r="X571" s="72" t="s">
        <v>2911</v>
      </c>
      <c r="Y571" s="72" t="s">
        <v>3035</v>
      </c>
      <c r="Z571" s="72" t="s">
        <v>4</v>
      </c>
      <c r="AA571" s="147" t="s">
        <v>2911</v>
      </c>
    </row>
    <row r="572" spans="1:27" ht="18.600000000000001" customHeight="1">
      <c r="A572" s="140" t="str">
        <f>IF(priority(Main[[#This Row],[Comments]])&lt;&gt;0, priority(Main[[#This Row],[Comments]]),"")</f>
        <v/>
      </c>
      <c r="B572" s="90" t="s">
        <v>1431</v>
      </c>
      <c r="C572" s="72" t="s">
        <v>506</v>
      </c>
      <c r="D572" s="73" t="s">
        <v>507</v>
      </c>
      <c r="E572" s="74"/>
      <c r="F572" s="74">
        <v>40848</v>
      </c>
      <c r="G572" s="75" t="str">
        <f>IF(stdProdLT(Main[[#This Row],[Comments]])=0.1,"N/A",IF(stdProdLT(Main[[#This Row],[Comments]])=0,"",stdProdLT(Main[[#This Row],[Comments]])))</f>
        <v/>
      </c>
      <c r="H572" s="76" t="str">
        <f>IF(AND(Main[[#This Row],[In Stock Date]]&lt;&gt;"",Main[[#This Row],[Revised Due Date]]&lt;&gt;""),Main[[#This Row],[In Stock Date]]-Main[[#This Row],[Revised Due Date]],"")</f>
        <v/>
      </c>
      <c r="I572" s="72" t="s">
        <v>4</v>
      </c>
      <c r="J572" s="72" t="s">
        <v>28</v>
      </c>
      <c r="K572" s="72" t="s">
        <v>4</v>
      </c>
      <c r="L572" s="74"/>
      <c r="M572" s="77" t="str">
        <f>IF(Main[[#This Row],[Tech Start Date]]&lt;1/1/1990,"",IF(Main[[#This Row],[Class]]="C",WORKDAY(Main[[#This Row],[Tech Start Date]],9),IF(Main[[#This Row],[Class]]="B", WORKDAY(Main[[#This Row],[Tech Start Date]],6),IF(Main[[#This Row],[Class]]="A",WORKDAY(Main[[#This Row],[Tech Start Date]],2),""))))</f>
        <v/>
      </c>
      <c r="N572" s="77" t="str">
        <f>IF(Main[[#This Row],[Tech Start Date]]&lt;1/1/1990,"",IF(Main[[#This Row],[Class]]="C",WORKDAY(Main[[#This Row],[Tech Start Date]],19),IF(Main[[#This Row],[Class]]="B", WORKDAY(Main[[#This Row],[Tech Start Date]],12),IF(Main[[#This Row],[Class]]="A",WORKDAY(Main[[#This Row],[Tech Start Date]],4),""))))</f>
        <v/>
      </c>
      <c r="O572" s="77" t="str">
        <f>IF(Main[[#This Row],[Tech Start Date]]&lt;1/1/1990,"",IF(Main[[#This Row],[Class]]="C",WORKDAY(Main[[#This Row],[Tech Start Date]],23),IF(Main[[#This Row],[Class]]="B", WORKDAY(Main[[#This Row],[Tech Start Date]],15),IF(Main[[#This Row],[Class]]="A",WORKDAY(Main[[#This Row],[Tech Start Date]],5),""))))</f>
        <v/>
      </c>
      <c r="P572" s="77" t="str">
        <f>IF(Main[[#This Row],[Tech Start Date]]&lt;1/1/1990,"",IF(Main[[#This Row],[Class]]="C",WORKDAY(Main[[#This Row],[Tech Start Date]],28),IF(Main[[#This Row],[Class]]="B", WORKDAY(Main[[#This Row],[Tech Start Date]],19),IF(Main[[#This Row],[Class]]="A",WORKDAY(Main[[#This Row],[Tech Start Date]],9),""))))</f>
        <v/>
      </c>
      <c r="Q572" s="74">
        <v>40627</v>
      </c>
      <c r="R572" s="74"/>
      <c r="S572" s="72" t="s">
        <v>11</v>
      </c>
      <c r="T572" s="80" t="s">
        <v>4</v>
      </c>
      <c r="U572" s="72" t="s">
        <v>14</v>
      </c>
      <c r="V572" s="72" t="s">
        <v>1935</v>
      </c>
      <c r="W572" s="72" t="s">
        <v>1938</v>
      </c>
      <c r="X572" s="72" t="s">
        <v>50</v>
      </c>
      <c r="Y572" s="72" t="s">
        <v>3150</v>
      </c>
      <c r="Z572" s="72" t="s">
        <v>81</v>
      </c>
      <c r="AA572" s="147" t="s">
        <v>3607</v>
      </c>
    </row>
    <row r="573" spans="1:27" ht="18.600000000000001" customHeight="1">
      <c r="A573" s="140" t="str">
        <f>IF(priority(Main[[#This Row],[Comments]])&lt;&gt;0, priority(Main[[#This Row],[Comments]]),"")</f>
        <v/>
      </c>
      <c r="B573" s="90" t="s">
        <v>1432</v>
      </c>
      <c r="C573" s="72" t="s">
        <v>4</v>
      </c>
      <c r="D573" s="73" t="s">
        <v>1968</v>
      </c>
      <c r="E573" s="74"/>
      <c r="F573" s="74"/>
      <c r="G573" s="75" t="str">
        <f>IF(stdProdLT(Main[[#This Row],[Comments]])=0.1,"N/A",IF(stdProdLT(Main[[#This Row],[Comments]])=0,"",stdProdLT(Main[[#This Row],[Comments]])))</f>
        <v/>
      </c>
      <c r="H573" s="76" t="str">
        <f>IF(AND(Main[[#This Row],[In Stock Date]]&lt;&gt;"",Main[[#This Row],[Revised Due Date]]&lt;&gt;""),Main[[#This Row],[In Stock Date]]-Main[[#This Row],[Revised Due Date]],"")</f>
        <v/>
      </c>
      <c r="I573" s="72" t="s">
        <v>4</v>
      </c>
      <c r="J573" s="72" t="s">
        <v>28</v>
      </c>
      <c r="K573" s="72" t="s">
        <v>1939</v>
      </c>
      <c r="L573" s="74"/>
      <c r="M573" s="77" t="str">
        <f>IF(Main[[#This Row],[Tech Start Date]]&lt;1/1/1990,"",IF(Main[[#This Row],[Class]]="C",WORKDAY(Main[[#This Row],[Tech Start Date]],9),IF(Main[[#This Row],[Class]]="B", WORKDAY(Main[[#This Row],[Tech Start Date]],6),IF(Main[[#This Row],[Class]]="A",WORKDAY(Main[[#This Row],[Tech Start Date]],2),""))))</f>
        <v/>
      </c>
      <c r="N573" s="77" t="str">
        <f>IF(Main[[#This Row],[Tech Start Date]]&lt;1/1/1990,"",IF(Main[[#This Row],[Class]]="C",WORKDAY(Main[[#This Row],[Tech Start Date]],19),IF(Main[[#This Row],[Class]]="B", WORKDAY(Main[[#This Row],[Tech Start Date]],12),IF(Main[[#This Row],[Class]]="A",WORKDAY(Main[[#This Row],[Tech Start Date]],4),""))))</f>
        <v/>
      </c>
      <c r="O573" s="77" t="str">
        <f>IF(Main[[#This Row],[Tech Start Date]]&lt;1/1/1990,"",IF(Main[[#This Row],[Class]]="C",WORKDAY(Main[[#This Row],[Tech Start Date]],23),IF(Main[[#This Row],[Class]]="B", WORKDAY(Main[[#This Row],[Tech Start Date]],15),IF(Main[[#This Row],[Class]]="A",WORKDAY(Main[[#This Row],[Tech Start Date]],5),""))))</f>
        <v/>
      </c>
      <c r="P573" s="77" t="str">
        <f>IF(Main[[#This Row],[Tech Start Date]]&lt;1/1/1990,"",IF(Main[[#This Row],[Class]]="C",WORKDAY(Main[[#This Row],[Tech Start Date]],28),IF(Main[[#This Row],[Class]]="B", WORKDAY(Main[[#This Row],[Tech Start Date]],19),IF(Main[[#This Row],[Class]]="A",WORKDAY(Main[[#This Row],[Tech Start Date]],9),""))))</f>
        <v/>
      </c>
      <c r="Q573" s="74"/>
      <c r="R573" s="74"/>
      <c r="S573" s="72" t="s">
        <v>6</v>
      </c>
      <c r="T573" s="80" t="s">
        <v>4</v>
      </c>
      <c r="U573" s="72" t="s">
        <v>14</v>
      </c>
      <c r="V573" s="72" t="s">
        <v>1933</v>
      </c>
      <c r="W573" s="72" t="s">
        <v>1934</v>
      </c>
      <c r="X573" s="72" t="s">
        <v>2981</v>
      </c>
      <c r="Y573" s="72" t="s">
        <v>3151</v>
      </c>
      <c r="Z573" s="72" t="s">
        <v>4</v>
      </c>
      <c r="AA573" s="147" t="s">
        <v>3608</v>
      </c>
    </row>
    <row r="574" spans="1:27" ht="18.600000000000001" customHeight="1">
      <c r="A574" s="140" t="str">
        <f>IF(priority(Main[[#This Row],[Comments]])&lt;&gt;0, priority(Main[[#This Row],[Comments]]),"")</f>
        <v/>
      </c>
      <c r="B574" s="90" t="s">
        <v>1433</v>
      </c>
      <c r="C574" s="72" t="s">
        <v>83</v>
      </c>
      <c r="D574" s="73" t="s">
        <v>508</v>
      </c>
      <c r="E574" s="74"/>
      <c r="F574" s="74"/>
      <c r="G574" s="75" t="str">
        <f>IF(stdProdLT(Main[[#This Row],[Comments]])=0.1,"N/A",IF(stdProdLT(Main[[#This Row],[Comments]])=0,"",stdProdLT(Main[[#This Row],[Comments]])))</f>
        <v/>
      </c>
      <c r="H574" s="76" t="str">
        <f>IF(AND(Main[[#This Row],[In Stock Date]]&lt;&gt;"",Main[[#This Row],[Revised Due Date]]&lt;&gt;""),Main[[#This Row],[In Stock Date]]-Main[[#This Row],[Revised Due Date]],"")</f>
        <v/>
      </c>
      <c r="I574" s="72" t="s">
        <v>4</v>
      </c>
      <c r="J574" s="72" t="s">
        <v>4</v>
      </c>
      <c r="K574" s="72" t="s">
        <v>4</v>
      </c>
      <c r="L574" s="74"/>
      <c r="M574" s="77" t="str">
        <f>IF(Main[[#This Row],[Tech Start Date]]&lt;1/1/1990,"",IF(Main[[#This Row],[Class]]="C",WORKDAY(Main[[#This Row],[Tech Start Date]],9),IF(Main[[#This Row],[Class]]="B", WORKDAY(Main[[#This Row],[Tech Start Date]],6),IF(Main[[#This Row],[Class]]="A",WORKDAY(Main[[#This Row],[Tech Start Date]],2),""))))</f>
        <v/>
      </c>
      <c r="N574" s="77" t="str">
        <f>IF(Main[[#This Row],[Tech Start Date]]&lt;1/1/1990,"",IF(Main[[#This Row],[Class]]="C",WORKDAY(Main[[#This Row],[Tech Start Date]],19),IF(Main[[#This Row],[Class]]="B", WORKDAY(Main[[#This Row],[Tech Start Date]],12),IF(Main[[#This Row],[Class]]="A",WORKDAY(Main[[#This Row],[Tech Start Date]],4),""))))</f>
        <v/>
      </c>
      <c r="O574" s="77" t="str">
        <f>IF(Main[[#This Row],[Tech Start Date]]&lt;1/1/1990,"",IF(Main[[#This Row],[Class]]="C",WORKDAY(Main[[#This Row],[Tech Start Date]],23),IF(Main[[#This Row],[Class]]="B", WORKDAY(Main[[#This Row],[Tech Start Date]],15),IF(Main[[#This Row],[Class]]="A",WORKDAY(Main[[#This Row],[Tech Start Date]],5),""))))</f>
        <v/>
      </c>
      <c r="P574" s="77" t="str">
        <f>IF(Main[[#This Row],[Tech Start Date]]&lt;1/1/1990,"",IF(Main[[#This Row],[Class]]="C",WORKDAY(Main[[#This Row],[Tech Start Date]],28),IF(Main[[#This Row],[Class]]="B", WORKDAY(Main[[#This Row],[Tech Start Date]],19),IF(Main[[#This Row],[Class]]="A",WORKDAY(Main[[#This Row],[Tech Start Date]],9),""))))</f>
        <v/>
      </c>
      <c r="Q574" s="74">
        <v>40259</v>
      </c>
      <c r="R574" s="74"/>
      <c r="S574" s="72" t="s">
        <v>11</v>
      </c>
      <c r="T574" s="80" t="s">
        <v>4</v>
      </c>
      <c r="U574" s="72" t="s">
        <v>14</v>
      </c>
      <c r="V574" s="72" t="s">
        <v>1932</v>
      </c>
      <c r="W574" s="72" t="s">
        <v>1943</v>
      </c>
      <c r="X574" s="72" t="s">
        <v>2901</v>
      </c>
      <c r="Y574" s="72" t="s">
        <v>4</v>
      </c>
      <c r="Z574" s="72" t="s">
        <v>4</v>
      </c>
      <c r="AA574" s="147" t="s">
        <v>2901</v>
      </c>
    </row>
    <row r="575" spans="1:27" ht="18.600000000000001" customHeight="1">
      <c r="A575" s="140" t="str">
        <f>IF(priority(Main[[#This Row],[Comments]])&lt;&gt;0, priority(Main[[#This Row],[Comments]]),"")</f>
        <v/>
      </c>
      <c r="B575" s="90" t="s">
        <v>1434</v>
      </c>
      <c r="C575" s="72" t="s">
        <v>4</v>
      </c>
      <c r="D575" s="73" t="s">
        <v>509</v>
      </c>
      <c r="E575" s="74">
        <v>40582.330949074072</v>
      </c>
      <c r="F575" s="74">
        <v>40664</v>
      </c>
      <c r="G575" s="75" t="str">
        <f>IF(stdProdLT(Main[[#This Row],[Comments]])=0.1,"N/A",IF(stdProdLT(Main[[#This Row],[Comments]])=0,"",stdProdLT(Main[[#This Row],[Comments]])))</f>
        <v/>
      </c>
      <c r="H575" s="76" t="str">
        <f>IF(AND(Main[[#This Row],[In Stock Date]]&lt;&gt;"",Main[[#This Row],[Revised Due Date]]&lt;&gt;""),Main[[#This Row],[In Stock Date]]-Main[[#This Row],[Revised Due Date]],"")</f>
        <v/>
      </c>
      <c r="I575" s="72" t="s">
        <v>4</v>
      </c>
      <c r="J575" s="72" t="s">
        <v>28</v>
      </c>
      <c r="K575" s="72" t="s">
        <v>1939</v>
      </c>
      <c r="L575" s="74"/>
      <c r="M575" s="77" t="str">
        <f>IF(Main[[#This Row],[Tech Start Date]]&lt;1/1/1990,"",IF(Main[[#This Row],[Class]]="C",WORKDAY(Main[[#This Row],[Tech Start Date]],9),IF(Main[[#This Row],[Class]]="B", WORKDAY(Main[[#This Row],[Tech Start Date]],6),IF(Main[[#This Row],[Class]]="A",WORKDAY(Main[[#This Row],[Tech Start Date]],2),""))))</f>
        <v/>
      </c>
      <c r="N575" s="77" t="str">
        <f>IF(Main[[#This Row],[Tech Start Date]]&lt;1/1/1990,"",IF(Main[[#This Row],[Class]]="C",WORKDAY(Main[[#This Row],[Tech Start Date]],19),IF(Main[[#This Row],[Class]]="B", WORKDAY(Main[[#This Row],[Tech Start Date]],12),IF(Main[[#This Row],[Class]]="A",WORKDAY(Main[[#This Row],[Tech Start Date]],4),""))))</f>
        <v/>
      </c>
      <c r="O575" s="77" t="str">
        <f>IF(Main[[#This Row],[Tech Start Date]]&lt;1/1/1990,"",IF(Main[[#This Row],[Class]]="C",WORKDAY(Main[[#This Row],[Tech Start Date]],23),IF(Main[[#This Row],[Class]]="B", WORKDAY(Main[[#This Row],[Tech Start Date]],15),IF(Main[[#This Row],[Class]]="A",WORKDAY(Main[[#This Row],[Tech Start Date]],5),""))))</f>
        <v/>
      </c>
      <c r="P575" s="77" t="str">
        <f>IF(Main[[#This Row],[Tech Start Date]]&lt;1/1/1990,"",IF(Main[[#This Row],[Class]]="C",WORKDAY(Main[[#This Row],[Tech Start Date]],28),IF(Main[[#This Row],[Class]]="B", WORKDAY(Main[[#This Row],[Tech Start Date]],19),IF(Main[[#This Row],[Class]]="A",WORKDAY(Main[[#This Row],[Tech Start Date]],9),""))))</f>
        <v/>
      </c>
      <c r="Q575" s="74">
        <v>40664</v>
      </c>
      <c r="R575" s="74"/>
      <c r="S575" s="72" t="s">
        <v>6</v>
      </c>
      <c r="T575" s="80" t="s">
        <v>4</v>
      </c>
      <c r="U575" s="72" t="s">
        <v>7</v>
      </c>
      <c r="V575" s="72" t="s">
        <v>1932</v>
      </c>
      <c r="W575" s="72" t="s">
        <v>1934</v>
      </c>
      <c r="X575" s="72" t="s">
        <v>2929</v>
      </c>
      <c r="Y575" s="72" t="s">
        <v>3152</v>
      </c>
      <c r="Z575" s="72" t="s">
        <v>129</v>
      </c>
      <c r="AA575" s="147" t="s">
        <v>2929</v>
      </c>
    </row>
    <row r="576" spans="1:27" ht="18.600000000000001" customHeight="1">
      <c r="A576" s="140" t="str">
        <f>IF(priority(Main[[#This Row],[Comments]])&lt;&gt;0, priority(Main[[#This Row],[Comments]]),"")</f>
        <v/>
      </c>
      <c r="B576" s="90" t="s">
        <v>1435</v>
      </c>
      <c r="C576" s="72" t="s">
        <v>4</v>
      </c>
      <c r="D576" s="73" t="s">
        <v>510</v>
      </c>
      <c r="E576" s="74"/>
      <c r="F576" s="74"/>
      <c r="G576" s="75" t="str">
        <f>IF(stdProdLT(Main[[#This Row],[Comments]])=0.1,"N/A",IF(stdProdLT(Main[[#This Row],[Comments]])=0,"",stdProdLT(Main[[#This Row],[Comments]])))</f>
        <v/>
      </c>
      <c r="H576" s="76" t="str">
        <f>IF(AND(Main[[#This Row],[In Stock Date]]&lt;&gt;"",Main[[#This Row],[Revised Due Date]]&lt;&gt;""),Main[[#This Row],[In Stock Date]]-Main[[#This Row],[Revised Due Date]],"")</f>
        <v/>
      </c>
      <c r="I576" s="72" t="s">
        <v>4</v>
      </c>
      <c r="J576" s="72" t="s">
        <v>4</v>
      </c>
      <c r="K576" s="81" t="s">
        <v>4</v>
      </c>
      <c r="L576" s="74"/>
      <c r="M576" s="77" t="str">
        <f>IF(Main[[#This Row],[Tech Start Date]]&lt;1/1/1990,"",IF(Main[[#This Row],[Class]]="C",WORKDAY(Main[[#This Row],[Tech Start Date]],9),IF(Main[[#This Row],[Class]]="B", WORKDAY(Main[[#This Row],[Tech Start Date]],6),IF(Main[[#This Row],[Class]]="A",WORKDAY(Main[[#This Row],[Tech Start Date]],2),""))))</f>
        <v/>
      </c>
      <c r="N576" s="77" t="str">
        <f>IF(Main[[#This Row],[Tech Start Date]]&lt;1/1/1990,"",IF(Main[[#This Row],[Class]]="C",WORKDAY(Main[[#This Row],[Tech Start Date]],19),IF(Main[[#This Row],[Class]]="B", WORKDAY(Main[[#This Row],[Tech Start Date]],12),IF(Main[[#This Row],[Class]]="A",WORKDAY(Main[[#This Row],[Tech Start Date]],4),""))))</f>
        <v/>
      </c>
      <c r="O576" s="77" t="str">
        <f>IF(Main[[#This Row],[Tech Start Date]]&lt;1/1/1990,"",IF(Main[[#This Row],[Class]]="C",WORKDAY(Main[[#This Row],[Tech Start Date]],23),IF(Main[[#This Row],[Class]]="B", WORKDAY(Main[[#This Row],[Tech Start Date]],15),IF(Main[[#This Row],[Class]]="A",WORKDAY(Main[[#This Row],[Tech Start Date]],5),""))))</f>
        <v/>
      </c>
      <c r="P576" s="77" t="str">
        <f>IF(Main[[#This Row],[Tech Start Date]]&lt;1/1/1990,"",IF(Main[[#This Row],[Class]]="C",WORKDAY(Main[[#This Row],[Tech Start Date]],28),IF(Main[[#This Row],[Class]]="B", WORKDAY(Main[[#This Row],[Tech Start Date]],19),IF(Main[[#This Row],[Class]]="A",WORKDAY(Main[[#This Row],[Tech Start Date]],9),""))))</f>
        <v/>
      </c>
      <c r="Q576" s="74"/>
      <c r="R576" s="74"/>
      <c r="S576" s="72" t="s">
        <v>11</v>
      </c>
      <c r="T576" s="80" t="s">
        <v>4</v>
      </c>
      <c r="U576" s="72" t="s">
        <v>14</v>
      </c>
      <c r="V576" s="72" t="s">
        <v>1935</v>
      </c>
      <c r="W576" s="72" t="s">
        <v>1940</v>
      </c>
      <c r="X576" s="72" t="s">
        <v>2931</v>
      </c>
      <c r="Y576" s="72" t="s">
        <v>3065</v>
      </c>
      <c r="Z576" s="72" t="s">
        <v>4</v>
      </c>
      <c r="AA576" s="147" t="s">
        <v>2931</v>
      </c>
    </row>
    <row r="577" spans="1:27" ht="18.600000000000001" customHeight="1">
      <c r="A577" s="140" t="str">
        <f>IF(priority(Main[[#This Row],[Comments]])&lt;&gt;0, priority(Main[[#This Row],[Comments]]),"")</f>
        <v/>
      </c>
      <c r="B577" s="90" t="s">
        <v>1436</v>
      </c>
      <c r="C577" s="72" t="s">
        <v>511</v>
      </c>
      <c r="D577" s="73" t="s">
        <v>512</v>
      </c>
      <c r="E577" s="74"/>
      <c r="F577" s="74"/>
      <c r="G577" s="75" t="str">
        <f>IF(stdProdLT(Main[[#This Row],[Comments]])=0.1,"N/A",IF(stdProdLT(Main[[#This Row],[Comments]])=0,"",stdProdLT(Main[[#This Row],[Comments]])))</f>
        <v/>
      </c>
      <c r="H577" s="76" t="str">
        <f>IF(AND(Main[[#This Row],[In Stock Date]]&lt;&gt;"",Main[[#This Row],[Revised Due Date]]&lt;&gt;""),Main[[#This Row],[In Stock Date]]-Main[[#This Row],[Revised Due Date]],"")</f>
        <v/>
      </c>
      <c r="I577" s="72" t="s">
        <v>4</v>
      </c>
      <c r="J577" s="72" t="s">
        <v>4</v>
      </c>
      <c r="K577" s="72" t="s">
        <v>4</v>
      </c>
      <c r="L577" s="74"/>
      <c r="M577" s="77" t="str">
        <f>IF(Main[[#This Row],[Tech Start Date]]&lt;1/1/1990,"",IF(Main[[#This Row],[Class]]="C",WORKDAY(Main[[#This Row],[Tech Start Date]],9),IF(Main[[#This Row],[Class]]="B", WORKDAY(Main[[#This Row],[Tech Start Date]],6),IF(Main[[#This Row],[Class]]="A",WORKDAY(Main[[#This Row],[Tech Start Date]],2),""))))</f>
        <v/>
      </c>
      <c r="N577" s="77" t="str">
        <f>IF(Main[[#This Row],[Tech Start Date]]&lt;1/1/1990,"",IF(Main[[#This Row],[Class]]="C",WORKDAY(Main[[#This Row],[Tech Start Date]],19),IF(Main[[#This Row],[Class]]="B", WORKDAY(Main[[#This Row],[Tech Start Date]],12),IF(Main[[#This Row],[Class]]="A",WORKDAY(Main[[#This Row],[Tech Start Date]],4),""))))</f>
        <v/>
      </c>
      <c r="O577" s="77" t="str">
        <f>IF(Main[[#This Row],[Tech Start Date]]&lt;1/1/1990,"",IF(Main[[#This Row],[Class]]="C",WORKDAY(Main[[#This Row],[Tech Start Date]],23),IF(Main[[#This Row],[Class]]="B", WORKDAY(Main[[#This Row],[Tech Start Date]],15),IF(Main[[#This Row],[Class]]="A",WORKDAY(Main[[#This Row],[Tech Start Date]],5),""))))</f>
        <v/>
      </c>
      <c r="P577" s="77" t="str">
        <f>IF(Main[[#This Row],[Tech Start Date]]&lt;1/1/1990,"",IF(Main[[#This Row],[Class]]="C",WORKDAY(Main[[#This Row],[Tech Start Date]],28),IF(Main[[#This Row],[Class]]="B", WORKDAY(Main[[#This Row],[Tech Start Date]],19),IF(Main[[#This Row],[Class]]="A",WORKDAY(Main[[#This Row],[Tech Start Date]],9),""))))</f>
        <v/>
      </c>
      <c r="Q577" s="74">
        <v>40042</v>
      </c>
      <c r="R577" s="74"/>
      <c r="S577" s="72" t="s">
        <v>11</v>
      </c>
      <c r="T577" s="80" t="s">
        <v>4</v>
      </c>
      <c r="U577" s="72" t="s">
        <v>14</v>
      </c>
      <c r="V577" s="72" t="s">
        <v>1933</v>
      </c>
      <c r="W577" s="72" t="s">
        <v>1946</v>
      </c>
      <c r="X577" s="72" t="s">
        <v>755</v>
      </c>
      <c r="Y577" s="72" t="s">
        <v>3153</v>
      </c>
      <c r="Z577" s="72" t="s">
        <v>4</v>
      </c>
      <c r="AA577" s="147" t="s">
        <v>755</v>
      </c>
    </row>
    <row r="578" spans="1:27" ht="18.600000000000001" customHeight="1">
      <c r="A578" s="140" t="str">
        <f>IF(priority(Main[[#This Row],[Comments]])&lt;&gt;0, priority(Main[[#This Row],[Comments]]),"")</f>
        <v/>
      </c>
      <c r="B578" s="90" t="s">
        <v>1984</v>
      </c>
      <c r="C578" s="72" t="s">
        <v>4</v>
      </c>
      <c r="D578" s="73" t="s">
        <v>1985</v>
      </c>
      <c r="E578" s="74"/>
      <c r="F578" s="74"/>
      <c r="G578" s="75" t="str">
        <f>IF(stdProdLT(Main[[#This Row],[Comments]])=0.1,"N/A",IF(stdProdLT(Main[[#This Row],[Comments]])=0,"",stdProdLT(Main[[#This Row],[Comments]])))</f>
        <v/>
      </c>
      <c r="H578" s="76" t="str">
        <f>IF(AND(Main[[#This Row],[In Stock Date]]&lt;&gt;"",Main[[#This Row],[Revised Due Date]]&lt;&gt;""),Main[[#This Row],[In Stock Date]]-Main[[#This Row],[Revised Due Date]],"")</f>
        <v/>
      </c>
      <c r="I578" s="72" t="s">
        <v>4</v>
      </c>
      <c r="J578" s="72" t="s">
        <v>4</v>
      </c>
      <c r="K578" s="72" t="s">
        <v>4</v>
      </c>
      <c r="L578" s="74"/>
      <c r="M578" s="77" t="str">
        <f>IF(Main[[#This Row],[Tech Start Date]]&lt;1/1/1990,"",IF(Main[[#This Row],[Class]]="C",WORKDAY(Main[[#This Row],[Tech Start Date]],9),IF(Main[[#This Row],[Class]]="B", WORKDAY(Main[[#This Row],[Tech Start Date]],6),IF(Main[[#This Row],[Class]]="A",WORKDAY(Main[[#This Row],[Tech Start Date]],2),""))))</f>
        <v/>
      </c>
      <c r="N578" s="77" t="str">
        <f>IF(Main[[#This Row],[Tech Start Date]]&lt;1/1/1990,"",IF(Main[[#This Row],[Class]]="C",WORKDAY(Main[[#This Row],[Tech Start Date]],19),IF(Main[[#This Row],[Class]]="B", WORKDAY(Main[[#This Row],[Tech Start Date]],12),IF(Main[[#This Row],[Class]]="A",WORKDAY(Main[[#This Row],[Tech Start Date]],4),""))))</f>
        <v/>
      </c>
      <c r="O578" s="77" t="str">
        <f>IF(Main[[#This Row],[Tech Start Date]]&lt;1/1/1990,"",IF(Main[[#This Row],[Class]]="C",WORKDAY(Main[[#This Row],[Tech Start Date]],23),IF(Main[[#This Row],[Class]]="B", WORKDAY(Main[[#This Row],[Tech Start Date]],15),IF(Main[[#This Row],[Class]]="A",WORKDAY(Main[[#This Row],[Tech Start Date]],5),""))))</f>
        <v/>
      </c>
      <c r="P578" s="77" t="str">
        <f>IF(Main[[#This Row],[Tech Start Date]]&lt;1/1/1990,"",IF(Main[[#This Row],[Class]]="C",WORKDAY(Main[[#This Row],[Tech Start Date]],28),IF(Main[[#This Row],[Class]]="B", WORKDAY(Main[[#This Row],[Tech Start Date]],19),IF(Main[[#This Row],[Class]]="A",WORKDAY(Main[[#This Row],[Tech Start Date]],9),""))))</f>
        <v/>
      </c>
      <c r="Q578" s="74"/>
      <c r="R578" s="74"/>
      <c r="S578" s="72" t="s">
        <v>23</v>
      </c>
      <c r="T578" s="80" t="s">
        <v>4</v>
      </c>
      <c r="U578" s="72" t="s">
        <v>14</v>
      </c>
      <c r="V578" s="72" t="s">
        <v>1932</v>
      </c>
      <c r="W578" s="72" t="s">
        <v>1936</v>
      </c>
      <c r="X578" s="72" t="s">
        <v>102</v>
      </c>
      <c r="Y578" s="72" t="s">
        <v>3154</v>
      </c>
      <c r="Z578" s="72" t="s">
        <v>4</v>
      </c>
      <c r="AA578" s="147" t="s">
        <v>3605</v>
      </c>
    </row>
    <row r="579" spans="1:27" ht="18.600000000000001" customHeight="1">
      <c r="A579" s="140" t="str">
        <f>IF(priority(Main[[#This Row],[Comments]])&lt;&gt;0, priority(Main[[#This Row],[Comments]]),"")</f>
        <v/>
      </c>
      <c r="B579" s="90" t="s">
        <v>1437</v>
      </c>
      <c r="C579" s="72" t="s">
        <v>4</v>
      </c>
      <c r="D579" s="73" t="s">
        <v>513</v>
      </c>
      <c r="E579" s="74">
        <v>40322.154652777775</v>
      </c>
      <c r="F579" s="74"/>
      <c r="G579" s="75" t="str">
        <f>IF(stdProdLT(Main[[#This Row],[Comments]])=0.1,"N/A",IF(stdProdLT(Main[[#This Row],[Comments]])=0,"",stdProdLT(Main[[#This Row],[Comments]])))</f>
        <v/>
      </c>
      <c r="H579" s="76" t="str">
        <f>IF(AND(Main[[#This Row],[In Stock Date]]&lt;&gt;"",Main[[#This Row],[Revised Due Date]]&lt;&gt;""),Main[[#This Row],[In Stock Date]]-Main[[#This Row],[Revised Due Date]],"")</f>
        <v/>
      </c>
      <c r="I579" s="72" t="s">
        <v>129</v>
      </c>
      <c r="J579" s="72" t="s">
        <v>4</v>
      </c>
      <c r="K579" s="81" t="s">
        <v>4</v>
      </c>
      <c r="L579" s="74"/>
      <c r="M579" s="77" t="str">
        <f>IF(Main[[#This Row],[Tech Start Date]]&lt;1/1/1990,"",IF(Main[[#This Row],[Class]]="C",WORKDAY(Main[[#This Row],[Tech Start Date]],9),IF(Main[[#This Row],[Class]]="B", WORKDAY(Main[[#This Row],[Tech Start Date]],6),IF(Main[[#This Row],[Class]]="A",WORKDAY(Main[[#This Row],[Tech Start Date]],2),""))))</f>
        <v/>
      </c>
      <c r="N579" s="77" t="str">
        <f>IF(Main[[#This Row],[Tech Start Date]]&lt;1/1/1990,"",IF(Main[[#This Row],[Class]]="C",WORKDAY(Main[[#This Row],[Tech Start Date]],19),IF(Main[[#This Row],[Class]]="B", WORKDAY(Main[[#This Row],[Tech Start Date]],12),IF(Main[[#This Row],[Class]]="A",WORKDAY(Main[[#This Row],[Tech Start Date]],4),""))))</f>
        <v/>
      </c>
      <c r="O579" s="77" t="str">
        <f>IF(Main[[#This Row],[Tech Start Date]]&lt;1/1/1990,"",IF(Main[[#This Row],[Class]]="C",WORKDAY(Main[[#This Row],[Tech Start Date]],23),IF(Main[[#This Row],[Class]]="B", WORKDAY(Main[[#This Row],[Tech Start Date]],15),IF(Main[[#This Row],[Class]]="A",WORKDAY(Main[[#This Row],[Tech Start Date]],5),""))))</f>
        <v/>
      </c>
      <c r="P579" s="77" t="str">
        <f>IF(Main[[#This Row],[Tech Start Date]]&lt;1/1/1990,"",IF(Main[[#This Row],[Class]]="C",WORKDAY(Main[[#This Row],[Tech Start Date]],28),IF(Main[[#This Row],[Class]]="B", WORKDAY(Main[[#This Row],[Tech Start Date]],19),IF(Main[[#This Row],[Class]]="A",WORKDAY(Main[[#This Row],[Tech Start Date]],9),""))))</f>
        <v/>
      </c>
      <c r="Q579" s="74">
        <v>40353</v>
      </c>
      <c r="R579" s="74"/>
      <c r="S579" s="72" t="s">
        <v>6</v>
      </c>
      <c r="T579" s="80" t="s">
        <v>4</v>
      </c>
      <c r="U579" s="72" t="s">
        <v>7</v>
      </c>
      <c r="V579" s="72" t="s">
        <v>1932</v>
      </c>
      <c r="W579" s="72" t="s">
        <v>1934</v>
      </c>
      <c r="X579" s="72" t="s">
        <v>2906</v>
      </c>
      <c r="Y579" s="72" t="s">
        <v>3025</v>
      </c>
      <c r="Z579" s="72" t="s">
        <v>4</v>
      </c>
      <c r="AA579" s="147" t="s">
        <v>2906</v>
      </c>
    </row>
    <row r="580" spans="1:27" ht="18.600000000000001" customHeight="1">
      <c r="A580" s="140" t="str">
        <f>IF(priority(Main[[#This Row],[Comments]])&lt;&gt;0, priority(Main[[#This Row],[Comments]]),"")</f>
        <v/>
      </c>
      <c r="B580" s="90" t="s">
        <v>1438</v>
      </c>
      <c r="C580" s="72" t="s">
        <v>4</v>
      </c>
      <c r="D580" s="73" t="s">
        <v>514</v>
      </c>
      <c r="E580" s="74"/>
      <c r="F580" s="74"/>
      <c r="G580" s="75" t="str">
        <f>IF(stdProdLT(Main[[#This Row],[Comments]])=0.1,"N/A",IF(stdProdLT(Main[[#This Row],[Comments]])=0,"",stdProdLT(Main[[#This Row],[Comments]])))</f>
        <v/>
      </c>
      <c r="H580" s="76" t="str">
        <f>IF(AND(Main[[#This Row],[In Stock Date]]&lt;&gt;"",Main[[#This Row],[Revised Due Date]]&lt;&gt;""),Main[[#This Row],[In Stock Date]]-Main[[#This Row],[Revised Due Date]],"")</f>
        <v/>
      </c>
      <c r="I580" s="72" t="s">
        <v>4</v>
      </c>
      <c r="J580" s="72" t="s">
        <v>4</v>
      </c>
      <c r="K580" s="81" t="s">
        <v>4</v>
      </c>
      <c r="L580" s="74"/>
      <c r="M580" s="77" t="str">
        <f>IF(Main[[#This Row],[Tech Start Date]]&lt;1/1/1990,"",IF(Main[[#This Row],[Class]]="C",WORKDAY(Main[[#This Row],[Tech Start Date]],9),IF(Main[[#This Row],[Class]]="B", WORKDAY(Main[[#This Row],[Tech Start Date]],6),IF(Main[[#This Row],[Class]]="A",WORKDAY(Main[[#This Row],[Tech Start Date]],2),""))))</f>
        <v/>
      </c>
      <c r="N580" s="77" t="str">
        <f>IF(Main[[#This Row],[Tech Start Date]]&lt;1/1/1990,"",IF(Main[[#This Row],[Class]]="C",WORKDAY(Main[[#This Row],[Tech Start Date]],19),IF(Main[[#This Row],[Class]]="B", WORKDAY(Main[[#This Row],[Tech Start Date]],12),IF(Main[[#This Row],[Class]]="A",WORKDAY(Main[[#This Row],[Tech Start Date]],4),""))))</f>
        <v/>
      </c>
      <c r="O580" s="77" t="str">
        <f>IF(Main[[#This Row],[Tech Start Date]]&lt;1/1/1990,"",IF(Main[[#This Row],[Class]]="C",WORKDAY(Main[[#This Row],[Tech Start Date]],23),IF(Main[[#This Row],[Class]]="B", WORKDAY(Main[[#This Row],[Tech Start Date]],15),IF(Main[[#This Row],[Class]]="A",WORKDAY(Main[[#This Row],[Tech Start Date]],5),""))))</f>
        <v/>
      </c>
      <c r="P580" s="77" t="str">
        <f>IF(Main[[#This Row],[Tech Start Date]]&lt;1/1/1990,"",IF(Main[[#This Row],[Class]]="C",WORKDAY(Main[[#This Row],[Tech Start Date]],28),IF(Main[[#This Row],[Class]]="B", WORKDAY(Main[[#This Row],[Tech Start Date]],19),IF(Main[[#This Row],[Class]]="A",WORKDAY(Main[[#This Row],[Tech Start Date]],9),""))))</f>
        <v/>
      </c>
      <c r="Q580" s="74"/>
      <c r="R580" s="74"/>
      <c r="S580" s="72" t="s">
        <v>4</v>
      </c>
      <c r="T580" s="80" t="s">
        <v>4</v>
      </c>
      <c r="U580" s="72" t="s">
        <v>14</v>
      </c>
      <c r="V580" s="72" t="s">
        <v>1932</v>
      </c>
      <c r="W580" s="72" t="s">
        <v>4</v>
      </c>
      <c r="X580" s="72" t="s">
        <v>2972</v>
      </c>
      <c r="Y580" s="72" t="s">
        <v>3131</v>
      </c>
      <c r="Z580" s="72" t="s">
        <v>4</v>
      </c>
      <c r="AA580" s="147" t="s">
        <v>2972</v>
      </c>
    </row>
    <row r="581" spans="1:27" ht="18.600000000000001" customHeight="1">
      <c r="A581" s="140" t="str">
        <f>IF(priority(Main[[#This Row],[Comments]])&lt;&gt;0, priority(Main[[#This Row],[Comments]]),"")</f>
        <v/>
      </c>
      <c r="B581" s="90" t="s">
        <v>1441</v>
      </c>
      <c r="C581" s="72" t="s">
        <v>31</v>
      </c>
      <c r="D581" s="73" t="s">
        <v>515</v>
      </c>
      <c r="E581" s="74"/>
      <c r="F581" s="74"/>
      <c r="G581" s="75" t="str">
        <f>IF(stdProdLT(Main[[#This Row],[Comments]])=0.1,"N/A",IF(stdProdLT(Main[[#This Row],[Comments]])=0,"",stdProdLT(Main[[#This Row],[Comments]])))</f>
        <v/>
      </c>
      <c r="H581" s="76" t="str">
        <f>IF(AND(Main[[#This Row],[In Stock Date]]&lt;&gt;"",Main[[#This Row],[Revised Due Date]]&lt;&gt;""),Main[[#This Row],[In Stock Date]]-Main[[#This Row],[Revised Due Date]],"")</f>
        <v/>
      </c>
      <c r="I581" s="72" t="s">
        <v>4</v>
      </c>
      <c r="J581" s="72" t="s">
        <v>4</v>
      </c>
      <c r="K581" s="72" t="s">
        <v>4</v>
      </c>
      <c r="L581" s="74"/>
      <c r="M581" s="77" t="str">
        <f>IF(Main[[#This Row],[Tech Start Date]]&lt;1/1/1990,"",IF(Main[[#This Row],[Class]]="C",WORKDAY(Main[[#This Row],[Tech Start Date]],9),IF(Main[[#This Row],[Class]]="B", WORKDAY(Main[[#This Row],[Tech Start Date]],6),IF(Main[[#This Row],[Class]]="A",WORKDAY(Main[[#This Row],[Tech Start Date]],2),""))))</f>
        <v/>
      </c>
      <c r="N581" s="77" t="str">
        <f>IF(Main[[#This Row],[Tech Start Date]]&lt;1/1/1990,"",IF(Main[[#This Row],[Class]]="C",WORKDAY(Main[[#This Row],[Tech Start Date]],19),IF(Main[[#This Row],[Class]]="B", WORKDAY(Main[[#This Row],[Tech Start Date]],12),IF(Main[[#This Row],[Class]]="A",WORKDAY(Main[[#This Row],[Tech Start Date]],4),""))))</f>
        <v/>
      </c>
      <c r="O581" s="77" t="str">
        <f>IF(Main[[#This Row],[Tech Start Date]]&lt;1/1/1990,"",IF(Main[[#This Row],[Class]]="C",WORKDAY(Main[[#This Row],[Tech Start Date]],23),IF(Main[[#This Row],[Class]]="B", WORKDAY(Main[[#This Row],[Tech Start Date]],15),IF(Main[[#This Row],[Class]]="A",WORKDAY(Main[[#This Row],[Tech Start Date]],5),""))))</f>
        <v/>
      </c>
      <c r="P581" s="77" t="str">
        <f>IF(Main[[#This Row],[Tech Start Date]]&lt;1/1/1990,"",IF(Main[[#This Row],[Class]]="C",WORKDAY(Main[[#This Row],[Tech Start Date]],28),IF(Main[[#This Row],[Class]]="B", WORKDAY(Main[[#This Row],[Tech Start Date]],19),IF(Main[[#This Row],[Class]]="A",WORKDAY(Main[[#This Row],[Tech Start Date]],9),""))))</f>
        <v/>
      </c>
      <c r="Q581" s="74">
        <v>40318</v>
      </c>
      <c r="R581" s="74"/>
      <c r="S581" s="72" t="s">
        <v>11</v>
      </c>
      <c r="T581" s="80" t="s">
        <v>4</v>
      </c>
      <c r="U581" s="72" t="s">
        <v>14</v>
      </c>
      <c r="V581" s="72" t="s">
        <v>1935</v>
      </c>
      <c r="W581" s="72" t="s">
        <v>1943</v>
      </c>
      <c r="X581" s="72" t="s">
        <v>2914</v>
      </c>
      <c r="Y581" s="72" t="s">
        <v>4</v>
      </c>
      <c r="Z581" s="72" t="s">
        <v>4</v>
      </c>
      <c r="AA581" s="147" t="s">
        <v>2914</v>
      </c>
    </row>
    <row r="582" spans="1:27" ht="18.600000000000001" customHeight="1">
      <c r="A582" s="140" t="str">
        <f>IF(priority(Main[[#This Row],[Comments]])&lt;&gt;0, priority(Main[[#This Row],[Comments]]),"")</f>
        <v/>
      </c>
      <c r="B582" s="90" t="s">
        <v>1442</v>
      </c>
      <c r="C582" s="72" t="s">
        <v>47</v>
      </c>
      <c r="D582" s="73" t="s">
        <v>516</v>
      </c>
      <c r="E582" s="74"/>
      <c r="F582" s="74"/>
      <c r="G582" s="75" t="str">
        <f>IF(stdProdLT(Main[[#This Row],[Comments]])=0.1,"N/A",IF(stdProdLT(Main[[#This Row],[Comments]])=0,"",stdProdLT(Main[[#This Row],[Comments]])))</f>
        <v/>
      </c>
      <c r="H582" s="76" t="str">
        <f>IF(AND(Main[[#This Row],[In Stock Date]]&lt;&gt;"",Main[[#This Row],[Revised Due Date]]&lt;&gt;""),Main[[#This Row],[In Stock Date]]-Main[[#This Row],[Revised Due Date]],"")</f>
        <v/>
      </c>
      <c r="I582" s="72" t="s">
        <v>4</v>
      </c>
      <c r="J582" s="72" t="s">
        <v>4</v>
      </c>
      <c r="K582" s="72" t="s">
        <v>4</v>
      </c>
      <c r="L582" s="74"/>
      <c r="M582" s="77" t="str">
        <f>IF(Main[[#This Row],[Tech Start Date]]&lt;1/1/1990,"",IF(Main[[#This Row],[Class]]="C",WORKDAY(Main[[#This Row],[Tech Start Date]],9),IF(Main[[#This Row],[Class]]="B", WORKDAY(Main[[#This Row],[Tech Start Date]],6),IF(Main[[#This Row],[Class]]="A",WORKDAY(Main[[#This Row],[Tech Start Date]],2),""))))</f>
        <v/>
      </c>
      <c r="N582" s="77" t="str">
        <f>IF(Main[[#This Row],[Tech Start Date]]&lt;1/1/1990,"",IF(Main[[#This Row],[Class]]="C",WORKDAY(Main[[#This Row],[Tech Start Date]],19),IF(Main[[#This Row],[Class]]="B", WORKDAY(Main[[#This Row],[Tech Start Date]],12),IF(Main[[#This Row],[Class]]="A",WORKDAY(Main[[#This Row],[Tech Start Date]],4),""))))</f>
        <v/>
      </c>
      <c r="O582" s="77" t="str">
        <f>IF(Main[[#This Row],[Tech Start Date]]&lt;1/1/1990,"",IF(Main[[#This Row],[Class]]="C",WORKDAY(Main[[#This Row],[Tech Start Date]],23),IF(Main[[#This Row],[Class]]="B", WORKDAY(Main[[#This Row],[Tech Start Date]],15),IF(Main[[#This Row],[Class]]="A",WORKDAY(Main[[#This Row],[Tech Start Date]],5),""))))</f>
        <v/>
      </c>
      <c r="P582" s="77" t="str">
        <f>IF(Main[[#This Row],[Tech Start Date]]&lt;1/1/1990,"",IF(Main[[#This Row],[Class]]="C",WORKDAY(Main[[#This Row],[Tech Start Date]],28),IF(Main[[#This Row],[Class]]="B", WORKDAY(Main[[#This Row],[Tech Start Date]],19),IF(Main[[#This Row],[Class]]="A",WORKDAY(Main[[#This Row],[Tech Start Date]],9),""))))</f>
        <v/>
      </c>
      <c r="Q582" s="74"/>
      <c r="R582" s="74"/>
      <c r="S582" s="72" t="s">
        <v>11</v>
      </c>
      <c r="T582" s="80" t="s">
        <v>4</v>
      </c>
      <c r="U582" s="72" t="s">
        <v>14</v>
      </c>
      <c r="V582" s="72" t="s">
        <v>1933</v>
      </c>
      <c r="W582" s="72" t="s">
        <v>1936</v>
      </c>
      <c r="X582" s="72" t="s">
        <v>310</v>
      </c>
      <c r="Y582" s="72" t="s">
        <v>3028</v>
      </c>
      <c r="Z582" s="72" t="s">
        <v>4</v>
      </c>
      <c r="AA582" s="147" t="s">
        <v>3564</v>
      </c>
    </row>
    <row r="583" spans="1:27" ht="18.600000000000001" customHeight="1">
      <c r="A583" s="140" t="str">
        <f>IF(priority(Main[[#This Row],[Comments]])&lt;&gt;0, priority(Main[[#This Row],[Comments]]),"")</f>
        <v/>
      </c>
      <c r="B583" s="90" t="s">
        <v>1443</v>
      </c>
      <c r="C583" s="72" t="s">
        <v>4</v>
      </c>
      <c r="D583" s="73" t="s">
        <v>517</v>
      </c>
      <c r="E583" s="74">
        <v>40465.986851851849</v>
      </c>
      <c r="F583" s="74"/>
      <c r="G583" s="75" t="str">
        <f>IF(stdProdLT(Main[[#This Row],[Comments]])=0.1,"N/A",IF(stdProdLT(Main[[#This Row],[Comments]])=0,"",stdProdLT(Main[[#This Row],[Comments]])))</f>
        <v/>
      </c>
      <c r="H583" s="76" t="str">
        <f>IF(AND(Main[[#This Row],[In Stock Date]]&lt;&gt;"",Main[[#This Row],[Revised Due Date]]&lt;&gt;""),Main[[#This Row],[In Stock Date]]-Main[[#This Row],[Revised Due Date]],"")</f>
        <v/>
      </c>
      <c r="I583" s="72" t="s">
        <v>4</v>
      </c>
      <c r="J583" s="72" t="s">
        <v>28</v>
      </c>
      <c r="K583" s="72" t="s">
        <v>4</v>
      </c>
      <c r="L583" s="74"/>
      <c r="M583" s="77" t="str">
        <f>IF(Main[[#This Row],[Tech Start Date]]&lt;1/1/1990,"",IF(Main[[#This Row],[Class]]="C",WORKDAY(Main[[#This Row],[Tech Start Date]],9),IF(Main[[#This Row],[Class]]="B", WORKDAY(Main[[#This Row],[Tech Start Date]],6),IF(Main[[#This Row],[Class]]="A",WORKDAY(Main[[#This Row],[Tech Start Date]],2),""))))</f>
        <v/>
      </c>
      <c r="N583" s="77" t="str">
        <f>IF(Main[[#This Row],[Tech Start Date]]&lt;1/1/1990,"",IF(Main[[#This Row],[Class]]="C",WORKDAY(Main[[#This Row],[Tech Start Date]],19),IF(Main[[#This Row],[Class]]="B", WORKDAY(Main[[#This Row],[Tech Start Date]],12),IF(Main[[#This Row],[Class]]="A",WORKDAY(Main[[#This Row],[Tech Start Date]],4),""))))</f>
        <v/>
      </c>
      <c r="O583" s="77" t="str">
        <f>IF(Main[[#This Row],[Tech Start Date]]&lt;1/1/1990,"",IF(Main[[#This Row],[Class]]="C",WORKDAY(Main[[#This Row],[Tech Start Date]],23),IF(Main[[#This Row],[Class]]="B", WORKDAY(Main[[#This Row],[Tech Start Date]],15),IF(Main[[#This Row],[Class]]="A",WORKDAY(Main[[#This Row],[Tech Start Date]],5),""))))</f>
        <v/>
      </c>
      <c r="P583" s="77" t="str">
        <f>IF(Main[[#This Row],[Tech Start Date]]&lt;1/1/1990,"",IF(Main[[#This Row],[Class]]="C",WORKDAY(Main[[#This Row],[Tech Start Date]],28),IF(Main[[#This Row],[Class]]="B", WORKDAY(Main[[#This Row],[Tech Start Date]],19),IF(Main[[#This Row],[Class]]="A",WORKDAY(Main[[#This Row],[Tech Start Date]],9),""))))</f>
        <v/>
      </c>
      <c r="Q583" s="74"/>
      <c r="R583" s="74"/>
      <c r="S583" s="72" t="s">
        <v>6</v>
      </c>
      <c r="T583" s="80" t="s">
        <v>4</v>
      </c>
      <c r="U583" s="72" t="s">
        <v>7</v>
      </c>
      <c r="V583" s="72" t="s">
        <v>1932</v>
      </c>
      <c r="W583" s="72" t="s">
        <v>1936</v>
      </c>
      <c r="X583" s="72" t="s">
        <v>2950</v>
      </c>
      <c r="Y583" s="72" t="s">
        <v>3087</v>
      </c>
      <c r="Z583" s="72" t="s">
        <v>129</v>
      </c>
      <c r="AA583" s="147" t="s">
        <v>2950</v>
      </c>
    </row>
    <row r="584" spans="1:27" ht="18.600000000000001" customHeight="1">
      <c r="A584" s="140" t="str">
        <f>IF(priority(Main[[#This Row],[Comments]])&lt;&gt;0, priority(Main[[#This Row],[Comments]]),"")</f>
        <v/>
      </c>
      <c r="B584" s="90" t="s">
        <v>1267</v>
      </c>
      <c r="C584" s="72" t="s">
        <v>4</v>
      </c>
      <c r="D584" s="73" t="s">
        <v>323</v>
      </c>
      <c r="E584" s="74">
        <v>40014.430787037039</v>
      </c>
      <c r="F584" s="74"/>
      <c r="G584" s="75" t="str">
        <f>IF(stdProdLT(Main[[#This Row],[Comments]])=0.1,"N/A",IF(stdProdLT(Main[[#This Row],[Comments]])=0,"",stdProdLT(Main[[#This Row],[Comments]])))</f>
        <v/>
      </c>
      <c r="H584" s="76" t="str">
        <f>IF(AND(Main[[#This Row],[In Stock Date]]&lt;&gt;"",Main[[#This Row],[Revised Due Date]]&lt;&gt;""),Main[[#This Row],[In Stock Date]]-Main[[#This Row],[Revised Due Date]],"")</f>
        <v/>
      </c>
      <c r="I584" s="72" t="s">
        <v>2034</v>
      </c>
      <c r="J584" s="72" t="s">
        <v>28</v>
      </c>
      <c r="K584" s="72" t="s">
        <v>4</v>
      </c>
      <c r="L584" s="74"/>
      <c r="M584" s="77" t="str">
        <f>IF(Main[[#This Row],[Tech Start Date]]&lt;1/1/1990,"",IF(Main[[#This Row],[Class]]="C",WORKDAY(Main[[#This Row],[Tech Start Date]],9),IF(Main[[#This Row],[Class]]="B", WORKDAY(Main[[#This Row],[Tech Start Date]],6),IF(Main[[#This Row],[Class]]="A",WORKDAY(Main[[#This Row],[Tech Start Date]],2),""))))</f>
        <v/>
      </c>
      <c r="N584" s="77" t="str">
        <f>IF(Main[[#This Row],[Tech Start Date]]&lt;1/1/1990,"",IF(Main[[#This Row],[Class]]="C",WORKDAY(Main[[#This Row],[Tech Start Date]],19),IF(Main[[#This Row],[Class]]="B", WORKDAY(Main[[#This Row],[Tech Start Date]],12),IF(Main[[#This Row],[Class]]="A",WORKDAY(Main[[#This Row],[Tech Start Date]],4),""))))</f>
        <v/>
      </c>
      <c r="O584" s="77" t="str">
        <f>IF(Main[[#This Row],[Tech Start Date]]&lt;1/1/1990,"",IF(Main[[#This Row],[Class]]="C",WORKDAY(Main[[#This Row],[Tech Start Date]],23),IF(Main[[#This Row],[Class]]="B", WORKDAY(Main[[#This Row],[Tech Start Date]],15),IF(Main[[#This Row],[Class]]="A",WORKDAY(Main[[#This Row],[Tech Start Date]],5),""))))</f>
        <v/>
      </c>
      <c r="P584" s="77" t="str">
        <f>IF(Main[[#This Row],[Tech Start Date]]&lt;1/1/1990,"",IF(Main[[#This Row],[Class]]="C",WORKDAY(Main[[#This Row],[Tech Start Date]],28),IF(Main[[#This Row],[Class]]="B", WORKDAY(Main[[#This Row],[Tech Start Date]],19),IF(Main[[#This Row],[Class]]="A",WORKDAY(Main[[#This Row],[Tech Start Date]],9),""))))</f>
        <v/>
      </c>
      <c r="Q584" s="74">
        <v>40237</v>
      </c>
      <c r="R584" s="74"/>
      <c r="S584" s="72" t="s">
        <v>17</v>
      </c>
      <c r="T584" s="80" t="s">
        <v>4</v>
      </c>
      <c r="U584" s="72" t="s">
        <v>7</v>
      </c>
      <c r="V584" s="72" t="s">
        <v>1947</v>
      </c>
      <c r="W584" s="72" t="s">
        <v>1940</v>
      </c>
      <c r="X584" s="72" t="s">
        <v>2946</v>
      </c>
      <c r="Y584" s="72" t="s">
        <v>3132</v>
      </c>
      <c r="Z584" s="72" t="s">
        <v>2237</v>
      </c>
      <c r="AA584" s="147" t="s">
        <v>2034</v>
      </c>
    </row>
    <row r="585" spans="1:27" ht="18.600000000000001" customHeight="1">
      <c r="A585" s="140" t="str">
        <f>IF(priority(Main[[#This Row],[Comments]])&lt;&gt;0, priority(Main[[#This Row],[Comments]]),"")</f>
        <v/>
      </c>
      <c r="B585" s="90" t="s">
        <v>1444</v>
      </c>
      <c r="C585" s="72" t="s">
        <v>72</v>
      </c>
      <c r="D585" s="73" t="s">
        <v>518</v>
      </c>
      <c r="E585" s="74"/>
      <c r="F585" s="74">
        <v>40544</v>
      </c>
      <c r="G585" s="75" t="str">
        <f>IF(stdProdLT(Main[[#This Row],[Comments]])=0.1,"N/A",IF(stdProdLT(Main[[#This Row],[Comments]])=0,"",stdProdLT(Main[[#This Row],[Comments]])))</f>
        <v/>
      </c>
      <c r="H585" s="76" t="str">
        <f>IF(AND(Main[[#This Row],[In Stock Date]]&lt;&gt;"",Main[[#This Row],[Revised Due Date]]&lt;&gt;""),Main[[#This Row],[In Stock Date]]-Main[[#This Row],[Revised Due Date]],"")</f>
        <v/>
      </c>
      <c r="I585" s="72" t="s">
        <v>4</v>
      </c>
      <c r="J585" s="72" t="s">
        <v>4</v>
      </c>
      <c r="K585" s="72" t="s">
        <v>4</v>
      </c>
      <c r="L585" s="74"/>
      <c r="M585" s="77" t="str">
        <f>IF(Main[[#This Row],[Tech Start Date]]&lt;1/1/1990,"",IF(Main[[#This Row],[Class]]="C",WORKDAY(Main[[#This Row],[Tech Start Date]],9),IF(Main[[#This Row],[Class]]="B", WORKDAY(Main[[#This Row],[Tech Start Date]],6),IF(Main[[#This Row],[Class]]="A",WORKDAY(Main[[#This Row],[Tech Start Date]],2),""))))</f>
        <v/>
      </c>
      <c r="N585" s="77" t="str">
        <f>IF(Main[[#This Row],[Tech Start Date]]&lt;1/1/1990,"",IF(Main[[#This Row],[Class]]="C",WORKDAY(Main[[#This Row],[Tech Start Date]],19),IF(Main[[#This Row],[Class]]="B", WORKDAY(Main[[#This Row],[Tech Start Date]],12),IF(Main[[#This Row],[Class]]="A",WORKDAY(Main[[#This Row],[Tech Start Date]],4),""))))</f>
        <v/>
      </c>
      <c r="O585" s="77" t="str">
        <f>IF(Main[[#This Row],[Tech Start Date]]&lt;1/1/1990,"",IF(Main[[#This Row],[Class]]="C",WORKDAY(Main[[#This Row],[Tech Start Date]],23),IF(Main[[#This Row],[Class]]="B", WORKDAY(Main[[#This Row],[Tech Start Date]],15),IF(Main[[#This Row],[Class]]="A",WORKDAY(Main[[#This Row],[Tech Start Date]],5),""))))</f>
        <v/>
      </c>
      <c r="P585" s="77" t="str">
        <f>IF(Main[[#This Row],[Tech Start Date]]&lt;1/1/1990,"",IF(Main[[#This Row],[Class]]="C",WORKDAY(Main[[#This Row],[Tech Start Date]],28),IF(Main[[#This Row],[Class]]="B", WORKDAY(Main[[#This Row],[Tech Start Date]],19),IF(Main[[#This Row],[Class]]="A",WORKDAY(Main[[#This Row],[Tech Start Date]],9),""))))</f>
        <v/>
      </c>
      <c r="Q585" s="74"/>
      <c r="R585" s="74"/>
      <c r="S585" s="72" t="s">
        <v>11</v>
      </c>
      <c r="T585" s="80" t="s">
        <v>4</v>
      </c>
      <c r="U585" s="72" t="s">
        <v>14</v>
      </c>
      <c r="V585" s="72" t="s">
        <v>1935</v>
      </c>
      <c r="W585" s="72" t="s">
        <v>1940</v>
      </c>
      <c r="X585" s="72" t="s">
        <v>2931</v>
      </c>
      <c r="Y585" s="72" t="s">
        <v>3065</v>
      </c>
      <c r="Z585" s="72" t="s">
        <v>4</v>
      </c>
      <c r="AA585" s="147" t="s">
        <v>2931</v>
      </c>
    </row>
    <row r="586" spans="1:27" ht="18.600000000000001" customHeight="1">
      <c r="A586" s="140" t="str">
        <f>IF(priority(Main[[#This Row],[Comments]])&lt;&gt;0, priority(Main[[#This Row],[Comments]]),"")</f>
        <v/>
      </c>
      <c r="B586" s="90" t="s">
        <v>1656</v>
      </c>
      <c r="C586" s="72" t="s">
        <v>4</v>
      </c>
      <c r="D586" s="73" t="s">
        <v>2013</v>
      </c>
      <c r="E586" s="74"/>
      <c r="F586" s="74"/>
      <c r="G586" s="75" t="str">
        <f>IF(stdProdLT(Main[[#This Row],[Comments]])=0.1,"N/A",IF(stdProdLT(Main[[#This Row],[Comments]])=0,"",stdProdLT(Main[[#This Row],[Comments]])))</f>
        <v/>
      </c>
      <c r="H586" s="76" t="str">
        <f>IF(AND(Main[[#This Row],[In Stock Date]]&lt;&gt;"",Main[[#This Row],[Revised Due Date]]&lt;&gt;""),Main[[#This Row],[In Stock Date]]-Main[[#This Row],[Revised Due Date]],"")</f>
        <v/>
      </c>
      <c r="I586" s="72" t="s">
        <v>44</v>
      </c>
      <c r="J586" s="72" t="s">
        <v>28</v>
      </c>
      <c r="K586" s="72" t="s">
        <v>1941</v>
      </c>
      <c r="L586" s="74"/>
      <c r="M586" s="77" t="str">
        <f>IF(Main[[#This Row],[Tech Start Date]]&lt;1/1/1990,"",IF(Main[[#This Row],[Class]]="C",WORKDAY(Main[[#This Row],[Tech Start Date]],9),IF(Main[[#This Row],[Class]]="B", WORKDAY(Main[[#This Row],[Tech Start Date]],6),IF(Main[[#This Row],[Class]]="A",WORKDAY(Main[[#This Row],[Tech Start Date]],2),""))))</f>
        <v/>
      </c>
      <c r="N586" s="77" t="str">
        <f>IF(Main[[#This Row],[Tech Start Date]]&lt;1/1/1990,"",IF(Main[[#This Row],[Class]]="C",WORKDAY(Main[[#This Row],[Tech Start Date]],19),IF(Main[[#This Row],[Class]]="B", WORKDAY(Main[[#This Row],[Tech Start Date]],12),IF(Main[[#This Row],[Class]]="A",WORKDAY(Main[[#This Row],[Tech Start Date]],4),""))))</f>
        <v/>
      </c>
      <c r="O586" s="77" t="str">
        <f>IF(Main[[#This Row],[Tech Start Date]]&lt;1/1/1990,"",IF(Main[[#This Row],[Class]]="C",WORKDAY(Main[[#This Row],[Tech Start Date]],23),IF(Main[[#This Row],[Class]]="B", WORKDAY(Main[[#This Row],[Tech Start Date]],15),IF(Main[[#This Row],[Class]]="A",WORKDAY(Main[[#This Row],[Tech Start Date]],5),""))))</f>
        <v/>
      </c>
      <c r="P586" s="77" t="str">
        <f>IF(Main[[#This Row],[Tech Start Date]]&lt;1/1/1990,"",IF(Main[[#This Row],[Class]]="C",WORKDAY(Main[[#This Row],[Tech Start Date]],28),IF(Main[[#This Row],[Class]]="B", WORKDAY(Main[[#This Row],[Tech Start Date]],19),IF(Main[[#This Row],[Class]]="A",WORKDAY(Main[[#This Row],[Tech Start Date]],9),""))))</f>
        <v/>
      </c>
      <c r="Q586" s="74">
        <v>40755</v>
      </c>
      <c r="R586" s="74"/>
      <c r="S586" s="72" t="s">
        <v>6</v>
      </c>
      <c r="T586" s="80" t="s">
        <v>4</v>
      </c>
      <c r="U586" s="72" t="s">
        <v>14</v>
      </c>
      <c r="V586" s="72" t="s">
        <v>1935</v>
      </c>
      <c r="W586" s="72" t="s">
        <v>1936</v>
      </c>
      <c r="X586" s="72" t="s">
        <v>30</v>
      </c>
      <c r="Y586" s="72" t="s">
        <v>3133</v>
      </c>
      <c r="Z586" s="72" t="s">
        <v>44</v>
      </c>
      <c r="AA586" s="147" t="s">
        <v>3602</v>
      </c>
    </row>
    <row r="587" spans="1:27" ht="18.600000000000001" customHeight="1">
      <c r="A587" s="140" t="str">
        <f>IF(priority(Main[[#This Row],[Comments]])&lt;&gt;0, priority(Main[[#This Row],[Comments]]),"")</f>
        <v/>
      </c>
      <c r="B587" s="90" t="s">
        <v>1445</v>
      </c>
      <c r="C587" s="72" t="s">
        <v>4</v>
      </c>
      <c r="D587" s="73" t="s">
        <v>97</v>
      </c>
      <c r="E587" s="74"/>
      <c r="F587" s="74"/>
      <c r="G587" s="75" t="str">
        <f>IF(stdProdLT(Main[[#This Row],[Comments]])=0.1,"N/A",IF(stdProdLT(Main[[#This Row],[Comments]])=0,"",stdProdLT(Main[[#This Row],[Comments]])))</f>
        <v/>
      </c>
      <c r="H587" s="76" t="str">
        <f>IF(AND(Main[[#This Row],[In Stock Date]]&lt;&gt;"",Main[[#This Row],[Revised Due Date]]&lt;&gt;""),Main[[#This Row],[In Stock Date]]-Main[[#This Row],[Revised Due Date]],"")</f>
        <v/>
      </c>
      <c r="I587" s="72" t="s">
        <v>4</v>
      </c>
      <c r="J587" s="72" t="s">
        <v>4</v>
      </c>
      <c r="K587" s="72" t="s">
        <v>4</v>
      </c>
      <c r="L587" s="74"/>
      <c r="M587" s="77" t="str">
        <f>IF(Main[[#This Row],[Tech Start Date]]&lt;1/1/1990,"",IF(Main[[#This Row],[Class]]="C",WORKDAY(Main[[#This Row],[Tech Start Date]],9),IF(Main[[#This Row],[Class]]="B", WORKDAY(Main[[#This Row],[Tech Start Date]],6),IF(Main[[#This Row],[Class]]="A",WORKDAY(Main[[#This Row],[Tech Start Date]],2),""))))</f>
        <v/>
      </c>
      <c r="N587" s="77" t="str">
        <f>IF(Main[[#This Row],[Tech Start Date]]&lt;1/1/1990,"",IF(Main[[#This Row],[Class]]="C",WORKDAY(Main[[#This Row],[Tech Start Date]],19),IF(Main[[#This Row],[Class]]="B", WORKDAY(Main[[#This Row],[Tech Start Date]],12),IF(Main[[#This Row],[Class]]="A",WORKDAY(Main[[#This Row],[Tech Start Date]],4),""))))</f>
        <v/>
      </c>
      <c r="O587" s="77" t="str">
        <f>IF(Main[[#This Row],[Tech Start Date]]&lt;1/1/1990,"",IF(Main[[#This Row],[Class]]="C",WORKDAY(Main[[#This Row],[Tech Start Date]],23),IF(Main[[#This Row],[Class]]="B", WORKDAY(Main[[#This Row],[Tech Start Date]],15),IF(Main[[#This Row],[Class]]="A",WORKDAY(Main[[#This Row],[Tech Start Date]],5),""))))</f>
        <v/>
      </c>
      <c r="P587" s="77" t="str">
        <f>IF(Main[[#This Row],[Tech Start Date]]&lt;1/1/1990,"",IF(Main[[#This Row],[Class]]="C",WORKDAY(Main[[#This Row],[Tech Start Date]],28),IF(Main[[#This Row],[Class]]="B", WORKDAY(Main[[#This Row],[Tech Start Date]],19),IF(Main[[#This Row],[Class]]="A",WORKDAY(Main[[#This Row],[Tech Start Date]],9),""))))</f>
        <v/>
      </c>
      <c r="Q587" s="74">
        <v>40858</v>
      </c>
      <c r="R587" s="74"/>
      <c r="S587" s="72" t="s">
        <v>17</v>
      </c>
      <c r="T587" s="80" t="s">
        <v>4</v>
      </c>
      <c r="U587" s="72" t="s">
        <v>14</v>
      </c>
      <c r="V587" s="72" t="s">
        <v>1932</v>
      </c>
      <c r="W587" s="72" t="s">
        <v>1937</v>
      </c>
      <c r="X587" s="72" t="s">
        <v>50</v>
      </c>
      <c r="Y587" s="72" t="s">
        <v>3046</v>
      </c>
      <c r="Z587" s="72" t="s">
        <v>4</v>
      </c>
      <c r="AA587" s="147" t="s">
        <v>2912</v>
      </c>
    </row>
    <row r="588" spans="1:27" ht="18.600000000000001" customHeight="1">
      <c r="A588" s="140" t="str">
        <f>IF(priority(Main[[#This Row],[Comments]])&lt;&gt;0, priority(Main[[#This Row],[Comments]]),"")</f>
        <v/>
      </c>
      <c r="B588" s="90" t="s">
        <v>1446</v>
      </c>
      <c r="C588" s="72" t="s">
        <v>47</v>
      </c>
      <c r="D588" s="73" t="s">
        <v>522</v>
      </c>
      <c r="E588" s="74"/>
      <c r="F588" s="74"/>
      <c r="G588" s="75" t="str">
        <f>IF(stdProdLT(Main[[#This Row],[Comments]])=0.1,"N/A",IF(stdProdLT(Main[[#This Row],[Comments]])=0,"",stdProdLT(Main[[#This Row],[Comments]])))</f>
        <v/>
      </c>
      <c r="H588" s="76" t="str">
        <f>IF(AND(Main[[#This Row],[In Stock Date]]&lt;&gt;"",Main[[#This Row],[Revised Due Date]]&lt;&gt;""),Main[[#This Row],[In Stock Date]]-Main[[#This Row],[Revised Due Date]],"")</f>
        <v/>
      </c>
      <c r="I588" s="72" t="s">
        <v>4</v>
      </c>
      <c r="J588" s="72" t="s">
        <v>4</v>
      </c>
      <c r="K588" s="81" t="s">
        <v>4</v>
      </c>
      <c r="L588" s="74"/>
      <c r="M588" s="77" t="str">
        <f>IF(Main[[#This Row],[Tech Start Date]]&lt;1/1/1990,"",IF(Main[[#This Row],[Class]]="C",WORKDAY(Main[[#This Row],[Tech Start Date]],9),IF(Main[[#This Row],[Class]]="B", WORKDAY(Main[[#This Row],[Tech Start Date]],6),IF(Main[[#This Row],[Class]]="A",WORKDAY(Main[[#This Row],[Tech Start Date]],2),""))))</f>
        <v/>
      </c>
      <c r="N588" s="77" t="str">
        <f>IF(Main[[#This Row],[Tech Start Date]]&lt;1/1/1990,"",IF(Main[[#This Row],[Class]]="C",WORKDAY(Main[[#This Row],[Tech Start Date]],19),IF(Main[[#This Row],[Class]]="B", WORKDAY(Main[[#This Row],[Tech Start Date]],12),IF(Main[[#This Row],[Class]]="A",WORKDAY(Main[[#This Row],[Tech Start Date]],4),""))))</f>
        <v/>
      </c>
      <c r="O588" s="77" t="str">
        <f>IF(Main[[#This Row],[Tech Start Date]]&lt;1/1/1990,"",IF(Main[[#This Row],[Class]]="C",WORKDAY(Main[[#This Row],[Tech Start Date]],23),IF(Main[[#This Row],[Class]]="B", WORKDAY(Main[[#This Row],[Tech Start Date]],15),IF(Main[[#This Row],[Class]]="A",WORKDAY(Main[[#This Row],[Tech Start Date]],5),""))))</f>
        <v/>
      </c>
      <c r="P588" s="77" t="str">
        <f>IF(Main[[#This Row],[Tech Start Date]]&lt;1/1/1990,"",IF(Main[[#This Row],[Class]]="C",WORKDAY(Main[[#This Row],[Tech Start Date]],28),IF(Main[[#This Row],[Class]]="B", WORKDAY(Main[[#This Row],[Tech Start Date]],19),IF(Main[[#This Row],[Class]]="A",WORKDAY(Main[[#This Row],[Tech Start Date]],9),""))))</f>
        <v/>
      </c>
      <c r="Q588" s="74"/>
      <c r="R588" s="74"/>
      <c r="S588" s="72" t="s">
        <v>49</v>
      </c>
      <c r="T588" s="80" t="s">
        <v>4</v>
      </c>
      <c r="U588" s="72" t="s">
        <v>14</v>
      </c>
      <c r="V588" s="72" t="s">
        <v>1935</v>
      </c>
      <c r="W588" s="72" t="s">
        <v>1936</v>
      </c>
      <c r="X588" s="72" t="s">
        <v>310</v>
      </c>
      <c r="Y588" s="72" t="s">
        <v>4</v>
      </c>
      <c r="Z588" s="72" t="s">
        <v>4</v>
      </c>
      <c r="AA588" s="147" t="s">
        <v>4</v>
      </c>
    </row>
    <row r="589" spans="1:27" ht="18.600000000000001" customHeight="1">
      <c r="A589" s="140" t="str">
        <f>IF(priority(Main[[#This Row],[Comments]])&lt;&gt;0, priority(Main[[#This Row],[Comments]]),"")</f>
        <v/>
      </c>
      <c r="B589" s="90" t="s">
        <v>1447</v>
      </c>
      <c r="C589" s="72" t="s">
        <v>523</v>
      </c>
      <c r="D589" s="73" t="s">
        <v>524</v>
      </c>
      <c r="E589" s="74"/>
      <c r="F589" s="74">
        <v>40548</v>
      </c>
      <c r="G589" s="75" t="str">
        <f>IF(stdProdLT(Main[[#This Row],[Comments]])=0.1,"N/A",IF(stdProdLT(Main[[#This Row],[Comments]])=0,"",stdProdLT(Main[[#This Row],[Comments]])))</f>
        <v/>
      </c>
      <c r="H589" s="76" t="str">
        <f>IF(AND(Main[[#This Row],[In Stock Date]]&lt;&gt;"",Main[[#This Row],[Revised Due Date]]&lt;&gt;""),Main[[#This Row],[In Stock Date]]-Main[[#This Row],[Revised Due Date]],"")</f>
        <v/>
      </c>
      <c r="I589" s="72" t="s">
        <v>4</v>
      </c>
      <c r="J589" s="72" t="s">
        <v>4</v>
      </c>
      <c r="K589" s="72" t="s">
        <v>1944</v>
      </c>
      <c r="L589" s="74"/>
      <c r="M589" s="77" t="str">
        <f>IF(Main[[#This Row],[Tech Start Date]]&lt;1/1/1990,"",IF(Main[[#This Row],[Class]]="C",WORKDAY(Main[[#This Row],[Tech Start Date]],9),IF(Main[[#This Row],[Class]]="B", WORKDAY(Main[[#This Row],[Tech Start Date]],6),IF(Main[[#This Row],[Class]]="A",WORKDAY(Main[[#This Row],[Tech Start Date]],2),""))))</f>
        <v/>
      </c>
      <c r="N589" s="77" t="str">
        <f>IF(Main[[#This Row],[Tech Start Date]]&lt;1/1/1990,"",IF(Main[[#This Row],[Class]]="C",WORKDAY(Main[[#This Row],[Tech Start Date]],19),IF(Main[[#This Row],[Class]]="B", WORKDAY(Main[[#This Row],[Tech Start Date]],12),IF(Main[[#This Row],[Class]]="A",WORKDAY(Main[[#This Row],[Tech Start Date]],4),""))))</f>
        <v/>
      </c>
      <c r="O589" s="77" t="str">
        <f>IF(Main[[#This Row],[Tech Start Date]]&lt;1/1/1990,"",IF(Main[[#This Row],[Class]]="C",WORKDAY(Main[[#This Row],[Tech Start Date]],23),IF(Main[[#This Row],[Class]]="B", WORKDAY(Main[[#This Row],[Tech Start Date]],15),IF(Main[[#This Row],[Class]]="A",WORKDAY(Main[[#This Row],[Tech Start Date]],5),""))))</f>
        <v/>
      </c>
      <c r="P589" s="77" t="str">
        <f>IF(Main[[#This Row],[Tech Start Date]]&lt;1/1/1990,"",IF(Main[[#This Row],[Class]]="C",WORKDAY(Main[[#This Row],[Tech Start Date]],28),IF(Main[[#This Row],[Class]]="B", WORKDAY(Main[[#This Row],[Tech Start Date]],19),IF(Main[[#This Row],[Class]]="A",WORKDAY(Main[[#This Row],[Tech Start Date]],9),""))))</f>
        <v/>
      </c>
      <c r="Q589" s="74"/>
      <c r="R589" s="74"/>
      <c r="S589" s="72" t="s">
        <v>11</v>
      </c>
      <c r="T589" s="80" t="s">
        <v>4</v>
      </c>
      <c r="U589" s="72" t="s">
        <v>14</v>
      </c>
      <c r="V589" s="72" t="s">
        <v>1933</v>
      </c>
      <c r="W589" s="72" t="s">
        <v>1937</v>
      </c>
      <c r="X589" s="72" t="s">
        <v>2973</v>
      </c>
      <c r="Y589" s="72" t="s">
        <v>4</v>
      </c>
      <c r="Z589" s="72" t="s">
        <v>4</v>
      </c>
      <c r="AA589" s="147" t="s">
        <v>4</v>
      </c>
    </row>
    <row r="590" spans="1:27" ht="18.600000000000001" customHeight="1">
      <c r="A590" s="140" t="str">
        <f>IF(priority(Main[[#This Row],[Comments]])&lt;&gt;0, priority(Main[[#This Row],[Comments]]),"")</f>
        <v/>
      </c>
      <c r="B590" s="90" t="s">
        <v>1448</v>
      </c>
      <c r="C590" s="72" t="s">
        <v>122</v>
      </c>
      <c r="D590" s="73" t="s">
        <v>525</v>
      </c>
      <c r="E590" s="74"/>
      <c r="F590" s="74"/>
      <c r="G590" s="75" t="str">
        <f>IF(stdProdLT(Main[[#This Row],[Comments]])=0.1,"N/A",IF(stdProdLT(Main[[#This Row],[Comments]])=0,"",stdProdLT(Main[[#This Row],[Comments]])))</f>
        <v/>
      </c>
      <c r="H590" s="76" t="str">
        <f>IF(AND(Main[[#This Row],[In Stock Date]]&lt;&gt;"",Main[[#This Row],[Revised Due Date]]&lt;&gt;""),Main[[#This Row],[In Stock Date]]-Main[[#This Row],[Revised Due Date]],"")</f>
        <v/>
      </c>
      <c r="I590" s="72" t="s">
        <v>4</v>
      </c>
      <c r="J590" s="72" t="s">
        <v>4</v>
      </c>
      <c r="K590" s="72" t="s">
        <v>4</v>
      </c>
      <c r="L590" s="74"/>
      <c r="M590" s="77" t="str">
        <f>IF(Main[[#This Row],[Tech Start Date]]&lt;1/1/1990,"",IF(Main[[#This Row],[Class]]="C",WORKDAY(Main[[#This Row],[Tech Start Date]],9),IF(Main[[#This Row],[Class]]="B", WORKDAY(Main[[#This Row],[Tech Start Date]],6),IF(Main[[#This Row],[Class]]="A",WORKDAY(Main[[#This Row],[Tech Start Date]],2),""))))</f>
        <v/>
      </c>
      <c r="N590" s="77" t="str">
        <f>IF(Main[[#This Row],[Tech Start Date]]&lt;1/1/1990,"",IF(Main[[#This Row],[Class]]="C",WORKDAY(Main[[#This Row],[Tech Start Date]],19),IF(Main[[#This Row],[Class]]="B", WORKDAY(Main[[#This Row],[Tech Start Date]],12),IF(Main[[#This Row],[Class]]="A",WORKDAY(Main[[#This Row],[Tech Start Date]],4),""))))</f>
        <v/>
      </c>
      <c r="O590" s="77" t="str">
        <f>IF(Main[[#This Row],[Tech Start Date]]&lt;1/1/1990,"",IF(Main[[#This Row],[Class]]="C",WORKDAY(Main[[#This Row],[Tech Start Date]],23),IF(Main[[#This Row],[Class]]="B", WORKDAY(Main[[#This Row],[Tech Start Date]],15),IF(Main[[#This Row],[Class]]="A",WORKDAY(Main[[#This Row],[Tech Start Date]],5),""))))</f>
        <v/>
      </c>
      <c r="P590" s="77" t="str">
        <f>IF(Main[[#This Row],[Tech Start Date]]&lt;1/1/1990,"",IF(Main[[#This Row],[Class]]="C",WORKDAY(Main[[#This Row],[Tech Start Date]],28),IF(Main[[#This Row],[Class]]="B", WORKDAY(Main[[#This Row],[Tech Start Date]],19),IF(Main[[#This Row],[Class]]="A",WORKDAY(Main[[#This Row],[Tech Start Date]],9),""))))</f>
        <v/>
      </c>
      <c r="Q590" s="74">
        <v>40245</v>
      </c>
      <c r="R590" s="74"/>
      <c r="S590" s="72" t="s">
        <v>11</v>
      </c>
      <c r="T590" s="80" t="s">
        <v>4</v>
      </c>
      <c r="U590" s="72" t="s">
        <v>14</v>
      </c>
      <c r="V590" s="72" t="s">
        <v>1935</v>
      </c>
      <c r="W590" s="72" t="s">
        <v>1934</v>
      </c>
      <c r="X590" s="72" t="s">
        <v>2956</v>
      </c>
      <c r="Y590" s="72" t="s">
        <v>4</v>
      </c>
      <c r="Z590" s="72" t="s">
        <v>4</v>
      </c>
      <c r="AA590" s="147" t="s">
        <v>2956</v>
      </c>
    </row>
    <row r="591" spans="1:27" ht="18.600000000000001" customHeight="1">
      <c r="A591" s="140" t="str">
        <f>IF(priority(Main[[#This Row],[Comments]])&lt;&gt;0, priority(Main[[#This Row],[Comments]]),"")</f>
        <v/>
      </c>
      <c r="B591" s="90" t="s">
        <v>1449</v>
      </c>
      <c r="C591" s="72" t="s">
        <v>4</v>
      </c>
      <c r="D591" s="73" t="s">
        <v>526</v>
      </c>
      <c r="E591" s="74"/>
      <c r="F591" s="74">
        <v>40178</v>
      </c>
      <c r="G591" s="75" t="str">
        <f>IF(stdProdLT(Main[[#This Row],[Comments]])=0.1,"N/A",IF(stdProdLT(Main[[#This Row],[Comments]])=0,"",stdProdLT(Main[[#This Row],[Comments]])))</f>
        <v/>
      </c>
      <c r="H591" s="76" t="str">
        <f>IF(AND(Main[[#This Row],[In Stock Date]]&lt;&gt;"",Main[[#This Row],[Revised Due Date]]&lt;&gt;""),Main[[#This Row],[In Stock Date]]-Main[[#This Row],[Revised Due Date]],"")</f>
        <v/>
      </c>
      <c r="I591" s="72" t="s">
        <v>4</v>
      </c>
      <c r="J591" s="72" t="s">
        <v>4</v>
      </c>
      <c r="K591" s="72" t="s">
        <v>4</v>
      </c>
      <c r="L591" s="74"/>
      <c r="M591" s="77" t="str">
        <f>IF(Main[[#This Row],[Tech Start Date]]&lt;1/1/1990,"",IF(Main[[#This Row],[Class]]="C",WORKDAY(Main[[#This Row],[Tech Start Date]],9),IF(Main[[#This Row],[Class]]="B", WORKDAY(Main[[#This Row],[Tech Start Date]],6),IF(Main[[#This Row],[Class]]="A",WORKDAY(Main[[#This Row],[Tech Start Date]],2),""))))</f>
        <v/>
      </c>
      <c r="N591" s="77" t="str">
        <f>IF(Main[[#This Row],[Tech Start Date]]&lt;1/1/1990,"",IF(Main[[#This Row],[Class]]="C",WORKDAY(Main[[#This Row],[Tech Start Date]],19),IF(Main[[#This Row],[Class]]="B", WORKDAY(Main[[#This Row],[Tech Start Date]],12),IF(Main[[#This Row],[Class]]="A",WORKDAY(Main[[#This Row],[Tech Start Date]],4),""))))</f>
        <v/>
      </c>
      <c r="O591" s="77" t="str">
        <f>IF(Main[[#This Row],[Tech Start Date]]&lt;1/1/1990,"",IF(Main[[#This Row],[Class]]="C",WORKDAY(Main[[#This Row],[Tech Start Date]],23),IF(Main[[#This Row],[Class]]="B", WORKDAY(Main[[#This Row],[Tech Start Date]],15),IF(Main[[#This Row],[Class]]="A",WORKDAY(Main[[#This Row],[Tech Start Date]],5),""))))</f>
        <v/>
      </c>
      <c r="P591" s="77" t="str">
        <f>IF(Main[[#This Row],[Tech Start Date]]&lt;1/1/1990,"",IF(Main[[#This Row],[Class]]="C",WORKDAY(Main[[#This Row],[Tech Start Date]],28),IF(Main[[#This Row],[Class]]="B", WORKDAY(Main[[#This Row],[Tech Start Date]],19),IF(Main[[#This Row],[Class]]="A",WORKDAY(Main[[#This Row],[Tech Start Date]],9),""))))</f>
        <v/>
      </c>
      <c r="Q591" s="74">
        <v>40158</v>
      </c>
      <c r="R591" s="74"/>
      <c r="S591" s="72" t="s">
        <v>11</v>
      </c>
      <c r="T591" s="80" t="s">
        <v>4</v>
      </c>
      <c r="U591" s="72" t="s">
        <v>14</v>
      </c>
      <c r="V591" s="72" t="s">
        <v>1932</v>
      </c>
      <c r="W591" s="72" t="s">
        <v>1937</v>
      </c>
      <c r="X591" s="72" t="s">
        <v>2908</v>
      </c>
      <c r="Y591" s="72" t="s">
        <v>3030</v>
      </c>
      <c r="Z591" s="72" t="s">
        <v>4</v>
      </c>
      <c r="AA591" s="147" t="s">
        <v>2908</v>
      </c>
    </row>
    <row r="592" spans="1:27" ht="18.600000000000001" customHeight="1">
      <c r="A592" s="140" t="str">
        <f>IF(priority(Main[[#This Row],[Comments]])&lt;&gt;0, priority(Main[[#This Row],[Comments]]),"")</f>
        <v/>
      </c>
      <c r="B592" s="90" t="s">
        <v>2405</v>
      </c>
      <c r="C592" s="72" t="s">
        <v>72</v>
      </c>
      <c r="D592" s="73" t="s">
        <v>2406</v>
      </c>
      <c r="E592" s="74"/>
      <c r="F592" s="74"/>
      <c r="G592" s="75" t="str">
        <f>IF(stdProdLT(Main[[#This Row],[Comments]])=0.1,"N/A",IF(stdProdLT(Main[[#This Row],[Comments]])=0,"",stdProdLT(Main[[#This Row],[Comments]])))</f>
        <v/>
      </c>
      <c r="H592" s="76" t="str">
        <f>IF(AND(Main[[#This Row],[In Stock Date]]&lt;&gt;"",Main[[#This Row],[Revised Due Date]]&lt;&gt;""),Main[[#This Row],[In Stock Date]]-Main[[#This Row],[Revised Due Date]],"")</f>
        <v/>
      </c>
      <c r="I592" s="72" t="s">
        <v>4</v>
      </c>
      <c r="J592" s="72" t="s">
        <v>4</v>
      </c>
      <c r="K592" s="72" t="s">
        <v>4</v>
      </c>
      <c r="L592" s="74"/>
      <c r="M592" s="77" t="str">
        <f>IF(Main[[#This Row],[Tech Start Date]]&lt;1/1/1990,"",IF(Main[[#This Row],[Class]]="C",WORKDAY(Main[[#This Row],[Tech Start Date]],9),IF(Main[[#This Row],[Class]]="B", WORKDAY(Main[[#This Row],[Tech Start Date]],6),IF(Main[[#This Row],[Class]]="A",WORKDAY(Main[[#This Row],[Tech Start Date]],2),""))))</f>
        <v/>
      </c>
      <c r="N592" s="77" t="str">
        <f>IF(Main[[#This Row],[Tech Start Date]]&lt;1/1/1990,"",IF(Main[[#This Row],[Class]]="C",WORKDAY(Main[[#This Row],[Tech Start Date]],19),IF(Main[[#This Row],[Class]]="B", WORKDAY(Main[[#This Row],[Tech Start Date]],12),IF(Main[[#This Row],[Class]]="A",WORKDAY(Main[[#This Row],[Tech Start Date]],4),""))))</f>
        <v/>
      </c>
      <c r="O592" s="77" t="str">
        <f>IF(Main[[#This Row],[Tech Start Date]]&lt;1/1/1990,"",IF(Main[[#This Row],[Class]]="C",WORKDAY(Main[[#This Row],[Tech Start Date]],23),IF(Main[[#This Row],[Class]]="B", WORKDAY(Main[[#This Row],[Tech Start Date]],15),IF(Main[[#This Row],[Class]]="A",WORKDAY(Main[[#This Row],[Tech Start Date]],5),""))))</f>
        <v/>
      </c>
      <c r="P592" s="77" t="str">
        <f>IF(Main[[#This Row],[Tech Start Date]]&lt;1/1/1990,"",IF(Main[[#This Row],[Class]]="C",WORKDAY(Main[[#This Row],[Tech Start Date]],28),IF(Main[[#This Row],[Class]]="B", WORKDAY(Main[[#This Row],[Tech Start Date]],19),IF(Main[[#This Row],[Class]]="A",WORKDAY(Main[[#This Row],[Tech Start Date]],9),""))))</f>
        <v/>
      </c>
      <c r="Q592" s="74"/>
      <c r="R592" s="74"/>
      <c r="S592" s="72" t="s">
        <v>17</v>
      </c>
      <c r="T592" s="80" t="s">
        <v>4</v>
      </c>
      <c r="U592" s="72" t="s">
        <v>14</v>
      </c>
      <c r="V592" s="72" t="s">
        <v>1933</v>
      </c>
      <c r="W592" s="72" t="s">
        <v>1934</v>
      </c>
      <c r="X592" s="72" t="s">
        <v>2974</v>
      </c>
      <c r="Y592" s="72" t="s">
        <v>3134</v>
      </c>
      <c r="Z592" s="72" t="s">
        <v>4</v>
      </c>
      <c r="AA592" s="147" t="s">
        <v>2974</v>
      </c>
    </row>
    <row r="593" spans="1:27" ht="18.600000000000001" customHeight="1">
      <c r="A593" s="140" t="str">
        <f>IF(priority(Main[[#This Row],[Comments]])&lt;&gt;0, priority(Main[[#This Row],[Comments]]),"")</f>
        <v/>
      </c>
      <c r="B593" s="90" t="s">
        <v>1454</v>
      </c>
      <c r="C593" s="72" t="s">
        <v>113</v>
      </c>
      <c r="D593" s="73" t="s">
        <v>527</v>
      </c>
      <c r="E593" s="74"/>
      <c r="F593" s="74"/>
      <c r="G593" s="75" t="str">
        <f>IF(stdProdLT(Main[[#This Row],[Comments]])=0.1,"N/A",IF(stdProdLT(Main[[#This Row],[Comments]])=0,"",stdProdLT(Main[[#This Row],[Comments]])))</f>
        <v/>
      </c>
      <c r="H593" s="76" t="str">
        <f>IF(AND(Main[[#This Row],[In Stock Date]]&lt;&gt;"",Main[[#This Row],[Revised Due Date]]&lt;&gt;""),Main[[#This Row],[In Stock Date]]-Main[[#This Row],[Revised Due Date]],"")</f>
        <v/>
      </c>
      <c r="I593" s="72" t="s">
        <v>4</v>
      </c>
      <c r="J593" s="72" t="s">
        <v>4</v>
      </c>
      <c r="K593" s="72" t="s">
        <v>4</v>
      </c>
      <c r="L593" s="74"/>
      <c r="M593" s="77" t="str">
        <f>IF(Main[[#This Row],[Tech Start Date]]&lt;1/1/1990,"",IF(Main[[#This Row],[Class]]="C",WORKDAY(Main[[#This Row],[Tech Start Date]],9),IF(Main[[#This Row],[Class]]="B", WORKDAY(Main[[#This Row],[Tech Start Date]],6),IF(Main[[#This Row],[Class]]="A",WORKDAY(Main[[#This Row],[Tech Start Date]],2),""))))</f>
        <v/>
      </c>
      <c r="N593" s="77" t="str">
        <f>IF(Main[[#This Row],[Tech Start Date]]&lt;1/1/1990,"",IF(Main[[#This Row],[Class]]="C",WORKDAY(Main[[#This Row],[Tech Start Date]],19),IF(Main[[#This Row],[Class]]="B", WORKDAY(Main[[#This Row],[Tech Start Date]],12),IF(Main[[#This Row],[Class]]="A",WORKDAY(Main[[#This Row],[Tech Start Date]],4),""))))</f>
        <v/>
      </c>
      <c r="O593" s="77" t="str">
        <f>IF(Main[[#This Row],[Tech Start Date]]&lt;1/1/1990,"",IF(Main[[#This Row],[Class]]="C",WORKDAY(Main[[#This Row],[Tech Start Date]],23),IF(Main[[#This Row],[Class]]="B", WORKDAY(Main[[#This Row],[Tech Start Date]],15),IF(Main[[#This Row],[Class]]="A",WORKDAY(Main[[#This Row],[Tech Start Date]],5),""))))</f>
        <v/>
      </c>
      <c r="P593" s="77" t="str">
        <f>IF(Main[[#This Row],[Tech Start Date]]&lt;1/1/1990,"",IF(Main[[#This Row],[Class]]="C",WORKDAY(Main[[#This Row],[Tech Start Date]],28),IF(Main[[#This Row],[Class]]="B", WORKDAY(Main[[#This Row],[Tech Start Date]],19),IF(Main[[#This Row],[Class]]="A",WORKDAY(Main[[#This Row],[Tech Start Date]],9),""))))</f>
        <v/>
      </c>
      <c r="Q593" s="74">
        <v>40505</v>
      </c>
      <c r="R593" s="74"/>
      <c r="S593" s="72" t="s">
        <v>49</v>
      </c>
      <c r="T593" s="80" t="s">
        <v>4</v>
      </c>
      <c r="U593" s="72" t="s">
        <v>12</v>
      </c>
      <c r="V593" s="72" t="s">
        <v>1933</v>
      </c>
      <c r="W593" s="72" t="s">
        <v>1937</v>
      </c>
      <c r="X593" s="72" t="s">
        <v>2975</v>
      </c>
      <c r="Y593" s="72" t="s">
        <v>3068</v>
      </c>
      <c r="Z593" s="72" t="s">
        <v>4</v>
      </c>
      <c r="AA593" s="147" t="s">
        <v>2923</v>
      </c>
    </row>
    <row r="594" spans="1:27" ht="18.600000000000001" customHeight="1">
      <c r="A594" s="140" t="str">
        <f>IF(priority(Main[[#This Row],[Comments]])&lt;&gt;0, priority(Main[[#This Row],[Comments]]),"")</f>
        <v/>
      </c>
      <c r="B594" s="90" t="s">
        <v>2288</v>
      </c>
      <c r="C594" s="72" t="s">
        <v>4</v>
      </c>
      <c r="D594" s="73" t="s">
        <v>2322</v>
      </c>
      <c r="E594" s="74">
        <v>40806.662407407406</v>
      </c>
      <c r="F594" s="74"/>
      <c r="G594" s="75" t="str">
        <f>IF(stdProdLT(Main[[#This Row],[Comments]])=0.1,"N/A",IF(stdProdLT(Main[[#This Row],[Comments]])=0,"",stdProdLT(Main[[#This Row],[Comments]])))</f>
        <v/>
      </c>
      <c r="H594" s="76" t="str">
        <f>IF(AND(Main[[#This Row],[In Stock Date]]&lt;&gt;"",Main[[#This Row],[Revised Due Date]]&lt;&gt;""),Main[[#This Row],[In Stock Date]]-Main[[#This Row],[Revised Due Date]],"")</f>
        <v/>
      </c>
      <c r="I594" s="72" t="s">
        <v>30</v>
      </c>
      <c r="J594" s="72" t="s">
        <v>21</v>
      </c>
      <c r="K594" s="72" t="s">
        <v>1941</v>
      </c>
      <c r="L594" s="74"/>
      <c r="M594" s="77" t="str">
        <f>IF(Main[[#This Row],[Tech Start Date]]&lt;1/1/1990,"",IF(Main[[#This Row],[Class]]="C",WORKDAY(Main[[#This Row],[Tech Start Date]],9),IF(Main[[#This Row],[Class]]="B", WORKDAY(Main[[#This Row],[Tech Start Date]],6),IF(Main[[#This Row],[Class]]="A",WORKDAY(Main[[#This Row],[Tech Start Date]],2),""))))</f>
        <v/>
      </c>
      <c r="N594" s="77" t="str">
        <f>IF(Main[[#This Row],[Tech Start Date]]&lt;1/1/1990,"",IF(Main[[#This Row],[Class]]="C",WORKDAY(Main[[#This Row],[Tech Start Date]],19),IF(Main[[#This Row],[Class]]="B", WORKDAY(Main[[#This Row],[Tech Start Date]],12),IF(Main[[#This Row],[Class]]="A",WORKDAY(Main[[#This Row],[Tech Start Date]],4),""))))</f>
        <v/>
      </c>
      <c r="O594" s="77" t="str">
        <f>IF(Main[[#This Row],[Tech Start Date]]&lt;1/1/1990,"",IF(Main[[#This Row],[Class]]="C",WORKDAY(Main[[#This Row],[Tech Start Date]],23),IF(Main[[#This Row],[Class]]="B", WORKDAY(Main[[#This Row],[Tech Start Date]],15),IF(Main[[#This Row],[Class]]="A",WORKDAY(Main[[#This Row],[Tech Start Date]],5),""))))</f>
        <v/>
      </c>
      <c r="P594" s="77" t="str">
        <f>IF(Main[[#This Row],[Tech Start Date]]&lt;1/1/1990,"",IF(Main[[#This Row],[Class]]="C",WORKDAY(Main[[#This Row],[Tech Start Date]],28),IF(Main[[#This Row],[Class]]="B", WORKDAY(Main[[#This Row],[Tech Start Date]],19),IF(Main[[#This Row],[Class]]="A",WORKDAY(Main[[#This Row],[Tech Start Date]],9),""))))</f>
        <v/>
      </c>
      <c r="Q594" s="74"/>
      <c r="R594" s="74"/>
      <c r="S594" s="72" t="s">
        <v>6</v>
      </c>
      <c r="T594" s="80" t="s">
        <v>4</v>
      </c>
      <c r="U594" s="72" t="s">
        <v>29</v>
      </c>
      <c r="V594" s="72" t="s">
        <v>1935</v>
      </c>
      <c r="W594" s="72" t="s">
        <v>1936</v>
      </c>
      <c r="X594" s="72" t="s">
        <v>310</v>
      </c>
      <c r="Y594" s="72" t="s">
        <v>4</v>
      </c>
      <c r="Z594" s="72" t="s">
        <v>30</v>
      </c>
      <c r="AA594" s="147" t="s">
        <v>3574</v>
      </c>
    </row>
    <row r="595" spans="1:27" ht="18.600000000000001" customHeight="1">
      <c r="A595" s="140" t="str">
        <f>IF(priority(Main[[#This Row],[Comments]])&lt;&gt;0, priority(Main[[#This Row],[Comments]]),"")</f>
        <v/>
      </c>
      <c r="B595" s="90" t="s">
        <v>2579</v>
      </c>
      <c r="C595" s="72" t="s">
        <v>2386</v>
      </c>
      <c r="D595" s="73" t="s">
        <v>2387</v>
      </c>
      <c r="E595" s="74"/>
      <c r="F595" s="74">
        <v>41008</v>
      </c>
      <c r="G595" s="75" t="str">
        <f>IF(stdProdLT(Main[[#This Row],[Comments]])=0.1,"N/A",IF(stdProdLT(Main[[#This Row],[Comments]])=0,"",stdProdLT(Main[[#This Row],[Comments]])))</f>
        <v/>
      </c>
      <c r="H595" s="76" t="str">
        <f>IF(AND(Main[[#This Row],[In Stock Date]]&lt;&gt;"",Main[[#This Row],[Revised Due Date]]&lt;&gt;""),Main[[#This Row],[In Stock Date]]-Main[[#This Row],[Revised Due Date]],"")</f>
        <v/>
      </c>
      <c r="I595" s="72" t="s">
        <v>4</v>
      </c>
      <c r="J595" s="72" t="s">
        <v>4</v>
      </c>
      <c r="K595" s="72" t="s">
        <v>4</v>
      </c>
      <c r="L595" s="74"/>
      <c r="M595" s="77" t="str">
        <f>IF(Main[[#This Row],[Tech Start Date]]&lt;1/1/1990,"",IF(Main[[#This Row],[Class]]="C",WORKDAY(Main[[#This Row],[Tech Start Date]],9),IF(Main[[#This Row],[Class]]="B", WORKDAY(Main[[#This Row],[Tech Start Date]],6),IF(Main[[#This Row],[Class]]="A",WORKDAY(Main[[#This Row],[Tech Start Date]],2),""))))</f>
        <v/>
      </c>
      <c r="N595" s="77" t="str">
        <f>IF(Main[[#This Row],[Tech Start Date]]&lt;1/1/1990,"",IF(Main[[#This Row],[Class]]="C",WORKDAY(Main[[#This Row],[Tech Start Date]],19),IF(Main[[#This Row],[Class]]="B", WORKDAY(Main[[#This Row],[Tech Start Date]],12),IF(Main[[#This Row],[Class]]="A",WORKDAY(Main[[#This Row],[Tech Start Date]],4),""))))</f>
        <v/>
      </c>
      <c r="O595" s="77" t="str">
        <f>IF(Main[[#This Row],[Tech Start Date]]&lt;1/1/1990,"",IF(Main[[#This Row],[Class]]="C",WORKDAY(Main[[#This Row],[Tech Start Date]],23),IF(Main[[#This Row],[Class]]="B", WORKDAY(Main[[#This Row],[Tech Start Date]],15),IF(Main[[#This Row],[Class]]="A",WORKDAY(Main[[#This Row],[Tech Start Date]],5),""))))</f>
        <v/>
      </c>
      <c r="P595" s="77" t="str">
        <f>IF(Main[[#This Row],[Tech Start Date]]&lt;1/1/1990,"",IF(Main[[#This Row],[Class]]="C",WORKDAY(Main[[#This Row],[Tech Start Date]],28),IF(Main[[#This Row],[Class]]="B", WORKDAY(Main[[#This Row],[Tech Start Date]],19),IF(Main[[#This Row],[Class]]="A",WORKDAY(Main[[#This Row],[Tech Start Date]],9),""))))</f>
        <v/>
      </c>
      <c r="Q595" s="74">
        <v>40826</v>
      </c>
      <c r="R595" s="74"/>
      <c r="S595" s="72" t="s">
        <v>11</v>
      </c>
      <c r="T595" s="80" t="s">
        <v>4</v>
      </c>
      <c r="U595" s="72" t="s">
        <v>12</v>
      </c>
      <c r="V595" s="72" t="s">
        <v>1935</v>
      </c>
      <c r="W595" s="72" t="s">
        <v>1938</v>
      </c>
      <c r="X595" s="72" t="s">
        <v>2927</v>
      </c>
      <c r="Y595" s="72" t="s">
        <v>4</v>
      </c>
      <c r="Z595" s="72" t="s">
        <v>4</v>
      </c>
      <c r="AA595" s="147" t="s">
        <v>2927</v>
      </c>
    </row>
    <row r="596" spans="1:27" ht="18.600000000000001" customHeight="1">
      <c r="A596" s="140" t="str">
        <f>IF(priority(Main[[#This Row],[Comments]])&lt;&gt;0, priority(Main[[#This Row],[Comments]]),"")</f>
        <v/>
      </c>
      <c r="B596" s="90" t="s">
        <v>1472</v>
      </c>
      <c r="C596" s="72" t="s">
        <v>4</v>
      </c>
      <c r="D596" s="73" t="s">
        <v>528</v>
      </c>
      <c r="E596" s="74">
        <v>40371.58488425926</v>
      </c>
      <c r="F596" s="74"/>
      <c r="G596" s="75" t="str">
        <f>IF(stdProdLT(Main[[#This Row],[Comments]])=0.1,"N/A",IF(stdProdLT(Main[[#This Row],[Comments]])=0,"",stdProdLT(Main[[#This Row],[Comments]])))</f>
        <v/>
      </c>
      <c r="H596" s="76" t="str">
        <f>IF(AND(Main[[#This Row],[In Stock Date]]&lt;&gt;"",Main[[#This Row],[Revised Due Date]]&lt;&gt;""),Main[[#This Row],[In Stock Date]]-Main[[#This Row],[Revised Due Date]],"")</f>
        <v/>
      </c>
      <c r="I596" s="72" t="s">
        <v>4</v>
      </c>
      <c r="J596" s="72" t="s">
        <v>4</v>
      </c>
      <c r="K596" s="72" t="s">
        <v>4</v>
      </c>
      <c r="L596" s="74"/>
      <c r="M596" s="77" t="str">
        <f>IF(Main[[#This Row],[Tech Start Date]]&lt;1/1/1990,"",IF(Main[[#This Row],[Class]]="C",WORKDAY(Main[[#This Row],[Tech Start Date]],9),IF(Main[[#This Row],[Class]]="B", WORKDAY(Main[[#This Row],[Tech Start Date]],6),IF(Main[[#This Row],[Class]]="A",WORKDAY(Main[[#This Row],[Tech Start Date]],2),""))))</f>
        <v/>
      </c>
      <c r="N596" s="77" t="str">
        <f>IF(Main[[#This Row],[Tech Start Date]]&lt;1/1/1990,"",IF(Main[[#This Row],[Class]]="C",WORKDAY(Main[[#This Row],[Tech Start Date]],19),IF(Main[[#This Row],[Class]]="B", WORKDAY(Main[[#This Row],[Tech Start Date]],12),IF(Main[[#This Row],[Class]]="A",WORKDAY(Main[[#This Row],[Tech Start Date]],4),""))))</f>
        <v/>
      </c>
      <c r="O596" s="77" t="str">
        <f>IF(Main[[#This Row],[Tech Start Date]]&lt;1/1/1990,"",IF(Main[[#This Row],[Class]]="C",WORKDAY(Main[[#This Row],[Tech Start Date]],23),IF(Main[[#This Row],[Class]]="B", WORKDAY(Main[[#This Row],[Tech Start Date]],15),IF(Main[[#This Row],[Class]]="A",WORKDAY(Main[[#This Row],[Tech Start Date]],5),""))))</f>
        <v/>
      </c>
      <c r="P596" s="77" t="str">
        <f>IF(Main[[#This Row],[Tech Start Date]]&lt;1/1/1990,"",IF(Main[[#This Row],[Class]]="C",WORKDAY(Main[[#This Row],[Tech Start Date]],28),IF(Main[[#This Row],[Class]]="B", WORKDAY(Main[[#This Row],[Tech Start Date]],19),IF(Main[[#This Row],[Class]]="A",WORKDAY(Main[[#This Row],[Tech Start Date]],9),""))))</f>
        <v/>
      </c>
      <c r="Q596" s="74">
        <v>40385</v>
      </c>
      <c r="R596" s="74"/>
      <c r="S596" s="72" t="s">
        <v>6</v>
      </c>
      <c r="T596" s="80" t="s">
        <v>4</v>
      </c>
      <c r="U596" s="72" t="s">
        <v>7</v>
      </c>
      <c r="V596" s="72" t="s">
        <v>1932</v>
      </c>
      <c r="W596" s="72" t="s">
        <v>1937</v>
      </c>
      <c r="X596" s="72" t="s">
        <v>102</v>
      </c>
      <c r="Y596" s="72" t="s">
        <v>3135</v>
      </c>
      <c r="Z596" s="72" t="s">
        <v>4</v>
      </c>
      <c r="AA596" s="147" t="s">
        <v>3603</v>
      </c>
    </row>
    <row r="597" spans="1:27" ht="18.600000000000001" customHeight="1">
      <c r="A597" s="140" t="str">
        <f>IF(priority(Main[[#This Row],[Comments]])&lt;&gt;0, priority(Main[[#This Row],[Comments]]),"")</f>
        <v/>
      </c>
      <c r="B597" s="90" t="s">
        <v>1475</v>
      </c>
      <c r="C597" s="72" t="s">
        <v>530</v>
      </c>
      <c r="D597" s="73" t="s">
        <v>531</v>
      </c>
      <c r="E597" s="74"/>
      <c r="F597" s="74">
        <v>40276</v>
      </c>
      <c r="G597" s="75" t="str">
        <f>IF(stdProdLT(Main[[#This Row],[Comments]])=0.1,"N/A",IF(stdProdLT(Main[[#This Row],[Comments]])=0,"",stdProdLT(Main[[#This Row],[Comments]])))</f>
        <v/>
      </c>
      <c r="H597" s="76" t="str">
        <f>IF(AND(Main[[#This Row],[In Stock Date]]&lt;&gt;"",Main[[#This Row],[Revised Due Date]]&lt;&gt;""),Main[[#This Row],[In Stock Date]]-Main[[#This Row],[Revised Due Date]],"")</f>
        <v/>
      </c>
      <c r="I597" s="72" t="s">
        <v>4</v>
      </c>
      <c r="J597" s="72" t="s">
        <v>4</v>
      </c>
      <c r="K597" s="72" t="s">
        <v>4</v>
      </c>
      <c r="L597" s="74"/>
      <c r="M597" s="77" t="str">
        <f>IF(Main[[#This Row],[Tech Start Date]]&lt;1/1/1990,"",IF(Main[[#This Row],[Class]]="C",WORKDAY(Main[[#This Row],[Tech Start Date]],9),IF(Main[[#This Row],[Class]]="B", WORKDAY(Main[[#This Row],[Tech Start Date]],6),IF(Main[[#This Row],[Class]]="A",WORKDAY(Main[[#This Row],[Tech Start Date]],2),""))))</f>
        <v/>
      </c>
      <c r="N597" s="77" t="str">
        <f>IF(Main[[#This Row],[Tech Start Date]]&lt;1/1/1990,"",IF(Main[[#This Row],[Class]]="C",WORKDAY(Main[[#This Row],[Tech Start Date]],19),IF(Main[[#This Row],[Class]]="B", WORKDAY(Main[[#This Row],[Tech Start Date]],12),IF(Main[[#This Row],[Class]]="A",WORKDAY(Main[[#This Row],[Tech Start Date]],4),""))))</f>
        <v/>
      </c>
      <c r="O597" s="77" t="str">
        <f>IF(Main[[#This Row],[Tech Start Date]]&lt;1/1/1990,"",IF(Main[[#This Row],[Class]]="C",WORKDAY(Main[[#This Row],[Tech Start Date]],23),IF(Main[[#This Row],[Class]]="B", WORKDAY(Main[[#This Row],[Tech Start Date]],15),IF(Main[[#This Row],[Class]]="A",WORKDAY(Main[[#This Row],[Tech Start Date]],5),""))))</f>
        <v/>
      </c>
      <c r="P597" s="77" t="str">
        <f>IF(Main[[#This Row],[Tech Start Date]]&lt;1/1/1990,"",IF(Main[[#This Row],[Class]]="C",WORKDAY(Main[[#This Row],[Tech Start Date]],28),IF(Main[[#This Row],[Class]]="B", WORKDAY(Main[[#This Row],[Tech Start Date]],19),IF(Main[[#This Row],[Class]]="A",WORKDAY(Main[[#This Row],[Tech Start Date]],9),""))))</f>
        <v/>
      </c>
      <c r="Q597" s="74">
        <v>40164</v>
      </c>
      <c r="R597" s="74"/>
      <c r="S597" s="72" t="s">
        <v>11</v>
      </c>
      <c r="T597" s="80" t="s">
        <v>4</v>
      </c>
      <c r="U597" s="72" t="s">
        <v>14</v>
      </c>
      <c r="V597" s="72" t="s">
        <v>1935</v>
      </c>
      <c r="W597" s="72" t="s">
        <v>1938</v>
      </c>
      <c r="X597" s="72" t="s">
        <v>2976</v>
      </c>
      <c r="Y597" s="72" t="s">
        <v>4</v>
      </c>
      <c r="Z597" s="72" t="s">
        <v>4</v>
      </c>
      <c r="AA597" s="147" t="s">
        <v>2976</v>
      </c>
    </row>
    <row r="598" spans="1:27" ht="18.600000000000001" customHeight="1">
      <c r="A598" s="140" t="str">
        <f>IF(priority(Main[[#This Row],[Comments]])&lt;&gt;0, priority(Main[[#This Row],[Comments]]),"")</f>
        <v/>
      </c>
      <c r="B598" s="90" t="s">
        <v>1713</v>
      </c>
      <c r="C598" s="72" t="s">
        <v>4</v>
      </c>
      <c r="D598" s="73" t="s">
        <v>762</v>
      </c>
      <c r="E598" s="74">
        <v>40700.558032407411</v>
      </c>
      <c r="F598" s="74"/>
      <c r="G598" s="75" t="str">
        <f>IF(stdProdLT(Main[[#This Row],[Comments]])=0.1,"N/A",IF(stdProdLT(Main[[#This Row],[Comments]])=0,"",stdProdLT(Main[[#This Row],[Comments]])))</f>
        <v/>
      </c>
      <c r="H598" s="76" t="str">
        <f>IF(AND(Main[[#This Row],[In Stock Date]]&lt;&gt;"",Main[[#This Row],[Revised Due Date]]&lt;&gt;""),Main[[#This Row],[In Stock Date]]-Main[[#This Row],[Revised Due Date]],"")</f>
        <v/>
      </c>
      <c r="I598" s="72" t="s">
        <v>4</v>
      </c>
      <c r="J598" s="72" t="s">
        <v>4</v>
      </c>
      <c r="K598" s="72" t="s">
        <v>4</v>
      </c>
      <c r="L598" s="74"/>
      <c r="M598" s="77" t="str">
        <f>IF(Main[[#This Row],[Tech Start Date]]&lt;1/1/1990,"",IF(Main[[#This Row],[Class]]="C",WORKDAY(Main[[#This Row],[Tech Start Date]],9),IF(Main[[#This Row],[Class]]="B", WORKDAY(Main[[#This Row],[Tech Start Date]],6),IF(Main[[#This Row],[Class]]="A",WORKDAY(Main[[#This Row],[Tech Start Date]],2),""))))</f>
        <v/>
      </c>
      <c r="N598" s="77" t="str">
        <f>IF(Main[[#This Row],[Tech Start Date]]&lt;1/1/1990,"",IF(Main[[#This Row],[Class]]="C",WORKDAY(Main[[#This Row],[Tech Start Date]],19),IF(Main[[#This Row],[Class]]="B", WORKDAY(Main[[#This Row],[Tech Start Date]],12),IF(Main[[#This Row],[Class]]="A",WORKDAY(Main[[#This Row],[Tech Start Date]],4),""))))</f>
        <v/>
      </c>
      <c r="O598" s="77" t="str">
        <f>IF(Main[[#This Row],[Tech Start Date]]&lt;1/1/1990,"",IF(Main[[#This Row],[Class]]="C",WORKDAY(Main[[#This Row],[Tech Start Date]],23),IF(Main[[#This Row],[Class]]="B", WORKDAY(Main[[#This Row],[Tech Start Date]],15),IF(Main[[#This Row],[Class]]="A",WORKDAY(Main[[#This Row],[Tech Start Date]],5),""))))</f>
        <v/>
      </c>
      <c r="P598" s="77" t="str">
        <f>IF(Main[[#This Row],[Tech Start Date]]&lt;1/1/1990,"",IF(Main[[#This Row],[Class]]="C",WORKDAY(Main[[#This Row],[Tech Start Date]],28),IF(Main[[#This Row],[Class]]="B", WORKDAY(Main[[#This Row],[Tech Start Date]],19),IF(Main[[#This Row],[Class]]="A",WORKDAY(Main[[#This Row],[Tech Start Date]],9),""))))</f>
        <v/>
      </c>
      <c r="Q598" s="74">
        <v>40714</v>
      </c>
      <c r="R598" s="74"/>
      <c r="S598" s="72" t="s">
        <v>6</v>
      </c>
      <c r="T598" s="80" t="s">
        <v>4</v>
      </c>
      <c r="U598" s="72" t="s">
        <v>703</v>
      </c>
      <c r="V598" s="72" t="s">
        <v>1932</v>
      </c>
      <c r="W598" s="72" t="s">
        <v>4</v>
      </c>
      <c r="X598" s="72" t="s">
        <v>2920</v>
      </c>
      <c r="Y598" s="72" t="s">
        <v>3052</v>
      </c>
      <c r="Z598" s="72" t="s">
        <v>4</v>
      </c>
      <c r="AA598" s="147" t="s">
        <v>2920</v>
      </c>
    </row>
    <row r="599" spans="1:27" ht="18.600000000000001" customHeight="1">
      <c r="A599" s="140" t="str">
        <f>IF(priority(Main[[#This Row],[Comments]])&lt;&gt;0, priority(Main[[#This Row],[Comments]]),"")</f>
        <v/>
      </c>
      <c r="B599" s="90" t="s">
        <v>1477</v>
      </c>
      <c r="C599" s="72" t="s">
        <v>4</v>
      </c>
      <c r="D599" s="73" t="s">
        <v>532</v>
      </c>
      <c r="E599" s="74"/>
      <c r="F599" s="74">
        <v>40431</v>
      </c>
      <c r="G599" s="75" t="str">
        <f>IF(stdProdLT(Main[[#This Row],[Comments]])=0.1,"N/A",IF(stdProdLT(Main[[#This Row],[Comments]])=0,"",stdProdLT(Main[[#This Row],[Comments]])))</f>
        <v/>
      </c>
      <c r="H599" s="76" t="str">
        <f>IF(AND(Main[[#This Row],[In Stock Date]]&lt;&gt;"",Main[[#This Row],[Revised Due Date]]&lt;&gt;""),Main[[#This Row],[In Stock Date]]-Main[[#This Row],[Revised Due Date]],"")</f>
        <v/>
      </c>
      <c r="I599" s="72" t="s">
        <v>4</v>
      </c>
      <c r="J599" s="72" t="s">
        <v>28</v>
      </c>
      <c r="K599" s="72" t="s">
        <v>4</v>
      </c>
      <c r="L599" s="74"/>
      <c r="M599" s="77" t="str">
        <f>IF(Main[[#This Row],[Tech Start Date]]&lt;1/1/1990,"",IF(Main[[#This Row],[Class]]="C",WORKDAY(Main[[#This Row],[Tech Start Date]],9),IF(Main[[#This Row],[Class]]="B", WORKDAY(Main[[#This Row],[Tech Start Date]],6),IF(Main[[#This Row],[Class]]="A",WORKDAY(Main[[#This Row],[Tech Start Date]],2),""))))</f>
        <v/>
      </c>
      <c r="N599" s="77" t="str">
        <f>IF(Main[[#This Row],[Tech Start Date]]&lt;1/1/1990,"",IF(Main[[#This Row],[Class]]="C",WORKDAY(Main[[#This Row],[Tech Start Date]],19),IF(Main[[#This Row],[Class]]="B", WORKDAY(Main[[#This Row],[Tech Start Date]],12),IF(Main[[#This Row],[Class]]="A",WORKDAY(Main[[#This Row],[Tech Start Date]],4),""))))</f>
        <v/>
      </c>
      <c r="O599" s="77" t="str">
        <f>IF(Main[[#This Row],[Tech Start Date]]&lt;1/1/1990,"",IF(Main[[#This Row],[Class]]="C",WORKDAY(Main[[#This Row],[Tech Start Date]],23),IF(Main[[#This Row],[Class]]="B", WORKDAY(Main[[#This Row],[Tech Start Date]],15),IF(Main[[#This Row],[Class]]="A",WORKDAY(Main[[#This Row],[Tech Start Date]],5),""))))</f>
        <v/>
      </c>
      <c r="P599" s="77" t="str">
        <f>IF(Main[[#This Row],[Tech Start Date]]&lt;1/1/1990,"",IF(Main[[#This Row],[Class]]="C",WORKDAY(Main[[#This Row],[Tech Start Date]],28),IF(Main[[#This Row],[Class]]="B", WORKDAY(Main[[#This Row],[Tech Start Date]],19),IF(Main[[#This Row],[Class]]="A",WORKDAY(Main[[#This Row],[Tech Start Date]],9),""))))</f>
        <v/>
      </c>
      <c r="Q599" s="74">
        <v>40410</v>
      </c>
      <c r="R599" s="74"/>
      <c r="S599" s="72" t="s">
        <v>11</v>
      </c>
      <c r="T599" s="80" t="s">
        <v>4</v>
      </c>
      <c r="U599" s="72" t="s">
        <v>14</v>
      </c>
      <c r="V599" s="72" t="s">
        <v>1933</v>
      </c>
      <c r="W599" s="72" t="s">
        <v>1940</v>
      </c>
      <c r="X599" s="72" t="s">
        <v>2908</v>
      </c>
      <c r="Y599" s="72" t="s">
        <v>3030</v>
      </c>
      <c r="Z599" s="72" t="s">
        <v>108</v>
      </c>
      <c r="AA599" s="147" t="s">
        <v>2908</v>
      </c>
    </row>
    <row r="600" spans="1:27" ht="18.600000000000001" customHeight="1">
      <c r="A600" s="140" t="str">
        <f>IF(priority(Main[[#This Row],[Comments]])&lt;&gt;0, priority(Main[[#This Row],[Comments]]),"")</f>
        <v/>
      </c>
      <c r="B600" s="90" t="s">
        <v>1478</v>
      </c>
      <c r="C600" s="72" t="s">
        <v>4</v>
      </c>
      <c r="D600" s="73" t="s">
        <v>533</v>
      </c>
      <c r="E600" s="74"/>
      <c r="F600" s="74">
        <v>40786</v>
      </c>
      <c r="G600" s="75" t="str">
        <f>IF(stdProdLT(Main[[#This Row],[Comments]])=0.1,"N/A",IF(stdProdLT(Main[[#This Row],[Comments]])=0,"",stdProdLT(Main[[#This Row],[Comments]])))</f>
        <v/>
      </c>
      <c r="H600" s="76" t="str">
        <f>IF(AND(Main[[#This Row],[In Stock Date]]&lt;&gt;"",Main[[#This Row],[Revised Due Date]]&lt;&gt;""),Main[[#This Row],[In Stock Date]]-Main[[#This Row],[Revised Due Date]],"")</f>
        <v/>
      </c>
      <c r="I600" s="72" t="s">
        <v>4</v>
      </c>
      <c r="J600" s="72" t="s">
        <v>4</v>
      </c>
      <c r="K600" s="72" t="s">
        <v>4</v>
      </c>
      <c r="L600" s="74"/>
      <c r="M600" s="77" t="str">
        <f>IF(Main[[#This Row],[Tech Start Date]]&lt;1/1/1990,"",IF(Main[[#This Row],[Class]]="C",WORKDAY(Main[[#This Row],[Tech Start Date]],9),IF(Main[[#This Row],[Class]]="B", WORKDAY(Main[[#This Row],[Tech Start Date]],6),IF(Main[[#This Row],[Class]]="A",WORKDAY(Main[[#This Row],[Tech Start Date]],2),""))))</f>
        <v/>
      </c>
      <c r="N600" s="77" t="str">
        <f>IF(Main[[#This Row],[Tech Start Date]]&lt;1/1/1990,"",IF(Main[[#This Row],[Class]]="C",WORKDAY(Main[[#This Row],[Tech Start Date]],19),IF(Main[[#This Row],[Class]]="B", WORKDAY(Main[[#This Row],[Tech Start Date]],12),IF(Main[[#This Row],[Class]]="A",WORKDAY(Main[[#This Row],[Tech Start Date]],4),""))))</f>
        <v/>
      </c>
      <c r="O600" s="77" t="str">
        <f>IF(Main[[#This Row],[Tech Start Date]]&lt;1/1/1990,"",IF(Main[[#This Row],[Class]]="C",WORKDAY(Main[[#This Row],[Tech Start Date]],23),IF(Main[[#This Row],[Class]]="B", WORKDAY(Main[[#This Row],[Tech Start Date]],15),IF(Main[[#This Row],[Class]]="A",WORKDAY(Main[[#This Row],[Tech Start Date]],5),""))))</f>
        <v/>
      </c>
      <c r="P600" s="77" t="str">
        <f>IF(Main[[#This Row],[Tech Start Date]]&lt;1/1/1990,"",IF(Main[[#This Row],[Class]]="C",WORKDAY(Main[[#This Row],[Tech Start Date]],28),IF(Main[[#This Row],[Class]]="B", WORKDAY(Main[[#This Row],[Tech Start Date]],19),IF(Main[[#This Row],[Class]]="A",WORKDAY(Main[[#This Row],[Tech Start Date]],9),""))))</f>
        <v/>
      </c>
      <c r="Q600" s="74">
        <v>40749</v>
      </c>
      <c r="R600" s="74"/>
      <c r="S600" s="72" t="s">
        <v>11</v>
      </c>
      <c r="T600" s="80" t="s">
        <v>4</v>
      </c>
      <c r="U600" s="72" t="s">
        <v>14</v>
      </c>
      <c r="V600" s="72" t="s">
        <v>1935</v>
      </c>
      <c r="W600" s="72" t="s">
        <v>1940</v>
      </c>
      <c r="X600" s="72" t="s">
        <v>559</v>
      </c>
      <c r="Y600" s="72" t="s">
        <v>3137</v>
      </c>
      <c r="Z600" s="72" t="s">
        <v>4</v>
      </c>
      <c r="AA600" s="147" t="s">
        <v>2944</v>
      </c>
    </row>
    <row r="601" spans="1:27" ht="18.600000000000001" customHeight="1">
      <c r="A601" s="140" t="str">
        <f>IF(priority(Main[[#This Row],[Comments]])&lt;&gt;0, priority(Main[[#This Row],[Comments]]),"")</f>
        <v/>
      </c>
      <c r="B601" s="90" t="s">
        <v>1455</v>
      </c>
      <c r="C601" s="72" t="s">
        <v>95</v>
      </c>
      <c r="D601" s="73" t="s">
        <v>534</v>
      </c>
      <c r="E601" s="74"/>
      <c r="F601" s="74"/>
      <c r="G601" s="75" t="str">
        <f>IF(stdProdLT(Main[[#This Row],[Comments]])=0.1,"N/A",IF(stdProdLT(Main[[#This Row],[Comments]])=0,"",stdProdLT(Main[[#This Row],[Comments]])))</f>
        <v/>
      </c>
      <c r="H601" s="76" t="str">
        <f>IF(AND(Main[[#This Row],[In Stock Date]]&lt;&gt;"",Main[[#This Row],[Revised Due Date]]&lt;&gt;""),Main[[#This Row],[In Stock Date]]-Main[[#This Row],[Revised Due Date]],"")</f>
        <v/>
      </c>
      <c r="I601" s="72" t="s">
        <v>535</v>
      </c>
      <c r="J601" s="72" t="s">
        <v>4</v>
      </c>
      <c r="K601" s="72" t="s">
        <v>4</v>
      </c>
      <c r="L601" s="74"/>
      <c r="M601" s="77" t="str">
        <f>IF(Main[[#This Row],[Tech Start Date]]&lt;1/1/1990,"",IF(Main[[#This Row],[Class]]="C",WORKDAY(Main[[#This Row],[Tech Start Date]],9),IF(Main[[#This Row],[Class]]="B", WORKDAY(Main[[#This Row],[Tech Start Date]],6),IF(Main[[#This Row],[Class]]="A",WORKDAY(Main[[#This Row],[Tech Start Date]],2),""))))</f>
        <v/>
      </c>
      <c r="N601" s="77" t="str">
        <f>IF(Main[[#This Row],[Tech Start Date]]&lt;1/1/1990,"",IF(Main[[#This Row],[Class]]="C",WORKDAY(Main[[#This Row],[Tech Start Date]],19),IF(Main[[#This Row],[Class]]="B", WORKDAY(Main[[#This Row],[Tech Start Date]],12),IF(Main[[#This Row],[Class]]="A",WORKDAY(Main[[#This Row],[Tech Start Date]],4),""))))</f>
        <v/>
      </c>
      <c r="O601" s="77" t="str">
        <f>IF(Main[[#This Row],[Tech Start Date]]&lt;1/1/1990,"",IF(Main[[#This Row],[Class]]="C",WORKDAY(Main[[#This Row],[Tech Start Date]],23),IF(Main[[#This Row],[Class]]="B", WORKDAY(Main[[#This Row],[Tech Start Date]],15),IF(Main[[#This Row],[Class]]="A",WORKDAY(Main[[#This Row],[Tech Start Date]],5),""))))</f>
        <v/>
      </c>
      <c r="P601" s="77" t="str">
        <f>IF(Main[[#This Row],[Tech Start Date]]&lt;1/1/1990,"",IF(Main[[#This Row],[Class]]="C",WORKDAY(Main[[#This Row],[Tech Start Date]],28),IF(Main[[#This Row],[Class]]="B", WORKDAY(Main[[#This Row],[Tech Start Date]],19),IF(Main[[#This Row],[Class]]="A",WORKDAY(Main[[#This Row],[Tech Start Date]],9),""))))</f>
        <v/>
      </c>
      <c r="Q601" s="74">
        <v>40352</v>
      </c>
      <c r="R601" s="74"/>
      <c r="S601" s="72" t="s">
        <v>11</v>
      </c>
      <c r="T601" s="80" t="s">
        <v>4</v>
      </c>
      <c r="U601" s="72" t="s">
        <v>14</v>
      </c>
      <c r="V601" s="72" t="s">
        <v>1935</v>
      </c>
      <c r="W601" s="72" t="s">
        <v>1934</v>
      </c>
      <c r="X601" s="72" t="s">
        <v>2921</v>
      </c>
      <c r="Y601" s="72" t="s">
        <v>3138</v>
      </c>
      <c r="Z601" s="72" t="s">
        <v>4</v>
      </c>
      <c r="AA601" s="147" t="s">
        <v>3594</v>
      </c>
    </row>
    <row r="602" spans="1:27" ht="18.600000000000001" customHeight="1">
      <c r="A602" s="140" t="str">
        <f>IF(priority(Main[[#This Row],[Comments]])&lt;&gt;0, priority(Main[[#This Row],[Comments]]),"")</f>
        <v/>
      </c>
      <c r="B602" s="90" t="s">
        <v>1457</v>
      </c>
      <c r="C602" s="72" t="s">
        <v>171</v>
      </c>
      <c r="D602" s="73" t="s">
        <v>537</v>
      </c>
      <c r="E602" s="74"/>
      <c r="F602" s="74">
        <v>40237</v>
      </c>
      <c r="G602" s="75" t="str">
        <f>IF(stdProdLT(Main[[#This Row],[Comments]])=0.1,"N/A",IF(stdProdLT(Main[[#This Row],[Comments]])=0,"",stdProdLT(Main[[#This Row],[Comments]])))</f>
        <v/>
      </c>
      <c r="H602" s="76" t="str">
        <f>IF(AND(Main[[#This Row],[In Stock Date]]&lt;&gt;"",Main[[#This Row],[Revised Due Date]]&lt;&gt;""),Main[[#This Row],[In Stock Date]]-Main[[#This Row],[Revised Due Date]],"")</f>
        <v/>
      </c>
      <c r="I602" s="72" t="s">
        <v>4</v>
      </c>
      <c r="J602" s="72" t="s">
        <v>4</v>
      </c>
      <c r="K602" s="72" t="s">
        <v>4</v>
      </c>
      <c r="L602" s="74"/>
      <c r="M602" s="77" t="str">
        <f>IF(Main[[#This Row],[Tech Start Date]]&lt;1/1/1990,"",IF(Main[[#This Row],[Class]]="C",WORKDAY(Main[[#This Row],[Tech Start Date]],9),IF(Main[[#This Row],[Class]]="B", WORKDAY(Main[[#This Row],[Tech Start Date]],6),IF(Main[[#This Row],[Class]]="A",WORKDAY(Main[[#This Row],[Tech Start Date]],2),""))))</f>
        <v/>
      </c>
      <c r="N602" s="77" t="str">
        <f>IF(Main[[#This Row],[Tech Start Date]]&lt;1/1/1990,"",IF(Main[[#This Row],[Class]]="C",WORKDAY(Main[[#This Row],[Tech Start Date]],19),IF(Main[[#This Row],[Class]]="B", WORKDAY(Main[[#This Row],[Tech Start Date]],12),IF(Main[[#This Row],[Class]]="A",WORKDAY(Main[[#This Row],[Tech Start Date]],4),""))))</f>
        <v/>
      </c>
      <c r="O602" s="77" t="str">
        <f>IF(Main[[#This Row],[Tech Start Date]]&lt;1/1/1990,"",IF(Main[[#This Row],[Class]]="C",WORKDAY(Main[[#This Row],[Tech Start Date]],23),IF(Main[[#This Row],[Class]]="B", WORKDAY(Main[[#This Row],[Tech Start Date]],15),IF(Main[[#This Row],[Class]]="A",WORKDAY(Main[[#This Row],[Tech Start Date]],5),""))))</f>
        <v/>
      </c>
      <c r="P602" s="77" t="str">
        <f>IF(Main[[#This Row],[Tech Start Date]]&lt;1/1/1990,"",IF(Main[[#This Row],[Class]]="C",WORKDAY(Main[[#This Row],[Tech Start Date]],28),IF(Main[[#This Row],[Class]]="B", WORKDAY(Main[[#This Row],[Tech Start Date]],19),IF(Main[[#This Row],[Class]]="A",WORKDAY(Main[[#This Row],[Tech Start Date]],9),""))))</f>
        <v/>
      </c>
      <c r="Q602" s="74">
        <v>40132</v>
      </c>
      <c r="R602" s="74"/>
      <c r="S602" s="72" t="s">
        <v>11</v>
      </c>
      <c r="T602" s="80" t="s">
        <v>4</v>
      </c>
      <c r="U602" s="72" t="s">
        <v>14</v>
      </c>
      <c r="V602" s="72" t="s">
        <v>1932</v>
      </c>
      <c r="W602" s="72" t="s">
        <v>1937</v>
      </c>
      <c r="X602" s="72" t="s">
        <v>2942</v>
      </c>
      <c r="Y602" s="72" t="s">
        <v>4</v>
      </c>
      <c r="Z602" s="72" t="s">
        <v>4</v>
      </c>
      <c r="AA602" s="147" t="s">
        <v>2942</v>
      </c>
    </row>
    <row r="603" spans="1:27" ht="18.600000000000001" customHeight="1">
      <c r="A603" s="140" t="str">
        <f>IF(priority(Main[[#This Row],[Comments]])&lt;&gt;0, priority(Main[[#This Row],[Comments]]),"")</f>
        <v/>
      </c>
      <c r="B603" s="90" t="s">
        <v>3382</v>
      </c>
      <c r="C603" s="72" t="s">
        <v>3383</v>
      </c>
      <c r="D603" s="73" t="s">
        <v>3538</v>
      </c>
      <c r="E603" s="74"/>
      <c r="F603" s="74">
        <v>41090</v>
      </c>
      <c r="G603" s="75" t="str">
        <f>IF(stdProdLT(Main[[#This Row],[Comments]])=0.1,"N/A",IF(stdProdLT(Main[[#This Row],[Comments]])=0,"",stdProdLT(Main[[#This Row],[Comments]])))</f>
        <v/>
      </c>
      <c r="H603" s="76" t="str">
        <f>IF(AND(Main[[#This Row],[In Stock Date]]&lt;&gt;"",Main[[#This Row],[Revised Due Date]]&lt;&gt;""),Main[[#This Row],[In Stock Date]]-Main[[#This Row],[Revised Due Date]],"")</f>
        <v/>
      </c>
      <c r="I603" s="72" t="s">
        <v>4</v>
      </c>
      <c r="J603" s="72" t="s">
        <v>4</v>
      </c>
      <c r="K603" s="72" t="s">
        <v>4</v>
      </c>
      <c r="L603" s="74"/>
      <c r="M603" s="77" t="str">
        <f>IF(Main[[#This Row],[Tech Start Date]]&lt;1/1/1990,"",IF(Main[[#This Row],[Class]]="C",WORKDAY(Main[[#This Row],[Tech Start Date]],9),IF(Main[[#This Row],[Class]]="B", WORKDAY(Main[[#This Row],[Tech Start Date]],6),IF(Main[[#This Row],[Class]]="A",WORKDAY(Main[[#This Row],[Tech Start Date]],2),""))))</f>
        <v/>
      </c>
      <c r="N603" s="77" t="str">
        <f>IF(Main[[#This Row],[Tech Start Date]]&lt;1/1/1990,"",IF(Main[[#This Row],[Class]]="C",WORKDAY(Main[[#This Row],[Tech Start Date]],19),IF(Main[[#This Row],[Class]]="B", WORKDAY(Main[[#This Row],[Tech Start Date]],12),IF(Main[[#This Row],[Class]]="A",WORKDAY(Main[[#This Row],[Tech Start Date]],4),""))))</f>
        <v/>
      </c>
      <c r="O603" s="77" t="str">
        <f>IF(Main[[#This Row],[Tech Start Date]]&lt;1/1/1990,"",IF(Main[[#This Row],[Class]]="C",WORKDAY(Main[[#This Row],[Tech Start Date]],23),IF(Main[[#This Row],[Class]]="B", WORKDAY(Main[[#This Row],[Tech Start Date]],15),IF(Main[[#This Row],[Class]]="A",WORKDAY(Main[[#This Row],[Tech Start Date]],5),""))))</f>
        <v/>
      </c>
      <c r="P603" s="77" t="str">
        <f>IF(Main[[#This Row],[Tech Start Date]]&lt;1/1/1990,"",IF(Main[[#This Row],[Class]]="C",WORKDAY(Main[[#This Row],[Tech Start Date]],28),IF(Main[[#This Row],[Class]]="B", WORKDAY(Main[[#This Row],[Tech Start Date]],19),IF(Main[[#This Row],[Class]]="A",WORKDAY(Main[[#This Row],[Tech Start Date]],9),""))))</f>
        <v/>
      </c>
      <c r="Q603" s="74"/>
      <c r="R603" s="74"/>
      <c r="S603" s="72" t="s">
        <v>11</v>
      </c>
      <c r="T603" s="80" t="s">
        <v>3384</v>
      </c>
      <c r="U603" s="72" t="s">
        <v>14</v>
      </c>
      <c r="V603" s="72" t="s">
        <v>1933</v>
      </c>
      <c r="W603" s="72" t="s">
        <v>1940</v>
      </c>
      <c r="X603" s="72" t="s">
        <v>2936</v>
      </c>
      <c r="Y603" s="72" t="s">
        <v>3077</v>
      </c>
      <c r="Z603" s="72" t="s">
        <v>4</v>
      </c>
      <c r="AA603" s="147" t="s">
        <v>2936</v>
      </c>
    </row>
    <row r="604" spans="1:27" ht="18.600000000000001" customHeight="1">
      <c r="A604" s="140" t="str">
        <f>IF(priority(Main[[#This Row],[Comments]])&lt;&gt;0, priority(Main[[#This Row],[Comments]]),"")</f>
        <v/>
      </c>
      <c r="B604" s="90" t="s">
        <v>1458</v>
      </c>
      <c r="C604" s="72" t="s">
        <v>4</v>
      </c>
      <c r="D604" s="73" t="s">
        <v>538</v>
      </c>
      <c r="E604" s="74">
        <v>40108.684525462966</v>
      </c>
      <c r="F604" s="74"/>
      <c r="G604" s="75" t="str">
        <f>IF(stdProdLT(Main[[#This Row],[Comments]])=0.1,"N/A",IF(stdProdLT(Main[[#This Row],[Comments]])=0,"",stdProdLT(Main[[#This Row],[Comments]])))</f>
        <v/>
      </c>
      <c r="H604" s="76" t="str">
        <f>IF(AND(Main[[#This Row],[In Stock Date]]&lt;&gt;"",Main[[#This Row],[Revised Due Date]]&lt;&gt;""),Main[[#This Row],[In Stock Date]]-Main[[#This Row],[Revised Due Date]],"")</f>
        <v/>
      </c>
      <c r="I604" s="72" t="s">
        <v>4</v>
      </c>
      <c r="J604" s="72" t="s">
        <v>4</v>
      </c>
      <c r="K604" s="72" t="s">
        <v>4</v>
      </c>
      <c r="L604" s="74"/>
      <c r="M604" s="77" t="str">
        <f>IF(Main[[#This Row],[Tech Start Date]]&lt;1/1/1990,"",IF(Main[[#This Row],[Class]]="C",WORKDAY(Main[[#This Row],[Tech Start Date]],9),IF(Main[[#This Row],[Class]]="B", WORKDAY(Main[[#This Row],[Tech Start Date]],6),IF(Main[[#This Row],[Class]]="A",WORKDAY(Main[[#This Row],[Tech Start Date]],2),""))))</f>
        <v/>
      </c>
      <c r="N604" s="77" t="str">
        <f>IF(Main[[#This Row],[Tech Start Date]]&lt;1/1/1990,"",IF(Main[[#This Row],[Class]]="C",WORKDAY(Main[[#This Row],[Tech Start Date]],19),IF(Main[[#This Row],[Class]]="B", WORKDAY(Main[[#This Row],[Tech Start Date]],12),IF(Main[[#This Row],[Class]]="A",WORKDAY(Main[[#This Row],[Tech Start Date]],4),""))))</f>
        <v/>
      </c>
      <c r="O604" s="77" t="str">
        <f>IF(Main[[#This Row],[Tech Start Date]]&lt;1/1/1990,"",IF(Main[[#This Row],[Class]]="C",WORKDAY(Main[[#This Row],[Tech Start Date]],23),IF(Main[[#This Row],[Class]]="B", WORKDAY(Main[[#This Row],[Tech Start Date]],15),IF(Main[[#This Row],[Class]]="A",WORKDAY(Main[[#This Row],[Tech Start Date]],5),""))))</f>
        <v/>
      </c>
      <c r="P604" s="77" t="str">
        <f>IF(Main[[#This Row],[Tech Start Date]]&lt;1/1/1990,"",IF(Main[[#This Row],[Class]]="C",WORKDAY(Main[[#This Row],[Tech Start Date]],28),IF(Main[[#This Row],[Class]]="B", WORKDAY(Main[[#This Row],[Tech Start Date]],19),IF(Main[[#This Row],[Class]]="A",WORKDAY(Main[[#This Row],[Tech Start Date]],9),""))))</f>
        <v/>
      </c>
      <c r="Q604" s="74">
        <v>40208</v>
      </c>
      <c r="R604" s="74"/>
      <c r="S604" s="72" t="s">
        <v>17</v>
      </c>
      <c r="T604" s="80" t="s">
        <v>4</v>
      </c>
      <c r="U604" s="72" t="s">
        <v>539</v>
      </c>
      <c r="V604" s="72" t="s">
        <v>1933</v>
      </c>
      <c r="W604" s="72" t="s">
        <v>4</v>
      </c>
      <c r="X604" s="72" t="s">
        <v>2946</v>
      </c>
      <c r="Y604" s="72" t="s">
        <v>3093</v>
      </c>
      <c r="Z604" s="72" t="s">
        <v>4</v>
      </c>
      <c r="AA604" s="147" t="s">
        <v>2946</v>
      </c>
    </row>
    <row r="605" spans="1:27" ht="18.600000000000001" customHeight="1">
      <c r="A605" s="140" t="str">
        <f>IF(priority(Main[[#This Row],[Comments]])&lt;&gt;0, priority(Main[[#This Row],[Comments]]),"")</f>
        <v/>
      </c>
      <c r="B605" s="90" t="s">
        <v>1459</v>
      </c>
      <c r="C605" s="72" t="s">
        <v>79</v>
      </c>
      <c r="D605" s="73" t="s">
        <v>540</v>
      </c>
      <c r="E605" s="74"/>
      <c r="F605" s="74"/>
      <c r="G605" s="75" t="str">
        <f>IF(stdProdLT(Main[[#This Row],[Comments]])=0.1,"N/A",IF(stdProdLT(Main[[#This Row],[Comments]])=0,"",stdProdLT(Main[[#This Row],[Comments]])))</f>
        <v/>
      </c>
      <c r="H605" s="76" t="str">
        <f>IF(AND(Main[[#This Row],[In Stock Date]]&lt;&gt;"",Main[[#This Row],[Revised Due Date]]&lt;&gt;""),Main[[#This Row],[In Stock Date]]-Main[[#This Row],[Revised Due Date]],"")</f>
        <v/>
      </c>
      <c r="I605" s="72" t="s">
        <v>4</v>
      </c>
      <c r="J605" s="72" t="s">
        <v>4</v>
      </c>
      <c r="K605" s="72" t="s">
        <v>4</v>
      </c>
      <c r="L605" s="74"/>
      <c r="M605" s="77" t="str">
        <f>IF(Main[[#This Row],[Tech Start Date]]&lt;1/1/1990,"",IF(Main[[#This Row],[Class]]="C",WORKDAY(Main[[#This Row],[Tech Start Date]],9),IF(Main[[#This Row],[Class]]="B", WORKDAY(Main[[#This Row],[Tech Start Date]],6),IF(Main[[#This Row],[Class]]="A",WORKDAY(Main[[#This Row],[Tech Start Date]],2),""))))</f>
        <v/>
      </c>
      <c r="N605" s="77" t="str">
        <f>IF(Main[[#This Row],[Tech Start Date]]&lt;1/1/1990,"",IF(Main[[#This Row],[Class]]="C",WORKDAY(Main[[#This Row],[Tech Start Date]],19),IF(Main[[#This Row],[Class]]="B", WORKDAY(Main[[#This Row],[Tech Start Date]],12),IF(Main[[#This Row],[Class]]="A",WORKDAY(Main[[#This Row],[Tech Start Date]],4),""))))</f>
        <v/>
      </c>
      <c r="O605" s="77" t="str">
        <f>IF(Main[[#This Row],[Tech Start Date]]&lt;1/1/1990,"",IF(Main[[#This Row],[Class]]="C",WORKDAY(Main[[#This Row],[Tech Start Date]],23),IF(Main[[#This Row],[Class]]="B", WORKDAY(Main[[#This Row],[Tech Start Date]],15),IF(Main[[#This Row],[Class]]="A",WORKDAY(Main[[#This Row],[Tech Start Date]],5),""))))</f>
        <v/>
      </c>
      <c r="P605" s="77" t="str">
        <f>IF(Main[[#This Row],[Tech Start Date]]&lt;1/1/1990,"",IF(Main[[#This Row],[Class]]="C",WORKDAY(Main[[#This Row],[Tech Start Date]],28),IF(Main[[#This Row],[Class]]="B", WORKDAY(Main[[#This Row],[Tech Start Date]],19),IF(Main[[#This Row],[Class]]="A",WORKDAY(Main[[#This Row],[Tech Start Date]],9),""))))</f>
        <v/>
      </c>
      <c r="Q605" s="74">
        <v>40044</v>
      </c>
      <c r="R605" s="74"/>
      <c r="S605" s="72" t="s">
        <v>11</v>
      </c>
      <c r="T605" s="80" t="s">
        <v>4</v>
      </c>
      <c r="U605" s="72" t="s">
        <v>12</v>
      </c>
      <c r="V605" s="72" t="s">
        <v>1942</v>
      </c>
      <c r="W605" s="72" t="s">
        <v>1943</v>
      </c>
      <c r="X605" s="72" t="s">
        <v>2904</v>
      </c>
      <c r="Y605" s="72" t="s">
        <v>3043</v>
      </c>
      <c r="Z605" s="72" t="s">
        <v>81</v>
      </c>
      <c r="AA605" s="147" t="s">
        <v>2945</v>
      </c>
    </row>
    <row r="606" spans="1:27" ht="18.600000000000001" customHeight="1">
      <c r="A606" s="140" t="str">
        <f>IF(priority(Main[[#This Row],[Comments]])&lt;&gt;0, priority(Main[[#This Row],[Comments]]),"")</f>
        <v/>
      </c>
      <c r="B606" s="90" t="s">
        <v>1460</v>
      </c>
      <c r="C606" s="72" t="s">
        <v>4</v>
      </c>
      <c r="D606" s="73" t="s">
        <v>541</v>
      </c>
      <c r="E606" s="74"/>
      <c r="F606" s="74"/>
      <c r="G606" s="75" t="str">
        <f>IF(stdProdLT(Main[[#This Row],[Comments]])=0.1,"N/A",IF(stdProdLT(Main[[#This Row],[Comments]])=0,"",stdProdLT(Main[[#This Row],[Comments]])))</f>
        <v/>
      </c>
      <c r="H606" s="76" t="str">
        <f>IF(AND(Main[[#This Row],[In Stock Date]]&lt;&gt;"",Main[[#This Row],[Revised Due Date]]&lt;&gt;""),Main[[#This Row],[In Stock Date]]-Main[[#This Row],[Revised Due Date]],"")</f>
        <v/>
      </c>
      <c r="I606" s="72" t="s">
        <v>4</v>
      </c>
      <c r="J606" s="72" t="s">
        <v>4</v>
      </c>
      <c r="K606" s="72" t="s">
        <v>4</v>
      </c>
      <c r="L606" s="74"/>
      <c r="M606" s="77" t="str">
        <f>IF(Main[[#This Row],[Tech Start Date]]&lt;1/1/1990,"",IF(Main[[#This Row],[Class]]="C",WORKDAY(Main[[#This Row],[Tech Start Date]],9),IF(Main[[#This Row],[Class]]="B", WORKDAY(Main[[#This Row],[Tech Start Date]],6),IF(Main[[#This Row],[Class]]="A",WORKDAY(Main[[#This Row],[Tech Start Date]],2),""))))</f>
        <v/>
      </c>
      <c r="N606" s="77" t="str">
        <f>IF(Main[[#This Row],[Tech Start Date]]&lt;1/1/1990,"",IF(Main[[#This Row],[Class]]="C",WORKDAY(Main[[#This Row],[Tech Start Date]],19),IF(Main[[#This Row],[Class]]="B", WORKDAY(Main[[#This Row],[Tech Start Date]],12),IF(Main[[#This Row],[Class]]="A",WORKDAY(Main[[#This Row],[Tech Start Date]],4),""))))</f>
        <v/>
      </c>
      <c r="O606" s="77" t="str">
        <f>IF(Main[[#This Row],[Tech Start Date]]&lt;1/1/1990,"",IF(Main[[#This Row],[Class]]="C",WORKDAY(Main[[#This Row],[Tech Start Date]],23),IF(Main[[#This Row],[Class]]="B", WORKDAY(Main[[#This Row],[Tech Start Date]],15),IF(Main[[#This Row],[Class]]="A",WORKDAY(Main[[#This Row],[Tech Start Date]],5),""))))</f>
        <v/>
      </c>
      <c r="P606" s="77" t="str">
        <f>IF(Main[[#This Row],[Tech Start Date]]&lt;1/1/1990,"",IF(Main[[#This Row],[Class]]="C",WORKDAY(Main[[#This Row],[Tech Start Date]],28),IF(Main[[#This Row],[Class]]="B", WORKDAY(Main[[#This Row],[Tech Start Date]],19),IF(Main[[#This Row],[Class]]="A",WORKDAY(Main[[#This Row],[Tech Start Date]],9),""))))</f>
        <v/>
      </c>
      <c r="Q606" s="74"/>
      <c r="R606" s="74"/>
      <c r="S606" s="72" t="s">
        <v>6</v>
      </c>
      <c r="T606" s="80" t="s">
        <v>4</v>
      </c>
      <c r="U606" s="72" t="s">
        <v>14</v>
      </c>
      <c r="V606" s="72" t="s">
        <v>1935</v>
      </c>
      <c r="W606" s="72" t="s">
        <v>4</v>
      </c>
      <c r="X606" s="72" t="s">
        <v>2971</v>
      </c>
      <c r="Y606" s="72" t="s">
        <v>3130</v>
      </c>
      <c r="Z606" s="72" t="s">
        <v>4</v>
      </c>
      <c r="AA606" s="147" t="s">
        <v>2971</v>
      </c>
    </row>
    <row r="607" spans="1:27" ht="18.600000000000001" customHeight="1">
      <c r="A607" s="140" t="str">
        <f>IF(priority(Main[[#This Row],[Comments]])&lt;&gt;0, priority(Main[[#This Row],[Comments]]),"")</f>
        <v/>
      </c>
      <c r="B607" s="90" t="s">
        <v>1462</v>
      </c>
      <c r="C607" s="72" t="s">
        <v>4</v>
      </c>
      <c r="D607" s="73" t="s">
        <v>543</v>
      </c>
      <c r="E607" s="74">
        <v>40626.477812500001</v>
      </c>
      <c r="F607" s="74"/>
      <c r="G607" s="75" t="str">
        <f>IF(stdProdLT(Main[[#This Row],[Comments]])=0.1,"N/A",IF(stdProdLT(Main[[#This Row],[Comments]])=0,"",stdProdLT(Main[[#This Row],[Comments]])))</f>
        <v/>
      </c>
      <c r="H607" s="76" t="str">
        <f>IF(AND(Main[[#This Row],[In Stock Date]]&lt;&gt;"",Main[[#This Row],[Revised Due Date]]&lt;&gt;""),Main[[#This Row],[In Stock Date]]-Main[[#This Row],[Revised Due Date]],"")</f>
        <v/>
      </c>
      <c r="I607" s="72" t="s">
        <v>374</v>
      </c>
      <c r="J607" s="72" t="s">
        <v>28</v>
      </c>
      <c r="K607" s="81" t="s">
        <v>1941</v>
      </c>
      <c r="L607" s="74"/>
      <c r="M607" s="77" t="str">
        <f>IF(Main[[#This Row],[Tech Start Date]]&lt;1/1/1990,"",IF(Main[[#This Row],[Class]]="C",WORKDAY(Main[[#This Row],[Tech Start Date]],9),IF(Main[[#This Row],[Class]]="B", WORKDAY(Main[[#This Row],[Tech Start Date]],6),IF(Main[[#This Row],[Class]]="A",WORKDAY(Main[[#This Row],[Tech Start Date]],2),""))))</f>
        <v/>
      </c>
      <c r="N607" s="77" t="str">
        <f>IF(Main[[#This Row],[Tech Start Date]]&lt;1/1/1990,"",IF(Main[[#This Row],[Class]]="C",WORKDAY(Main[[#This Row],[Tech Start Date]],19),IF(Main[[#This Row],[Class]]="B", WORKDAY(Main[[#This Row],[Tech Start Date]],12),IF(Main[[#This Row],[Class]]="A",WORKDAY(Main[[#This Row],[Tech Start Date]],4),""))))</f>
        <v/>
      </c>
      <c r="O607" s="77" t="str">
        <f>IF(Main[[#This Row],[Tech Start Date]]&lt;1/1/1990,"",IF(Main[[#This Row],[Class]]="C",WORKDAY(Main[[#This Row],[Tech Start Date]],23),IF(Main[[#This Row],[Class]]="B", WORKDAY(Main[[#This Row],[Tech Start Date]],15),IF(Main[[#This Row],[Class]]="A",WORKDAY(Main[[#This Row],[Tech Start Date]],5),""))))</f>
        <v/>
      </c>
      <c r="P607" s="77" t="str">
        <f>IF(Main[[#This Row],[Tech Start Date]]&lt;1/1/1990,"",IF(Main[[#This Row],[Class]]="C",WORKDAY(Main[[#This Row],[Tech Start Date]],28),IF(Main[[#This Row],[Class]]="B", WORKDAY(Main[[#This Row],[Tech Start Date]],19),IF(Main[[#This Row],[Class]]="A",WORKDAY(Main[[#This Row],[Tech Start Date]],9),""))))</f>
        <v/>
      </c>
      <c r="Q607" s="74"/>
      <c r="R607" s="74"/>
      <c r="S607" s="72" t="s">
        <v>6</v>
      </c>
      <c r="T607" s="80" t="s">
        <v>4</v>
      </c>
      <c r="U607" s="72" t="s">
        <v>29</v>
      </c>
      <c r="V607" s="72" t="s">
        <v>1935</v>
      </c>
      <c r="W607" s="72" t="s">
        <v>1936</v>
      </c>
      <c r="X607" s="72" t="s">
        <v>74</v>
      </c>
      <c r="Y607" s="72" t="s">
        <v>3118</v>
      </c>
      <c r="Z607" s="72" t="s">
        <v>420</v>
      </c>
      <c r="AA607" s="147" t="s">
        <v>74</v>
      </c>
    </row>
    <row r="608" spans="1:27" ht="18.600000000000001" customHeight="1">
      <c r="A608" s="140" t="str">
        <f>IF(priority(Main[[#This Row],[Comments]])&lt;&gt;0, priority(Main[[#This Row],[Comments]]),"")</f>
        <v/>
      </c>
      <c r="B608" s="90" t="s">
        <v>1463</v>
      </c>
      <c r="C608" s="72" t="s">
        <v>4</v>
      </c>
      <c r="D608" s="73" t="s">
        <v>544</v>
      </c>
      <c r="E608" s="74"/>
      <c r="F608" s="74">
        <v>40390</v>
      </c>
      <c r="G608" s="75" t="str">
        <f>IF(stdProdLT(Main[[#This Row],[Comments]])=0.1,"N/A",IF(stdProdLT(Main[[#This Row],[Comments]])=0,"",stdProdLT(Main[[#This Row],[Comments]])))</f>
        <v/>
      </c>
      <c r="H608" s="76" t="str">
        <f>IF(AND(Main[[#This Row],[In Stock Date]]&lt;&gt;"",Main[[#This Row],[Revised Due Date]]&lt;&gt;""),Main[[#This Row],[In Stock Date]]-Main[[#This Row],[Revised Due Date]],"")</f>
        <v/>
      </c>
      <c r="I608" s="72" t="s">
        <v>4</v>
      </c>
      <c r="J608" s="72" t="s">
        <v>4</v>
      </c>
      <c r="K608" s="72" t="s">
        <v>4</v>
      </c>
      <c r="L608" s="74"/>
      <c r="M608" s="77" t="str">
        <f>IF(Main[[#This Row],[Tech Start Date]]&lt;1/1/1990,"",IF(Main[[#This Row],[Class]]="C",WORKDAY(Main[[#This Row],[Tech Start Date]],9),IF(Main[[#This Row],[Class]]="B", WORKDAY(Main[[#This Row],[Tech Start Date]],6),IF(Main[[#This Row],[Class]]="A",WORKDAY(Main[[#This Row],[Tech Start Date]],2),""))))</f>
        <v/>
      </c>
      <c r="N608" s="77" t="str">
        <f>IF(Main[[#This Row],[Tech Start Date]]&lt;1/1/1990,"",IF(Main[[#This Row],[Class]]="C",WORKDAY(Main[[#This Row],[Tech Start Date]],19),IF(Main[[#This Row],[Class]]="B", WORKDAY(Main[[#This Row],[Tech Start Date]],12),IF(Main[[#This Row],[Class]]="A",WORKDAY(Main[[#This Row],[Tech Start Date]],4),""))))</f>
        <v/>
      </c>
      <c r="O608" s="77" t="str">
        <f>IF(Main[[#This Row],[Tech Start Date]]&lt;1/1/1990,"",IF(Main[[#This Row],[Class]]="C",WORKDAY(Main[[#This Row],[Tech Start Date]],23),IF(Main[[#This Row],[Class]]="B", WORKDAY(Main[[#This Row],[Tech Start Date]],15),IF(Main[[#This Row],[Class]]="A",WORKDAY(Main[[#This Row],[Tech Start Date]],5),""))))</f>
        <v/>
      </c>
      <c r="P608" s="77" t="str">
        <f>IF(Main[[#This Row],[Tech Start Date]]&lt;1/1/1990,"",IF(Main[[#This Row],[Class]]="C",WORKDAY(Main[[#This Row],[Tech Start Date]],28),IF(Main[[#This Row],[Class]]="B", WORKDAY(Main[[#This Row],[Tech Start Date]],19),IF(Main[[#This Row],[Class]]="A",WORKDAY(Main[[#This Row],[Tech Start Date]],9),""))))</f>
        <v/>
      </c>
      <c r="Q608" s="74">
        <v>40329</v>
      </c>
      <c r="R608" s="74"/>
      <c r="S608" s="72" t="s">
        <v>11</v>
      </c>
      <c r="T608" s="80" t="s">
        <v>4</v>
      </c>
      <c r="U608" s="72" t="s">
        <v>12</v>
      </c>
      <c r="V608" s="72" t="s">
        <v>1942</v>
      </c>
      <c r="W608" s="72" t="s">
        <v>1938</v>
      </c>
      <c r="X608" s="72" t="s">
        <v>2956</v>
      </c>
      <c r="Y608" s="72" t="s">
        <v>3083</v>
      </c>
      <c r="Z608" s="72" t="s">
        <v>4</v>
      </c>
      <c r="AA608" s="147" t="s">
        <v>2956</v>
      </c>
    </row>
    <row r="609" spans="1:27" ht="18.600000000000001" customHeight="1">
      <c r="A609" s="140" t="str">
        <f>IF(priority(Main[[#This Row],[Comments]])&lt;&gt;0, priority(Main[[#This Row],[Comments]]),"")</f>
        <v/>
      </c>
      <c r="B609" s="90" t="s">
        <v>2772</v>
      </c>
      <c r="C609" s="72" t="s">
        <v>4</v>
      </c>
      <c r="D609" s="73" t="s">
        <v>2773</v>
      </c>
      <c r="E609" s="74">
        <v>40884.602025462962</v>
      </c>
      <c r="F609" s="74"/>
      <c r="G609" s="75" t="str">
        <f>IF(stdProdLT(Main[[#This Row],[Comments]])=0.1,"N/A",IF(stdProdLT(Main[[#This Row],[Comments]])=0,"",stdProdLT(Main[[#This Row],[Comments]])))</f>
        <v/>
      </c>
      <c r="H609" s="76" t="str">
        <f>IF(AND(Main[[#This Row],[In Stock Date]]&lt;&gt;"",Main[[#This Row],[Revised Due Date]]&lt;&gt;""),Main[[#This Row],[In Stock Date]]-Main[[#This Row],[Revised Due Date]],"")</f>
        <v/>
      </c>
      <c r="I609" s="72" t="s">
        <v>4</v>
      </c>
      <c r="J609" s="72" t="s">
        <v>4</v>
      </c>
      <c r="K609" s="72" t="s">
        <v>4</v>
      </c>
      <c r="L609" s="74"/>
      <c r="M609" s="77" t="str">
        <f>IF(Main[[#This Row],[Tech Start Date]]&lt;1/1/1990,"",IF(Main[[#This Row],[Class]]="C",WORKDAY(Main[[#This Row],[Tech Start Date]],9),IF(Main[[#This Row],[Class]]="B", WORKDAY(Main[[#This Row],[Tech Start Date]],6),IF(Main[[#This Row],[Class]]="A",WORKDAY(Main[[#This Row],[Tech Start Date]],2),""))))</f>
        <v/>
      </c>
      <c r="N609" s="77" t="str">
        <f>IF(Main[[#This Row],[Tech Start Date]]&lt;1/1/1990,"",IF(Main[[#This Row],[Class]]="C",WORKDAY(Main[[#This Row],[Tech Start Date]],19),IF(Main[[#This Row],[Class]]="B", WORKDAY(Main[[#This Row],[Tech Start Date]],12),IF(Main[[#This Row],[Class]]="A",WORKDAY(Main[[#This Row],[Tech Start Date]],4),""))))</f>
        <v/>
      </c>
      <c r="O609" s="77" t="str">
        <f>IF(Main[[#This Row],[Tech Start Date]]&lt;1/1/1990,"",IF(Main[[#This Row],[Class]]="C",WORKDAY(Main[[#This Row],[Tech Start Date]],23),IF(Main[[#This Row],[Class]]="B", WORKDAY(Main[[#This Row],[Tech Start Date]],15),IF(Main[[#This Row],[Class]]="A",WORKDAY(Main[[#This Row],[Tech Start Date]],5),""))))</f>
        <v/>
      </c>
      <c r="P609" s="77" t="str">
        <f>IF(Main[[#This Row],[Tech Start Date]]&lt;1/1/1990,"",IF(Main[[#This Row],[Class]]="C",WORKDAY(Main[[#This Row],[Tech Start Date]],28),IF(Main[[#This Row],[Class]]="B", WORKDAY(Main[[#This Row],[Tech Start Date]],19),IF(Main[[#This Row],[Class]]="A",WORKDAY(Main[[#This Row],[Tech Start Date]],9),""))))</f>
        <v/>
      </c>
      <c r="Q609" s="74"/>
      <c r="R609" s="74"/>
      <c r="S609" s="72" t="s">
        <v>17</v>
      </c>
      <c r="T609" s="80" t="s">
        <v>4</v>
      </c>
      <c r="U609" s="72" t="s">
        <v>7</v>
      </c>
      <c r="V609" s="72" t="s">
        <v>1947</v>
      </c>
      <c r="W609" s="72" t="s">
        <v>1937</v>
      </c>
      <c r="X609" s="72" t="s">
        <v>933</v>
      </c>
      <c r="Y609" s="72" t="s">
        <v>3104</v>
      </c>
      <c r="Z609" s="72" t="s">
        <v>4</v>
      </c>
      <c r="AA609" s="147" t="s">
        <v>918</v>
      </c>
    </row>
    <row r="610" spans="1:27" ht="18.600000000000001" customHeight="1">
      <c r="A610" s="140" t="str">
        <f>IF(priority(Main[[#This Row],[Comments]])&lt;&gt;0, priority(Main[[#This Row],[Comments]]),"")</f>
        <v/>
      </c>
      <c r="B610" s="90" t="s">
        <v>2833</v>
      </c>
      <c r="C610" s="72" t="s">
        <v>2834</v>
      </c>
      <c r="D610" s="73" t="s">
        <v>3368</v>
      </c>
      <c r="E610" s="74">
        <v>40914.604768518519</v>
      </c>
      <c r="F610" s="74">
        <v>40921</v>
      </c>
      <c r="G610" s="75" t="str">
        <f>IF(stdProdLT(Main[[#This Row],[Comments]])=0.1,"N/A",IF(stdProdLT(Main[[#This Row],[Comments]])=0,"",stdProdLT(Main[[#This Row],[Comments]])))</f>
        <v/>
      </c>
      <c r="H610" s="76" t="str">
        <f>IF(AND(Main[[#This Row],[In Stock Date]]&lt;&gt;"",Main[[#This Row],[Revised Due Date]]&lt;&gt;""),Main[[#This Row],[In Stock Date]]-Main[[#This Row],[Revised Due Date]],"")</f>
        <v/>
      </c>
      <c r="I610" s="72" t="s">
        <v>535</v>
      </c>
      <c r="J610" s="72" t="s">
        <v>52</v>
      </c>
      <c r="K610" s="72" t="s">
        <v>1941</v>
      </c>
      <c r="L610" s="74"/>
      <c r="M610" s="77" t="str">
        <f>IF(Main[[#This Row],[Tech Start Date]]&lt;1/1/1990,"",IF(Main[[#This Row],[Class]]="C",WORKDAY(Main[[#This Row],[Tech Start Date]],9),IF(Main[[#This Row],[Class]]="B", WORKDAY(Main[[#This Row],[Tech Start Date]],6),IF(Main[[#This Row],[Class]]="A",WORKDAY(Main[[#This Row],[Tech Start Date]],2),""))))</f>
        <v/>
      </c>
      <c r="N610" s="77" t="str">
        <f>IF(Main[[#This Row],[Tech Start Date]]&lt;1/1/1990,"",IF(Main[[#This Row],[Class]]="C",WORKDAY(Main[[#This Row],[Tech Start Date]],19),IF(Main[[#This Row],[Class]]="B", WORKDAY(Main[[#This Row],[Tech Start Date]],12),IF(Main[[#This Row],[Class]]="A",WORKDAY(Main[[#This Row],[Tech Start Date]],4),""))))</f>
        <v/>
      </c>
      <c r="O610" s="77" t="str">
        <f>IF(Main[[#This Row],[Tech Start Date]]&lt;1/1/1990,"",IF(Main[[#This Row],[Class]]="C",WORKDAY(Main[[#This Row],[Tech Start Date]],23),IF(Main[[#This Row],[Class]]="B", WORKDAY(Main[[#This Row],[Tech Start Date]],15),IF(Main[[#This Row],[Class]]="A",WORKDAY(Main[[#This Row],[Tech Start Date]],5),""))))</f>
        <v/>
      </c>
      <c r="P610" s="77" t="str">
        <f>IF(Main[[#This Row],[Tech Start Date]]&lt;1/1/1990,"",IF(Main[[#This Row],[Class]]="C",WORKDAY(Main[[#This Row],[Tech Start Date]],28),IF(Main[[#This Row],[Class]]="B", WORKDAY(Main[[#This Row],[Tech Start Date]],19),IF(Main[[#This Row],[Class]]="A",WORKDAY(Main[[#This Row],[Tech Start Date]],9),""))))</f>
        <v/>
      </c>
      <c r="Q610" s="74">
        <v>40928</v>
      </c>
      <c r="R610" s="74"/>
      <c r="S610" s="72" t="s">
        <v>6</v>
      </c>
      <c r="T610" s="80" t="s">
        <v>4</v>
      </c>
      <c r="U610" s="72" t="s">
        <v>29</v>
      </c>
      <c r="V610" s="72" t="s">
        <v>1935</v>
      </c>
      <c r="W610" s="72" t="s">
        <v>1934</v>
      </c>
      <c r="X610" s="72" t="s">
        <v>2900</v>
      </c>
      <c r="Y610" s="72" t="s">
        <v>3015</v>
      </c>
      <c r="Z610" s="72" t="s">
        <v>30</v>
      </c>
      <c r="AA610" s="147" t="s">
        <v>2900</v>
      </c>
    </row>
    <row r="611" spans="1:27" ht="18.600000000000001" customHeight="1">
      <c r="A611" s="140" t="str">
        <f>IF(priority(Main[[#This Row],[Comments]])&lt;&gt;0, priority(Main[[#This Row],[Comments]]),"")</f>
        <v/>
      </c>
      <c r="B611" s="90" t="s">
        <v>1465</v>
      </c>
      <c r="C611" s="72" t="s">
        <v>4</v>
      </c>
      <c r="D611" s="73" t="s">
        <v>545</v>
      </c>
      <c r="E611" s="74"/>
      <c r="F611" s="74"/>
      <c r="G611" s="75" t="str">
        <f>IF(stdProdLT(Main[[#This Row],[Comments]])=0.1,"N/A",IF(stdProdLT(Main[[#This Row],[Comments]])=0,"",stdProdLT(Main[[#This Row],[Comments]])))</f>
        <v/>
      </c>
      <c r="H611" s="76" t="str">
        <f>IF(AND(Main[[#This Row],[In Stock Date]]&lt;&gt;"",Main[[#This Row],[Revised Due Date]]&lt;&gt;""),Main[[#This Row],[In Stock Date]]-Main[[#This Row],[Revised Due Date]],"")</f>
        <v/>
      </c>
      <c r="I611" s="72" t="s">
        <v>4</v>
      </c>
      <c r="J611" s="72" t="s">
        <v>4</v>
      </c>
      <c r="K611" s="72" t="s">
        <v>4</v>
      </c>
      <c r="L611" s="74"/>
      <c r="M611" s="77" t="str">
        <f>IF(Main[[#This Row],[Tech Start Date]]&lt;1/1/1990,"",IF(Main[[#This Row],[Class]]="C",WORKDAY(Main[[#This Row],[Tech Start Date]],9),IF(Main[[#This Row],[Class]]="B", WORKDAY(Main[[#This Row],[Tech Start Date]],6),IF(Main[[#This Row],[Class]]="A",WORKDAY(Main[[#This Row],[Tech Start Date]],2),""))))</f>
        <v/>
      </c>
      <c r="N611" s="77" t="str">
        <f>IF(Main[[#This Row],[Tech Start Date]]&lt;1/1/1990,"",IF(Main[[#This Row],[Class]]="C",WORKDAY(Main[[#This Row],[Tech Start Date]],19),IF(Main[[#This Row],[Class]]="B", WORKDAY(Main[[#This Row],[Tech Start Date]],12),IF(Main[[#This Row],[Class]]="A",WORKDAY(Main[[#This Row],[Tech Start Date]],4),""))))</f>
        <v/>
      </c>
      <c r="O611" s="77" t="str">
        <f>IF(Main[[#This Row],[Tech Start Date]]&lt;1/1/1990,"",IF(Main[[#This Row],[Class]]="C",WORKDAY(Main[[#This Row],[Tech Start Date]],23),IF(Main[[#This Row],[Class]]="B", WORKDAY(Main[[#This Row],[Tech Start Date]],15),IF(Main[[#This Row],[Class]]="A",WORKDAY(Main[[#This Row],[Tech Start Date]],5),""))))</f>
        <v/>
      </c>
      <c r="P611" s="77" t="str">
        <f>IF(Main[[#This Row],[Tech Start Date]]&lt;1/1/1990,"",IF(Main[[#This Row],[Class]]="C",WORKDAY(Main[[#This Row],[Tech Start Date]],28),IF(Main[[#This Row],[Class]]="B", WORKDAY(Main[[#This Row],[Tech Start Date]],19),IF(Main[[#This Row],[Class]]="A",WORKDAY(Main[[#This Row],[Tech Start Date]],9),""))))</f>
        <v/>
      </c>
      <c r="Q611" s="74"/>
      <c r="R611" s="74"/>
      <c r="S611" s="72" t="s">
        <v>11</v>
      </c>
      <c r="T611" s="80" t="s">
        <v>4</v>
      </c>
      <c r="U611" s="72" t="s">
        <v>12</v>
      </c>
      <c r="V611" s="72" t="s">
        <v>1932</v>
      </c>
      <c r="W611" s="72" t="s">
        <v>1940</v>
      </c>
      <c r="X611" s="72" t="s">
        <v>918</v>
      </c>
      <c r="Y611" s="72" t="s">
        <v>4</v>
      </c>
      <c r="Z611" s="72" t="s">
        <v>4</v>
      </c>
      <c r="AA611" s="147" t="s">
        <v>4</v>
      </c>
    </row>
    <row r="612" spans="1:27" ht="18.600000000000001" customHeight="1">
      <c r="A612" s="140" t="str">
        <f>IF(priority(Main[[#This Row],[Comments]])&lt;&gt;0, priority(Main[[#This Row],[Comments]]),"")</f>
        <v/>
      </c>
      <c r="B612" s="90" t="s">
        <v>1466</v>
      </c>
      <c r="C612" s="72" t="s">
        <v>288</v>
      </c>
      <c r="D612" s="73" t="s">
        <v>546</v>
      </c>
      <c r="E612" s="74"/>
      <c r="F612" s="74"/>
      <c r="G612" s="75" t="str">
        <f>IF(stdProdLT(Main[[#This Row],[Comments]])=0.1,"N/A",IF(stdProdLT(Main[[#This Row],[Comments]])=0,"",stdProdLT(Main[[#This Row],[Comments]])))</f>
        <v/>
      </c>
      <c r="H612" s="76" t="str">
        <f>IF(AND(Main[[#This Row],[In Stock Date]]&lt;&gt;"",Main[[#This Row],[Revised Due Date]]&lt;&gt;""),Main[[#This Row],[In Stock Date]]-Main[[#This Row],[Revised Due Date]],"")</f>
        <v/>
      </c>
      <c r="I612" s="72" t="s">
        <v>4</v>
      </c>
      <c r="J612" s="72" t="s">
        <v>4</v>
      </c>
      <c r="K612" s="72" t="s">
        <v>4</v>
      </c>
      <c r="L612" s="74"/>
      <c r="M612" s="77" t="str">
        <f>IF(Main[[#This Row],[Tech Start Date]]&lt;1/1/1990,"",IF(Main[[#This Row],[Class]]="C",WORKDAY(Main[[#This Row],[Tech Start Date]],9),IF(Main[[#This Row],[Class]]="B", WORKDAY(Main[[#This Row],[Tech Start Date]],6),IF(Main[[#This Row],[Class]]="A",WORKDAY(Main[[#This Row],[Tech Start Date]],2),""))))</f>
        <v/>
      </c>
      <c r="N612" s="77" t="str">
        <f>IF(Main[[#This Row],[Tech Start Date]]&lt;1/1/1990,"",IF(Main[[#This Row],[Class]]="C",WORKDAY(Main[[#This Row],[Tech Start Date]],19),IF(Main[[#This Row],[Class]]="B", WORKDAY(Main[[#This Row],[Tech Start Date]],12),IF(Main[[#This Row],[Class]]="A",WORKDAY(Main[[#This Row],[Tech Start Date]],4),""))))</f>
        <v/>
      </c>
      <c r="O612" s="77" t="str">
        <f>IF(Main[[#This Row],[Tech Start Date]]&lt;1/1/1990,"",IF(Main[[#This Row],[Class]]="C",WORKDAY(Main[[#This Row],[Tech Start Date]],23),IF(Main[[#This Row],[Class]]="B", WORKDAY(Main[[#This Row],[Tech Start Date]],15),IF(Main[[#This Row],[Class]]="A",WORKDAY(Main[[#This Row],[Tech Start Date]],5),""))))</f>
        <v/>
      </c>
      <c r="P612" s="77" t="str">
        <f>IF(Main[[#This Row],[Tech Start Date]]&lt;1/1/1990,"",IF(Main[[#This Row],[Class]]="C",WORKDAY(Main[[#This Row],[Tech Start Date]],28),IF(Main[[#This Row],[Class]]="B", WORKDAY(Main[[#This Row],[Tech Start Date]],19),IF(Main[[#This Row],[Class]]="A",WORKDAY(Main[[#This Row],[Tech Start Date]],9),""))))</f>
        <v/>
      </c>
      <c r="Q612" s="74">
        <v>40147</v>
      </c>
      <c r="R612" s="74"/>
      <c r="S612" s="72" t="s">
        <v>11</v>
      </c>
      <c r="T612" s="80" t="s">
        <v>4</v>
      </c>
      <c r="U612" s="72" t="s">
        <v>14</v>
      </c>
      <c r="V612" s="72" t="s">
        <v>1942</v>
      </c>
      <c r="W612" s="72" t="s">
        <v>1940</v>
      </c>
      <c r="X612" s="72" t="s">
        <v>2901</v>
      </c>
      <c r="Y612" s="72" t="s">
        <v>4</v>
      </c>
      <c r="Z612" s="72" t="s">
        <v>4</v>
      </c>
      <c r="AA612" s="147" t="s">
        <v>2901</v>
      </c>
    </row>
    <row r="613" spans="1:27" ht="18.600000000000001" customHeight="1">
      <c r="A613" s="140" t="str">
        <f>IF(priority(Main[[#This Row],[Comments]])&lt;&gt;0, priority(Main[[#This Row],[Comments]]),"")</f>
        <v/>
      </c>
      <c r="B613" s="90" t="s">
        <v>1467</v>
      </c>
      <c r="C613" s="72" t="s">
        <v>31</v>
      </c>
      <c r="D613" s="73" t="s">
        <v>547</v>
      </c>
      <c r="E613" s="74"/>
      <c r="F613" s="74">
        <v>40512</v>
      </c>
      <c r="G613" s="75" t="str">
        <f>IF(stdProdLT(Main[[#This Row],[Comments]])=0.1,"N/A",IF(stdProdLT(Main[[#This Row],[Comments]])=0,"",stdProdLT(Main[[#This Row],[Comments]])))</f>
        <v/>
      </c>
      <c r="H613" s="76" t="str">
        <f>IF(AND(Main[[#This Row],[In Stock Date]]&lt;&gt;"",Main[[#This Row],[Revised Due Date]]&lt;&gt;""),Main[[#This Row],[In Stock Date]]-Main[[#This Row],[Revised Due Date]],"")</f>
        <v/>
      </c>
      <c r="I613" s="72" t="s">
        <v>4</v>
      </c>
      <c r="J613" s="72" t="s">
        <v>4</v>
      </c>
      <c r="K613" s="72" t="s">
        <v>4</v>
      </c>
      <c r="L613" s="74"/>
      <c r="M613" s="77" t="str">
        <f>IF(Main[[#This Row],[Tech Start Date]]&lt;1/1/1990,"",IF(Main[[#This Row],[Class]]="C",WORKDAY(Main[[#This Row],[Tech Start Date]],9),IF(Main[[#This Row],[Class]]="B", WORKDAY(Main[[#This Row],[Tech Start Date]],6),IF(Main[[#This Row],[Class]]="A",WORKDAY(Main[[#This Row],[Tech Start Date]],2),""))))</f>
        <v/>
      </c>
      <c r="N613" s="77" t="str">
        <f>IF(Main[[#This Row],[Tech Start Date]]&lt;1/1/1990,"",IF(Main[[#This Row],[Class]]="C",WORKDAY(Main[[#This Row],[Tech Start Date]],19),IF(Main[[#This Row],[Class]]="B", WORKDAY(Main[[#This Row],[Tech Start Date]],12),IF(Main[[#This Row],[Class]]="A",WORKDAY(Main[[#This Row],[Tech Start Date]],4),""))))</f>
        <v/>
      </c>
      <c r="O613" s="77" t="str">
        <f>IF(Main[[#This Row],[Tech Start Date]]&lt;1/1/1990,"",IF(Main[[#This Row],[Class]]="C",WORKDAY(Main[[#This Row],[Tech Start Date]],23),IF(Main[[#This Row],[Class]]="B", WORKDAY(Main[[#This Row],[Tech Start Date]],15),IF(Main[[#This Row],[Class]]="A",WORKDAY(Main[[#This Row],[Tech Start Date]],5),""))))</f>
        <v/>
      </c>
      <c r="P613" s="77" t="str">
        <f>IF(Main[[#This Row],[Tech Start Date]]&lt;1/1/1990,"",IF(Main[[#This Row],[Class]]="C",WORKDAY(Main[[#This Row],[Tech Start Date]],28),IF(Main[[#This Row],[Class]]="B", WORKDAY(Main[[#This Row],[Tech Start Date]],19),IF(Main[[#This Row],[Class]]="A",WORKDAY(Main[[#This Row],[Tech Start Date]],9),""))))</f>
        <v/>
      </c>
      <c r="Q613" s="74">
        <v>40415</v>
      </c>
      <c r="R613" s="74"/>
      <c r="S613" s="72" t="s">
        <v>11</v>
      </c>
      <c r="T613" s="80" t="s">
        <v>4</v>
      </c>
      <c r="U613" s="72" t="s">
        <v>14</v>
      </c>
      <c r="V613" s="72" t="s">
        <v>1935</v>
      </c>
      <c r="W613" s="72" t="s">
        <v>1938</v>
      </c>
      <c r="X613" s="72" t="s">
        <v>2914</v>
      </c>
      <c r="Y613" s="72" t="s">
        <v>3040</v>
      </c>
      <c r="Z613" s="72" t="s">
        <v>4</v>
      </c>
      <c r="AA613" s="147" t="s">
        <v>2914</v>
      </c>
    </row>
    <row r="614" spans="1:27" ht="18.600000000000001" customHeight="1">
      <c r="A614" s="140" t="str">
        <f>IF(priority(Main[[#This Row],[Comments]])&lt;&gt;0, priority(Main[[#This Row],[Comments]]),"")</f>
        <v/>
      </c>
      <c r="B614" s="90" t="s">
        <v>1468</v>
      </c>
      <c r="C614" s="72" t="s">
        <v>548</v>
      </c>
      <c r="D614" s="73" t="s">
        <v>549</v>
      </c>
      <c r="E614" s="74"/>
      <c r="F614" s="74">
        <v>40179</v>
      </c>
      <c r="G614" s="75" t="str">
        <f>IF(stdProdLT(Main[[#This Row],[Comments]])=0.1,"N/A",IF(stdProdLT(Main[[#This Row],[Comments]])=0,"",stdProdLT(Main[[#This Row],[Comments]])))</f>
        <v/>
      </c>
      <c r="H614" s="76" t="str">
        <f>IF(AND(Main[[#This Row],[In Stock Date]]&lt;&gt;"",Main[[#This Row],[Revised Due Date]]&lt;&gt;""),Main[[#This Row],[In Stock Date]]-Main[[#This Row],[Revised Due Date]],"")</f>
        <v/>
      </c>
      <c r="I614" s="72" t="s">
        <v>4</v>
      </c>
      <c r="J614" s="72" t="s">
        <v>4</v>
      </c>
      <c r="K614" s="81" t="s">
        <v>4</v>
      </c>
      <c r="L614" s="74"/>
      <c r="M614" s="77" t="str">
        <f>IF(Main[[#This Row],[Tech Start Date]]&lt;1/1/1990,"",IF(Main[[#This Row],[Class]]="C",WORKDAY(Main[[#This Row],[Tech Start Date]],9),IF(Main[[#This Row],[Class]]="B", WORKDAY(Main[[#This Row],[Tech Start Date]],6),IF(Main[[#This Row],[Class]]="A",WORKDAY(Main[[#This Row],[Tech Start Date]],2),""))))</f>
        <v/>
      </c>
      <c r="N614" s="77" t="str">
        <f>IF(Main[[#This Row],[Tech Start Date]]&lt;1/1/1990,"",IF(Main[[#This Row],[Class]]="C",WORKDAY(Main[[#This Row],[Tech Start Date]],19),IF(Main[[#This Row],[Class]]="B", WORKDAY(Main[[#This Row],[Tech Start Date]],12),IF(Main[[#This Row],[Class]]="A",WORKDAY(Main[[#This Row],[Tech Start Date]],4),""))))</f>
        <v/>
      </c>
      <c r="O614" s="77" t="str">
        <f>IF(Main[[#This Row],[Tech Start Date]]&lt;1/1/1990,"",IF(Main[[#This Row],[Class]]="C",WORKDAY(Main[[#This Row],[Tech Start Date]],23),IF(Main[[#This Row],[Class]]="B", WORKDAY(Main[[#This Row],[Tech Start Date]],15),IF(Main[[#This Row],[Class]]="A",WORKDAY(Main[[#This Row],[Tech Start Date]],5),""))))</f>
        <v/>
      </c>
      <c r="P614" s="77" t="str">
        <f>IF(Main[[#This Row],[Tech Start Date]]&lt;1/1/1990,"",IF(Main[[#This Row],[Class]]="C",WORKDAY(Main[[#This Row],[Tech Start Date]],28),IF(Main[[#This Row],[Class]]="B", WORKDAY(Main[[#This Row],[Tech Start Date]],19),IF(Main[[#This Row],[Class]]="A",WORKDAY(Main[[#This Row],[Tech Start Date]],9),""))))</f>
        <v/>
      </c>
      <c r="Q614" s="74">
        <v>40179</v>
      </c>
      <c r="R614" s="74"/>
      <c r="S614" s="72" t="s">
        <v>11</v>
      </c>
      <c r="T614" s="80" t="s">
        <v>4</v>
      </c>
      <c r="U614" s="72" t="s">
        <v>14</v>
      </c>
      <c r="V614" s="72" t="s">
        <v>1932</v>
      </c>
      <c r="W614" s="72" t="s">
        <v>1940</v>
      </c>
      <c r="X614" s="72" t="s">
        <v>2934</v>
      </c>
      <c r="Y614" s="72" t="s">
        <v>4</v>
      </c>
      <c r="Z614" s="72" t="s">
        <v>4</v>
      </c>
      <c r="AA614" s="147" t="s">
        <v>2934</v>
      </c>
    </row>
    <row r="615" spans="1:27" ht="18.600000000000001" customHeight="1">
      <c r="A615" s="140" t="str">
        <f>IF(priority(Main[[#This Row],[Comments]])&lt;&gt;0, priority(Main[[#This Row],[Comments]]),"")</f>
        <v/>
      </c>
      <c r="B615" s="90" t="s">
        <v>1469</v>
      </c>
      <c r="C615" s="72" t="s">
        <v>4</v>
      </c>
      <c r="D615" s="73" t="s">
        <v>550</v>
      </c>
      <c r="E615" s="74">
        <v>40675.613807870373</v>
      </c>
      <c r="F615" s="74"/>
      <c r="G615" s="75" t="str">
        <f>IF(stdProdLT(Main[[#This Row],[Comments]])=0.1,"N/A",IF(stdProdLT(Main[[#This Row],[Comments]])=0,"",stdProdLT(Main[[#This Row],[Comments]])))</f>
        <v/>
      </c>
      <c r="H615" s="76" t="str">
        <f>IF(AND(Main[[#This Row],[In Stock Date]]&lt;&gt;"",Main[[#This Row],[Revised Due Date]]&lt;&gt;""),Main[[#This Row],[In Stock Date]]-Main[[#This Row],[Revised Due Date]],"")</f>
        <v/>
      </c>
      <c r="I615" s="72" t="s">
        <v>4</v>
      </c>
      <c r="J615" s="72" t="s">
        <v>4</v>
      </c>
      <c r="K615" s="72" t="s">
        <v>4</v>
      </c>
      <c r="L615" s="74"/>
      <c r="M615" s="77" t="str">
        <f>IF(Main[[#This Row],[Tech Start Date]]&lt;1/1/1990,"",IF(Main[[#This Row],[Class]]="C",WORKDAY(Main[[#This Row],[Tech Start Date]],9),IF(Main[[#This Row],[Class]]="B", WORKDAY(Main[[#This Row],[Tech Start Date]],6),IF(Main[[#This Row],[Class]]="A",WORKDAY(Main[[#This Row],[Tech Start Date]],2),""))))</f>
        <v/>
      </c>
      <c r="N615" s="77" t="str">
        <f>IF(Main[[#This Row],[Tech Start Date]]&lt;1/1/1990,"",IF(Main[[#This Row],[Class]]="C",WORKDAY(Main[[#This Row],[Tech Start Date]],19),IF(Main[[#This Row],[Class]]="B", WORKDAY(Main[[#This Row],[Tech Start Date]],12),IF(Main[[#This Row],[Class]]="A",WORKDAY(Main[[#This Row],[Tech Start Date]],4),""))))</f>
        <v/>
      </c>
      <c r="O615" s="77" t="str">
        <f>IF(Main[[#This Row],[Tech Start Date]]&lt;1/1/1990,"",IF(Main[[#This Row],[Class]]="C",WORKDAY(Main[[#This Row],[Tech Start Date]],23),IF(Main[[#This Row],[Class]]="B", WORKDAY(Main[[#This Row],[Tech Start Date]],15),IF(Main[[#This Row],[Class]]="A",WORKDAY(Main[[#This Row],[Tech Start Date]],5),""))))</f>
        <v/>
      </c>
      <c r="P615" s="77" t="str">
        <f>IF(Main[[#This Row],[Tech Start Date]]&lt;1/1/1990,"",IF(Main[[#This Row],[Class]]="C",WORKDAY(Main[[#This Row],[Tech Start Date]],28),IF(Main[[#This Row],[Class]]="B", WORKDAY(Main[[#This Row],[Tech Start Date]],19),IF(Main[[#This Row],[Class]]="A",WORKDAY(Main[[#This Row],[Tech Start Date]],9),""))))</f>
        <v/>
      </c>
      <c r="Q615" s="74">
        <v>40676</v>
      </c>
      <c r="R615" s="74"/>
      <c r="S615" s="72" t="s">
        <v>6</v>
      </c>
      <c r="T615" s="80" t="s">
        <v>4</v>
      </c>
      <c r="U615" s="72" t="s">
        <v>7</v>
      </c>
      <c r="V615" s="72" t="s">
        <v>1932</v>
      </c>
      <c r="W615" s="72" t="s">
        <v>1936</v>
      </c>
      <c r="X615" s="72" t="s">
        <v>126</v>
      </c>
      <c r="Y615" s="72" t="s">
        <v>3120</v>
      </c>
      <c r="Z615" s="72" t="s">
        <v>4</v>
      </c>
      <c r="AA615" s="147" t="s">
        <v>126</v>
      </c>
    </row>
    <row r="616" spans="1:27" ht="18.600000000000001" customHeight="1">
      <c r="A616" s="140" t="str">
        <f>IF(priority(Main[[#This Row],[Comments]])&lt;&gt;0, priority(Main[[#This Row],[Comments]]),"")</f>
        <v/>
      </c>
      <c r="B616" s="90" t="s">
        <v>1470</v>
      </c>
      <c r="C616" s="72" t="s">
        <v>4</v>
      </c>
      <c r="D616" s="73" t="s">
        <v>551</v>
      </c>
      <c r="E616" s="74">
        <v>40519.5781712963</v>
      </c>
      <c r="F616" s="74"/>
      <c r="G616" s="75" t="str">
        <f>IF(stdProdLT(Main[[#This Row],[Comments]])=0.1,"N/A",IF(stdProdLT(Main[[#This Row],[Comments]])=0,"",stdProdLT(Main[[#This Row],[Comments]])))</f>
        <v/>
      </c>
      <c r="H616" s="76" t="str">
        <f>IF(AND(Main[[#This Row],[In Stock Date]]&lt;&gt;"",Main[[#This Row],[Revised Due Date]]&lt;&gt;""),Main[[#This Row],[In Stock Date]]-Main[[#This Row],[Revised Due Date]],"")</f>
        <v/>
      </c>
      <c r="I616" s="72" t="s">
        <v>4</v>
      </c>
      <c r="J616" s="72" t="s">
        <v>28</v>
      </c>
      <c r="K616" s="72" t="s">
        <v>4</v>
      </c>
      <c r="L616" s="74"/>
      <c r="M616" s="77" t="str">
        <f>IF(Main[[#This Row],[Tech Start Date]]&lt;1/1/1990,"",IF(Main[[#This Row],[Class]]="C",WORKDAY(Main[[#This Row],[Tech Start Date]],9),IF(Main[[#This Row],[Class]]="B", WORKDAY(Main[[#This Row],[Tech Start Date]],6),IF(Main[[#This Row],[Class]]="A",WORKDAY(Main[[#This Row],[Tech Start Date]],2),""))))</f>
        <v/>
      </c>
      <c r="N616" s="77" t="str">
        <f>IF(Main[[#This Row],[Tech Start Date]]&lt;1/1/1990,"",IF(Main[[#This Row],[Class]]="C",WORKDAY(Main[[#This Row],[Tech Start Date]],19),IF(Main[[#This Row],[Class]]="B", WORKDAY(Main[[#This Row],[Tech Start Date]],12),IF(Main[[#This Row],[Class]]="A",WORKDAY(Main[[#This Row],[Tech Start Date]],4),""))))</f>
        <v/>
      </c>
      <c r="O616" s="77" t="str">
        <f>IF(Main[[#This Row],[Tech Start Date]]&lt;1/1/1990,"",IF(Main[[#This Row],[Class]]="C",WORKDAY(Main[[#This Row],[Tech Start Date]],23),IF(Main[[#This Row],[Class]]="B", WORKDAY(Main[[#This Row],[Tech Start Date]],15),IF(Main[[#This Row],[Class]]="A",WORKDAY(Main[[#This Row],[Tech Start Date]],5),""))))</f>
        <v/>
      </c>
      <c r="P616" s="77" t="str">
        <f>IF(Main[[#This Row],[Tech Start Date]]&lt;1/1/1990,"",IF(Main[[#This Row],[Class]]="C",WORKDAY(Main[[#This Row],[Tech Start Date]],28),IF(Main[[#This Row],[Class]]="B", WORKDAY(Main[[#This Row],[Tech Start Date]],19),IF(Main[[#This Row],[Class]]="A",WORKDAY(Main[[#This Row],[Tech Start Date]],9),""))))</f>
        <v/>
      </c>
      <c r="Q616" s="74"/>
      <c r="R616" s="155"/>
      <c r="S616" s="72" t="s">
        <v>6</v>
      </c>
      <c r="T616" s="80" t="s">
        <v>4</v>
      </c>
      <c r="U616" s="72" t="s">
        <v>7</v>
      </c>
      <c r="V616" s="72" t="s">
        <v>1932</v>
      </c>
      <c r="W616" s="72" t="s">
        <v>1934</v>
      </c>
      <c r="X616" s="72" t="s">
        <v>2903</v>
      </c>
      <c r="Y616" s="72" t="s">
        <v>3019</v>
      </c>
      <c r="Z616" s="72" t="s">
        <v>129</v>
      </c>
      <c r="AA616" s="147" t="s">
        <v>2903</v>
      </c>
    </row>
    <row r="617" spans="1:27" ht="18.600000000000001" customHeight="1">
      <c r="A617" s="140" t="str">
        <f>IF(priority(Main[[#This Row],[Comments]])&lt;&gt;0, priority(Main[[#This Row],[Comments]]),"")</f>
        <v/>
      </c>
      <c r="B617" s="90" t="s">
        <v>1471</v>
      </c>
      <c r="C617" s="72" t="s">
        <v>552</v>
      </c>
      <c r="D617" s="73" t="s">
        <v>553</v>
      </c>
      <c r="E617" s="74"/>
      <c r="F617" s="74">
        <v>40549</v>
      </c>
      <c r="G617" s="75" t="str">
        <f>IF(stdProdLT(Main[[#This Row],[Comments]])=0.1,"N/A",IF(stdProdLT(Main[[#This Row],[Comments]])=0,"",stdProdLT(Main[[#This Row],[Comments]])))</f>
        <v/>
      </c>
      <c r="H617" s="76" t="str">
        <f>IF(AND(Main[[#This Row],[In Stock Date]]&lt;&gt;"",Main[[#This Row],[Revised Due Date]]&lt;&gt;""),Main[[#This Row],[In Stock Date]]-Main[[#This Row],[Revised Due Date]],"")</f>
        <v/>
      </c>
      <c r="I617" s="72" t="s">
        <v>4</v>
      </c>
      <c r="J617" s="72" t="s">
        <v>4</v>
      </c>
      <c r="K617" s="72" t="s">
        <v>4</v>
      </c>
      <c r="L617" s="74"/>
      <c r="M617" s="77" t="str">
        <f>IF(Main[[#This Row],[Tech Start Date]]&lt;1/1/1990,"",IF(Main[[#This Row],[Class]]="C",WORKDAY(Main[[#This Row],[Tech Start Date]],9),IF(Main[[#This Row],[Class]]="B", WORKDAY(Main[[#This Row],[Tech Start Date]],6),IF(Main[[#This Row],[Class]]="A",WORKDAY(Main[[#This Row],[Tech Start Date]],2),""))))</f>
        <v/>
      </c>
      <c r="N617" s="77" t="str">
        <f>IF(Main[[#This Row],[Tech Start Date]]&lt;1/1/1990,"",IF(Main[[#This Row],[Class]]="C",WORKDAY(Main[[#This Row],[Tech Start Date]],19),IF(Main[[#This Row],[Class]]="B", WORKDAY(Main[[#This Row],[Tech Start Date]],12),IF(Main[[#This Row],[Class]]="A",WORKDAY(Main[[#This Row],[Tech Start Date]],4),""))))</f>
        <v/>
      </c>
      <c r="O617" s="77" t="str">
        <f>IF(Main[[#This Row],[Tech Start Date]]&lt;1/1/1990,"",IF(Main[[#This Row],[Class]]="C",WORKDAY(Main[[#This Row],[Tech Start Date]],23),IF(Main[[#This Row],[Class]]="B", WORKDAY(Main[[#This Row],[Tech Start Date]],15),IF(Main[[#This Row],[Class]]="A",WORKDAY(Main[[#This Row],[Tech Start Date]],5),""))))</f>
        <v/>
      </c>
      <c r="P617" s="77" t="str">
        <f>IF(Main[[#This Row],[Tech Start Date]]&lt;1/1/1990,"",IF(Main[[#This Row],[Class]]="C",WORKDAY(Main[[#This Row],[Tech Start Date]],28),IF(Main[[#This Row],[Class]]="B", WORKDAY(Main[[#This Row],[Tech Start Date]],19),IF(Main[[#This Row],[Class]]="A",WORKDAY(Main[[#This Row],[Tech Start Date]],9),""))))</f>
        <v/>
      </c>
      <c r="Q617" s="74">
        <v>40464</v>
      </c>
      <c r="R617" s="74"/>
      <c r="S617" s="72" t="s">
        <v>11</v>
      </c>
      <c r="T617" s="80" t="s">
        <v>4</v>
      </c>
      <c r="U617" s="72" t="s">
        <v>14</v>
      </c>
      <c r="V617" s="72" t="s">
        <v>1935</v>
      </c>
      <c r="W617" s="72" t="s">
        <v>1938</v>
      </c>
      <c r="X617" s="72" t="s">
        <v>2914</v>
      </c>
      <c r="Y617" s="72" t="s">
        <v>3040</v>
      </c>
      <c r="Z617" s="72" t="s">
        <v>4</v>
      </c>
      <c r="AA617" s="147" t="s">
        <v>2914</v>
      </c>
    </row>
    <row r="618" spans="1:27" ht="18.600000000000001" customHeight="1">
      <c r="A618" s="140" t="str">
        <f>IF(priority(Main[[#This Row],[Comments]])&lt;&gt;0, priority(Main[[#This Row],[Comments]]),"")</f>
        <v/>
      </c>
      <c r="B618" s="90" t="s">
        <v>1479</v>
      </c>
      <c r="C618" s="72" t="s">
        <v>93</v>
      </c>
      <c r="D618" s="73" t="s">
        <v>563</v>
      </c>
      <c r="E618" s="74"/>
      <c r="F618" s="74">
        <v>40299</v>
      </c>
      <c r="G618" s="75" t="str">
        <f>IF(stdProdLT(Main[[#This Row],[Comments]])=0.1,"N/A",IF(stdProdLT(Main[[#This Row],[Comments]])=0,"",stdProdLT(Main[[#This Row],[Comments]])))</f>
        <v/>
      </c>
      <c r="H618" s="76" t="str">
        <f>IF(AND(Main[[#This Row],[In Stock Date]]&lt;&gt;"",Main[[#This Row],[Revised Due Date]]&lt;&gt;""),Main[[#This Row],[In Stock Date]]-Main[[#This Row],[Revised Due Date]],"")</f>
        <v/>
      </c>
      <c r="I618" s="72" t="s">
        <v>4</v>
      </c>
      <c r="J618" s="72" t="s">
        <v>4</v>
      </c>
      <c r="K618" s="72" t="s">
        <v>4</v>
      </c>
      <c r="L618" s="74"/>
      <c r="M618" s="77" t="str">
        <f>IF(Main[[#This Row],[Tech Start Date]]&lt;1/1/1990,"",IF(Main[[#This Row],[Class]]="C",WORKDAY(Main[[#This Row],[Tech Start Date]],9),IF(Main[[#This Row],[Class]]="B", WORKDAY(Main[[#This Row],[Tech Start Date]],6),IF(Main[[#This Row],[Class]]="A",WORKDAY(Main[[#This Row],[Tech Start Date]],2),""))))</f>
        <v/>
      </c>
      <c r="N618" s="77" t="str">
        <f>IF(Main[[#This Row],[Tech Start Date]]&lt;1/1/1990,"",IF(Main[[#This Row],[Class]]="C",WORKDAY(Main[[#This Row],[Tech Start Date]],19),IF(Main[[#This Row],[Class]]="B", WORKDAY(Main[[#This Row],[Tech Start Date]],12),IF(Main[[#This Row],[Class]]="A",WORKDAY(Main[[#This Row],[Tech Start Date]],4),""))))</f>
        <v/>
      </c>
      <c r="O618" s="77" t="str">
        <f>IF(Main[[#This Row],[Tech Start Date]]&lt;1/1/1990,"",IF(Main[[#This Row],[Class]]="C",WORKDAY(Main[[#This Row],[Tech Start Date]],23),IF(Main[[#This Row],[Class]]="B", WORKDAY(Main[[#This Row],[Tech Start Date]],15),IF(Main[[#This Row],[Class]]="A",WORKDAY(Main[[#This Row],[Tech Start Date]],5),""))))</f>
        <v/>
      </c>
      <c r="P618" s="77" t="str">
        <f>IF(Main[[#This Row],[Tech Start Date]]&lt;1/1/1990,"",IF(Main[[#This Row],[Class]]="C",WORKDAY(Main[[#This Row],[Tech Start Date]],28),IF(Main[[#This Row],[Class]]="B", WORKDAY(Main[[#This Row],[Tech Start Date]],19),IF(Main[[#This Row],[Class]]="A",WORKDAY(Main[[#This Row],[Tech Start Date]],9),""))))</f>
        <v/>
      </c>
      <c r="Q618" s="74">
        <v>40171</v>
      </c>
      <c r="R618" s="74"/>
      <c r="S618" s="72" t="s">
        <v>11</v>
      </c>
      <c r="T618" s="80" t="s">
        <v>4</v>
      </c>
      <c r="U618" s="72" t="s">
        <v>14</v>
      </c>
      <c r="V618" s="72" t="s">
        <v>1935</v>
      </c>
      <c r="W618" s="72" t="s">
        <v>1938</v>
      </c>
      <c r="X618" s="72" t="s">
        <v>535</v>
      </c>
      <c r="Y618" s="72" t="s">
        <v>3140</v>
      </c>
      <c r="Z618" s="72" t="s">
        <v>4</v>
      </c>
      <c r="AA618" s="147" t="s">
        <v>3604</v>
      </c>
    </row>
    <row r="619" spans="1:27" ht="18.600000000000001" customHeight="1">
      <c r="A619" s="140" t="str">
        <f>IF(priority(Main[[#This Row],[Comments]])&lt;&gt;0, priority(Main[[#This Row],[Comments]]),"")</f>
        <v/>
      </c>
      <c r="B619" s="124" t="s">
        <v>1480</v>
      </c>
      <c r="C619" s="117" t="s">
        <v>47</v>
      </c>
      <c r="D619" s="118" t="s">
        <v>564</v>
      </c>
      <c r="E619" s="119">
        <v>39937.590590277781</v>
      </c>
      <c r="F619" s="119"/>
      <c r="G619" s="120" t="str">
        <f>IF(stdProdLT(Main[[#This Row],[Comments]])=0.1,"N/A",IF(stdProdLT(Main[[#This Row],[Comments]])=0,"",stdProdLT(Main[[#This Row],[Comments]])))</f>
        <v/>
      </c>
      <c r="H619" s="121" t="str">
        <f>IF(AND(Main[[#This Row],[In Stock Date]]&lt;&gt;"",Main[[#This Row],[Revised Due Date]]&lt;&gt;""),Main[[#This Row],[In Stock Date]]-Main[[#This Row],[Revised Due Date]],"")</f>
        <v/>
      </c>
      <c r="I619" s="117" t="s">
        <v>4</v>
      </c>
      <c r="J619" s="117" t="s">
        <v>4</v>
      </c>
      <c r="K619" s="117" t="s">
        <v>4</v>
      </c>
      <c r="L619" s="119"/>
      <c r="M619" s="122" t="str">
        <f>IF(Main[[#This Row],[Tech Start Date]]&lt;1/1/1990,"",IF(Main[[#This Row],[Class]]="C",WORKDAY(Main[[#This Row],[Tech Start Date]],9),IF(Main[[#This Row],[Class]]="B", WORKDAY(Main[[#This Row],[Tech Start Date]],6),IF(Main[[#This Row],[Class]]="A",WORKDAY(Main[[#This Row],[Tech Start Date]],2),""))))</f>
        <v/>
      </c>
      <c r="N619" s="122" t="str">
        <f>IF(Main[[#This Row],[Tech Start Date]]&lt;1/1/1990,"",IF(Main[[#This Row],[Class]]="C",WORKDAY(Main[[#This Row],[Tech Start Date]],19),IF(Main[[#This Row],[Class]]="B", WORKDAY(Main[[#This Row],[Tech Start Date]],12),IF(Main[[#This Row],[Class]]="A",WORKDAY(Main[[#This Row],[Tech Start Date]],4),""))))</f>
        <v/>
      </c>
      <c r="O619" s="122" t="str">
        <f>IF(Main[[#This Row],[Tech Start Date]]&lt;1/1/1990,"",IF(Main[[#This Row],[Class]]="C",WORKDAY(Main[[#This Row],[Tech Start Date]],23),IF(Main[[#This Row],[Class]]="B", WORKDAY(Main[[#This Row],[Tech Start Date]],15),IF(Main[[#This Row],[Class]]="A",WORKDAY(Main[[#This Row],[Tech Start Date]],5),""))))</f>
        <v/>
      </c>
      <c r="P619" s="122" t="str">
        <f>IF(Main[[#This Row],[Tech Start Date]]&lt;1/1/1990,"",IF(Main[[#This Row],[Class]]="C",WORKDAY(Main[[#This Row],[Tech Start Date]],28),IF(Main[[#This Row],[Class]]="B", WORKDAY(Main[[#This Row],[Tech Start Date]],19),IF(Main[[#This Row],[Class]]="A",WORKDAY(Main[[#This Row],[Tech Start Date]],9),""))))</f>
        <v/>
      </c>
      <c r="Q619" s="119"/>
      <c r="R619" s="119"/>
      <c r="S619" s="117" t="s">
        <v>17</v>
      </c>
      <c r="T619" s="123" t="s">
        <v>4</v>
      </c>
      <c r="U619" s="117" t="s">
        <v>7</v>
      </c>
      <c r="V619" s="117" t="s">
        <v>1935</v>
      </c>
      <c r="W619" s="117" t="s">
        <v>4</v>
      </c>
      <c r="X619" s="117" t="s">
        <v>2911</v>
      </c>
      <c r="Y619" s="117" t="s">
        <v>3035</v>
      </c>
      <c r="Z619" s="117" t="s">
        <v>4</v>
      </c>
      <c r="AA619" s="147" t="s">
        <v>2911</v>
      </c>
    </row>
    <row r="620" spans="1:27" ht="18.600000000000001" customHeight="1">
      <c r="A620" s="140" t="str">
        <f>IF(priority(Main[[#This Row],[Comments]])&lt;&gt;0, priority(Main[[#This Row],[Comments]]),"")</f>
        <v/>
      </c>
      <c r="B620" s="90" t="s">
        <v>1481</v>
      </c>
      <c r="C620" s="72" t="s">
        <v>281</v>
      </c>
      <c r="D620" s="73" t="s">
        <v>565</v>
      </c>
      <c r="E620" s="74"/>
      <c r="F620" s="74">
        <v>40567</v>
      </c>
      <c r="G620" s="75" t="str">
        <f>IF(stdProdLT(Main[[#This Row],[Comments]])=0.1,"N/A",IF(stdProdLT(Main[[#This Row],[Comments]])=0,"",stdProdLT(Main[[#This Row],[Comments]])))</f>
        <v/>
      </c>
      <c r="H620" s="76" t="str">
        <f>IF(AND(Main[[#This Row],[In Stock Date]]&lt;&gt;"",Main[[#This Row],[Revised Due Date]]&lt;&gt;""),Main[[#This Row],[In Stock Date]]-Main[[#This Row],[Revised Due Date]],"")</f>
        <v/>
      </c>
      <c r="I620" s="72" t="s">
        <v>4</v>
      </c>
      <c r="J620" s="72" t="s">
        <v>4</v>
      </c>
      <c r="K620" s="72" t="s">
        <v>4</v>
      </c>
      <c r="L620" s="74"/>
      <c r="M620" s="77" t="str">
        <f>IF(Main[[#This Row],[Tech Start Date]]&lt;1/1/1990,"",IF(Main[[#This Row],[Class]]="C",WORKDAY(Main[[#This Row],[Tech Start Date]],9),IF(Main[[#This Row],[Class]]="B", WORKDAY(Main[[#This Row],[Tech Start Date]],6),IF(Main[[#This Row],[Class]]="A",WORKDAY(Main[[#This Row],[Tech Start Date]],2),""))))</f>
        <v/>
      </c>
      <c r="N620" s="77" t="str">
        <f>IF(Main[[#This Row],[Tech Start Date]]&lt;1/1/1990,"",IF(Main[[#This Row],[Class]]="C",WORKDAY(Main[[#This Row],[Tech Start Date]],19),IF(Main[[#This Row],[Class]]="B", WORKDAY(Main[[#This Row],[Tech Start Date]],12),IF(Main[[#This Row],[Class]]="A",WORKDAY(Main[[#This Row],[Tech Start Date]],4),""))))</f>
        <v/>
      </c>
      <c r="O620" s="77" t="str">
        <f>IF(Main[[#This Row],[Tech Start Date]]&lt;1/1/1990,"",IF(Main[[#This Row],[Class]]="C",WORKDAY(Main[[#This Row],[Tech Start Date]],23),IF(Main[[#This Row],[Class]]="B", WORKDAY(Main[[#This Row],[Tech Start Date]],15),IF(Main[[#This Row],[Class]]="A",WORKDAY(Main[[#This Row],[Tech Start Date]],5),""))))</f>
        <v/>
      </c>
      <c r="P620" s="77" t="str">
        <f>IF(Main[[#This Row],[Tech Start Date]]&lt;1/1/1990,"",IF(Main[[#This Row],[Class]]="C",WORKDAY(Main[[#This Row],[Tech Start Date]],28),IF(Main[[#This Row],[Class]]="B", WORKDAY(Main[[#This Row],[Tech Start Date]],19),IF(Main[[#This Row],[Class]]="A",WORKDAY(Main[[#This Row],[Tech Start Date]],9),""))))</f>
        <v/>
      </c>
      <c r="Q620" s="74">
        <v>40427</v>
      </c>
      <c r="R620" s="74"/>
      <c r="S620" s="72" t="s">
        <v>11</v>
      </c>
      <c r="T620" s="80" t="s">
        <v>4</v>
      </c>
      <c r="U620" s="72" t="s">
        <v>14</v>
      </c>
      <c r="V620" s="72" t="s">
        <v>1932</v>
      </c>
      <c r="W620" s="72" t="s">
        <v>1940</v>
      </c>
      <c r="X620" s="72" t="s">
        <v>2927</v>
      </c>
      <c r="Y620" s="72" t="s">
        <v>4</v>
      </c>
      <c r="Z620" s="72" t="s">
        <v>4</v>
      </c>
      <c r="AA620" s="147" t="s">
        <v>2927</v>
      </c>
    </row>
    <row r="621" spans="1:27" ht="18.600000000000001" customHeight="1">
      <c r="A621" s="140" t="str">
        <f>IF(priority(Main[[#This Row],[Comments]])&lt;&gt;0, priority(Main[[#This Row],[Comments]]),"")</f>
        <v/>
      </c>
      <c r="B621" s="90" t="s">
        <v>1482</v>
      </c>
      <c r="C621" s="72" t="s">
        <v>4</v>
      </c>
      <c r="D621" s="73" t="s">
        <v>566</v>
      </c>
      <c r="E621" s="74">
        <v>40414.808692129627</v>
      </c>
      <c r="F621" s="74"/>
      <c r="G621" s="75" t="str">
        <f>IF(stdProdLT(Main[[#This Row],[Comments]])=0.1,"N/A",IF(stdProdLT(Main[[#This Row],[Comments]])=0,"",stdProdLT(Main[[#This Row],[Comments]])))</f>
        <v/>
      </c>
      <c r="H621" s="76" t="str">
        <f>IF(AND(Main[[#This Row],[In Stock Date]]&lt;&gt;"",Main[[#This Row],[Revised Due Date]]&lt;&gt;""),Main[[#This Row],[In Stock Date]]-Main[[#This Row],[Revised Due Date]],"")</f>
        <v/>
      </c>
      <c r="I621" s="72" t="s">
        <v>4</v>
      </c>
      <c r="J621" s="72" t="s">
        <v>28</v>
      </c>
      <c r="K621" s="72" t="s">
        <v>4</v>
      </c>
      <c r="L621" s="74"/>
      <c r="M621" s="77" t="str">
        <f>IF(Main[[#This Row],[Tech Start Date]]&lt;1/1/1990,"",IF(Main[[#This Row],[Class]]="C",WORKDAY(Main[[#This Row],[Tech Start Date]],9),IF(Main[[#This Row],[Class]]="B", WORKDAY(Main[[#This Row],[Tech Start Date]],6),IF(Main[[#This Row],[Class]]="A",WORKDAY(Main[[#This Row],[Tech Start Date]],2),""))))</f>
        <v/>
      </c>
      <c r="N621" s="77" t="str">
        <f>IF(Main[[#This Row],[Tech Start Date]]&lt;1/1/1990,"",IF(Main[[#This Row],[Class]]="C",WORKDAY(Main[[#This Row],[Tech Start Date]],19),IF(Main[[#This Row],[Class]]="B", WORKDAY(Main[[#This Row],[Tech Start Date]],12),IF(Main[[#This Row],[Class]]="A",WORKDAY(Main[[#This Row],[Tech Start Date]],4),""))))</f>
        <v/>
      </c>
      <c r="O621" s="77" t="str">
        <f>IF(Main[[#This Row],[Tech Start Date]]&lt;1/1/1990,"",IF(Main[[#This Row],[Class]]="C",WORKDAY(Main[[#This Row],[Tech Start Date]],23),IF(Main[[#This Row],[Class]]="B", WORKDAY(Main[[#This Row],[Tech Start Date]],15),IF(Main[[#This Row],[Class]]="A",WORKDAY(Main[[#This Row],[Tech Start Date]],5),""))))</f>
        <v/>
      </c>
      <c r="P621" s="77" t="str">
        <f>IF(Main[[#This Row],[Tech Start Date]]&lt;1/1/1990,"",IF(Main[[#This Row],[Class]]="C",WORKDAY(Main[[#This Row],[Tech Start Date]],28),IF(Main[[#This Row],[Class]]="B", WORKDAY(Main[[#This Row],[Tech Start Date]],19),IF(Main[[#This Row],[Class]]="A",WORKDAY(Main[[#This Row],[Tech Start Date]],9),""))))</f>
        <v/>
      </c>
      <c r="Q621" s="74">
        <v>40429</v>
      </c>
      <c r="R621" s="74"/>
      <c r="S621" s="72" t="s">
        <v>322</v>
      </c>
      <c r="T621" s="80" t="s">
        <v>4</v>
      </c>
      <c r="U621" s="72" t="s">
        <v>7</v>
      </c>
      <c r="V621" s="72" t="s">
        <v>1932</v>
      </c>
      <c r="W621" s="72" t="s">
        <v>1936</v>
      </c>
      <c r="X621" s="72" t="s">
        <v>2905</v>
      </c>
      <c r="Y621" s="72" t="s">
        <v>3023</v>
      </c>
      <c r="Z621" s="72" t="s">
        <v>129</v>
      </c>
      <c r="AA621" s="147" t="s">
        <v>2905</v>
      </c>
    </row>
    <row r="622" spans="1:27" ht="18.600000000000001" customHeight="1">
      <c r="A622" s="140" t="str">
        <f>IF(priority(Main[[#This Row],[Comments]])&lt;&gt;0, priority(Main[[#This Row],[Comments]]),"")</f>
        <v/>
      </c>
      <c r="B622" s="90" t="s">
        <v>1483</v>
      </c>
      <c r="C622" s="72" t="s">
        <v>72</v>
      </c>
      <c r="D622" s="73" t="s">
        <v>554</v>
      </c>
      <c r="E622" s="74"/>
      <c r="F622" s="74">
        <v>40030</v>
      </c>
      <c r="G622" s="75" t="str">
        <f>IF(stdProdLT(Main[[#This Row],[Comments]])=0.1,"N/A",IF(stdProdLT(Main[[#This Row],[Comments]])=0,"",stdProdLT(Main[[#This Row],[Comments]])))</f>
        <v/>
      </c>
      <c r="H622" s="76" t="str">
        <f>IF(AND(Main[[#This Row],[In Stock Date]]&lt;&gt;"",Main[[#This Row],[Revised Due Date]]&lt;&gt;""),Main[[#This Row],[In Stock Date]]-Main[[#This Row],[Revised Due Date]],"")</f>
        <v/>
      </c>
      <c r="I622" s="72" t="s">
        <v>4</v>
      </c>
      <c r="J622" s="72" t="s">
        <v>4</v>
      </c>
      <c r="K622" s="72" t="s">
        <v>4</v>
      </c>
      <c r="L622" s="74"/>
      <c r="M622" s="77" t="str">
        <f>IF(Main[[#This Row],[Tech Start Date]]&lt;1/1/1990,"",IF(Main[[#This Row],[Class]]="C",WORKDAY(Main[[#This Row],[Tech Start Date]],9),IF(Main[[#This Row],[Class]]="B", WORKDAY(Main[[#This Row],[Tech Start Date]],6),IF(Main[[#This Row],[Class]]="A",WORKDAY(Main[[#This Row],[Tech Start Date]],2),""))))</f>
        <v/>
      </c>
      <c r="N622" s="77" t="str">
        <f>IF(Main[[#This Row],[Tech Start Date]]&lt;1/1/1990,"",IF(Main[[#This Row],[Class]]="C",WORKDAY(Main[[#This Row],[Tech Start Date]],19),IF(Main[[#This Row],[Class]]="B", WORKDAY(Main[[#This Row],[Tech Start Date]],12),IF(Main[[#This Row],[Class]]="A",WORKDAY(Main[[#This Row],[Tech Start Date]],4),""))))</f>
        <v/>
      </c>
      <c r="O622" s="77" t="str">
        <f>IF(Main[[#This Row],[Tech Start Date]]&lt;1/1/1990,"",IF(Main[[#This Row],[Class]]="C",WORKDAY(Main[[#This Row],[Tech Start Date]],23),IF(Main[[#This Row],[Class]]="B", WORKDAY(Main[[#This Row],[Tech Start Date]],15),IF(Main[[#This Row],[Class]]="A",WORKDAY(Main[[#This Row],[Tech Start Date]],5),""))))</f>
        <v/>
      </c>
      <c r="P622" s="77" t="str">
        <f>IF(Main[[#This Row],[Tech Start Date]]&lt;1/1/1990,"",IF(Main[[#This Row],[Class]]="C",WORKDAY(Main[[#This Row],[Tech Start Date]],28),IF(Main[[#This Row],[Class]]="B", WORKDAY(Main[[#This Row],[Tech Start Date]],19),IF(Main[[#This Row],[Class]]="A",WORKDAY(Main[[#This Row],[Tech Start Date]],9),""))))</f>
        <v/>
      </c>
      <c r="Q622" s="74">
        <v>39959</v>
      </c>
      <c r="R622" s="74"/>
      <c r="S622" s="72" t="s">
        <v>11</v>
      </c>
      <c r="T622" s="80" t="s">
        <v>4</v>
      </c>
      <c r="U622" s="72" t="s">
        <v>14</v>
      </c>
      <c r="V622" s="72" t="s">
        <v>1942</v>
      </c>
      <c r="W622" s="72" t="s">
        <v>4</v>
      </c>
      <c r="X622" s="72" t="s">
        <v>2908</v>
      </c>
      <c r="Y622" s="72" t="s">
        <v>3030</v>
      </c>
      <c r="Z622" s="72" t="s">
        <v>4</v>
      </c>
      <c r="AA622" s="147" t="s">
        <v>2908</v>
      </c>
    </row>
    <row r="623" spans="1:27" ht="18.600000000000001" customHeight="1">
      <c r="A623" s="140" t="str">
        <f>IF(priority(Main[[#This Row],[Comments]])&lt;&gt;0, priority(Main[[#This Row],[Comments]]),"")</f>
        <v/>
      </c>
      <c r="B623" s="90" t="s">
        <v>1485</v>
      </c>
      <c r="C623" s="72" t="s">
        <v>4</v>
      </c>
      <c r="D623" s="73" t="s">
        <v>555</v>
      </c>
      <c r="E623" s="74"/>
      <c r="F623" s="74"/>
      <c r="G623" s="75" t="str">
        <f>IF(stdProdLT(Main[[#This Row],[Comments]])=0.1,"N/A",IF(stdProdLT(Main[[#This Row],[Comments]])=0,"",stdProdLT(Main[[#This Row],[Comments]])))</f>
        <v/>
      </c>
      <c r="H623" s="76" t="str">
        <f>IF(AND(Main[[#This Row],[In Stock Date]]&lt;&gt;"",Main[[#This Row],[Revised Due Date]]&lt;&gt;""),Main[[#This Row],[In Stock Date]]-Main[[#This Row],[Revised Due Date]],"")</f>
        <v/>
      </c>
      <c r="I623" s="72" t="s">
        <v>4</v>
      </c>
      <c r="J623" s="72" t="s">
        <v>4</v>
      </c>
      <c r="K623" s="72" t="s">
        <v>4</v>
      </c>
      <c r="L623" s="74"/>
      <c r="M623" s="77" t="str">
        <f>IF(Main[[#This Row],[Tech Start Date]]&lt;1/1/1990,"",IF(Main[[#This Row],[Class]]="C",WORKDAY(Main[[#This Row],[Tech Start Date]],9),IF(Main[[#This Row],[Class]]="B", WORKDAY(Main[[#This Row],[Tech Start Date]],6),IF(Main[[#This Row],[Class]]="A",WORKDAY(Main[[#This Row],[Tech Start Date]],2),""))))</f>
        <v/>
      </c>
      <c r="N623" s="77" t="str">
        <f>IF(Main[[#This Row],[Tech Start Date]]&lt;1/1/1990,"",IF(Main[[#This Row],[Class]]="C",WORKDAY(Main[[#This Row],[Tech Start Date]],19),IF(Main[[#This Row],[Class]]="B", WORKDAY(Main[[#This Row],[Tech Start Date]],12),IF(Main[[#This Row],[Class]]="A",WORKDAY(Main[[#This Row],[Tech Start Date]],4),""))))</f>
        <v/>
      </c>
      <c r="O623" s="77" t="str">
        <f>IF(Main[[#This Row],[Tech Start Date]]&lt;1/1/1990,"",IF(Main[[#This Row],[Class]]="C",WORKDAY(Main[[#This Row],[Tech Start Date]],23),IF(Main[[#This Row],[Class]]="B", WORKDAY(Main[[#This Row],[Tech Start Date]],15),IF(Main[[#This Row],[Class]]="A",WORKDAY(Main[[#This Row],[Tech Start Date]],5),""))))</f>
        <v/>
      </c>
      <c r="P623" s="77" t="str">
        <f>IF(Main[[#This Row],[Tech Start Date]]&lt;1/1/1990,"",IF(Main[[#This Row],[Class]]="C",WORKDAY(Main[[#This Row],[Tech Start Date]],28),IF(Main[[#This Row],[Class]]="B", WORKDAY(Main[[#This Row],[Tech Start Date]],19),IF(Main[[#This Row],[Class]]="A",WORKDAY(Main[[#This Row],[Tech Start Date]],9),""))))</f>
        <v/>
      </c>
      <c r="Q623" s="74"/>
      <c r="R623" s="74"/>
      <c r="S623" s="72" t="s">
        <v>6</v>
      </c>
      <c r="T623" s="80" t="s">
        <v>4</v>
      </c>
      <c r="U623" s="72" t="s">
        <v>14</v>
      </c>
      <c r="V623" s="72" t="s">
        <v>1935</v>
      </c>
      <c r="W623" s="72" t="s">
        <v>4</v>
      </c>
      <c r="X623" s="72" t="s">
        <v>2971</v>
      </c>
      <c r="Y623" s="72" t="s">
        <v>3130</v>
      </c>
      <c r="Z623" s="72" t="s">
        <v>4</v>
      </c>
      <c r="AA623" s="147" t="s">
        <v>2971</v>
      </c>
    </row>
    <row r="624" spans="1:27" ht="18.600000000000001" customHeight="1">
      <c r="A624" s="140" t="str">
        <f>IF(priority(Main[[#This Row],[Comments]])&lt;&gt;0, priority(Main[[#This Row],[Comments]]),"")</f>
        <v/>
      </c>
      <c r="B624" s="90" t="s">
        <v>1486</v>
      </c>
      <c r="C624" s="72" t="s">
        <v>33</v>
      </c>
      <c r="D624" s="73" t="s">
        <v>556</v>
      </c>
      <c r="E624" s="74"/>
      <c r="F624" s="74"/>
      <c r="G624" s="75" t="str">
        <f>IF(stdProdLT(Main[[#This Row],[Comments]])=0.1,"N/A",IF(stdProdLT(Main[[#This Row],[Comments]])=0,"",stdProdLT(Main[[#This Row],[Comments]])))</f>
        <v/>
      </c>
      <c r="H624" s="76" t="str">
        <f>IF(AND(Main[[#This Row],[In Stock Date]]&lt;&gt;"",Main[[#This Row],[Revised Due Date]]&lt;&gt;""),Main[[#This Row],[In Stock Date]]-Main[[#This Row],[Revised Due Date]],"")</f>
        <v/>
      </c>
      <c r="I624" s="72" t="s">
        <v>4</v>
      </c>
      <c r="J624" s="72" t="s">
        <v>4</v>
      </c>
      <c r="K624" s="72" t="s">
        <v>4</v>
      </c>
      <c r="L624" s="74"/>
      <c r="M624" s="77" t="str">
        <f>IF(Main[[#This Row],[Tech Start Date]]&lt;1/1/1990,"",IF(Main[[#This Row],[Class]]="C",WORKDAY(Main[[#This Row],[Tech Start Date]],9),IF(Main[[#This Row],[Class]]="B", WORKDAY(Main[[#This Row],[Tech Start Date]],6),IF(Main[[#This Row],[Class]]="A",WORKDAY(Main[[#This Row],[Tech Start Date]],2),""))))</f>
        <v/>
      </c>
      <c r="N624" s="77" t="str">
        <f>IF(Main[[#This Row],[Tech Start Date]]&lt;1/1/1990,"",IF(Main[[#This Row],[Class]]="C",WORKDAY(Main[[#This Row],[Tech Start Date]],19),IF(Main[[#This Row],[Class]]="B", WORKDAY(Main[[#This Row],[Tech Start Date]],12),IF(Main[[#This Row],[Class]]="A",WORKDAY(Main[[#This Row],[Tech Start Date]],4),""))))</f>
        <v/>
      </c>
      <c r="O624" s="77" t="str">
        <f>IF(Main[[#This Row],[Tech Start Date]]&lt;1/1/1990,"",IF(Main[[#This Row],[Class]]="C",WORKDAY(Main[[#This Row],[Tech Start Date]],23),IF(Main[[#This Row],[Class]]="B", WORKDAY(Main[[#This Row],[Tech Start Date]],15),IF(Main[[#This Row],[Class]]="A",WORKDAY(Main[[#This Row],[Tech Start Date]],5),""))))</f>
        <v/>
      </c>
      <c r="P624" s="77" t="str">
        <f>IF(Main[[#This Row],[Tech Start Date]]&lt;1/1/1990,"",IF(Main[[#This Row],[Class]]="C",WORKDAY(Main[[#This Row],[Tech Start Date]],28),IF(Main[[#This Row],[Class]]="B", WORKDAY(Main[[#This Row],[Tech Start Date]],19),IF(Main[[#This Row],[Class]]="A",WORKDAY(Main[[#This Row],[Tech Start Date]],9),""))))</f>
        <v/>
      </c>
      <c r="Q624" s="74">
        <v>40004</v>
      </c>
      <c r="R624" s="74"/>
      <c r="S624" s="72" t="s">
        <v>11</v>
      </c>
      <c r="T624" s="80" t="s">
        <v>4</v>
      </c>
      <c r="U624" s="72" t="s">
        <v>14</v>
      </c>
      <c r="V624" s="72" t="s">
        <v>1932</v>
      </c>
      <c r="W624" s="72" t="s">
        <v>1940</v>
      </c>
      <c r="X624" s="72" t="s">
        <v>2937</v>
      </c>
      <c r="Y624" s="72" t="s">
        <v>3078</v>
      </c>
      <c r="Z624" s="72" t="s">
        <v>4</v>
      </c>
      <c r="AA624" s="147" t="s">
        <v>2937</v>
      </c>
    </row>
    <row r="625" spans="1:27" ht="18.600000000000001" customHeight="1">
      <c r="A625" s="140" t="str">
        <f>IF(priority(Main[[#This Row],[Comments]])&lt;&gt;0, priority(Main[[#This Row],[Comments]]),"")</f>
        <v/>
      </c>
      <c r="B625" s="90" t="s">
        <v>1487</v>
      </c>
      <c r="C625" s="72" t="s">
        <v>557</v>
      </c>
      <c r="D625" s="73" t="s">
        <v>558</v>
      </c>
      <c r="E625" s="74"/>
      <c r="F625" s="74"/>
      <c r="G625" s="75" t="str">
        <f>IF(stdProdLT(Main[[#This Row],[Comments]])=0.1,"N/A",IF(stdProdLT(Main[[#This Row],[Comments]])=0,"",stdProdLT(Main[[#This Row],[Comments]])))</f>
        <v/>
      </c>
      <c r="H625" s="76" t="str">
        <f>IF(AND(Main[[#This Row],[In Stock Date]]&lt;&gt;"",Main[[#This Row],[Revised Due Date]]&lt;&gt;""),Main[[#This Row],[In Stock Date]]-Main[[#This Row],[Revised Due Date]],"")</f>
        <v/>
      </c>
      <c r="I625" s="72" t="s">
        <v>559</v>
      </c>
      <c r="J625" s="72" t="s">
        <v>28</v>
      </c>
      <c r="K625" s="72" t="s">
        <v>4</v>
      </c>
      <c r="L625" s="74"/>
      <c r="M625" s="77" t="str">
        <f>IF(Main[[#This Row],[Tech Start Date]]&lt;1/1/1990,"",IF(Main[[#This Row],[Class]]="C",WORKDAY(Main[[#This Row],[Tech Start Date]],9),IF(Main[[#This Row],[Class]]="B", WORKDAY(Main[[#This Row],[Tech Start Date]],6),IF(Main[[#This Row],[Class]]="A",WORKDAY(Main[[#This Row],[Tech Start Date]],2),""))))</f>
        <v/>
      </c>
      <c r="N625" s="77" t="str">
        <f>IF(Main[[#This Row],[Tech Start Date]]&lt;1/1/1990,"",IF(Main[[#This Row],[Class]]="C",WORKDAY(Main[[#This Row],[Tech Start Date]],19),IF(Main[[#This Row],[Class]]="B", WORKDAY(Main[[#This Row],[Tech Start Date]],12),IF(Main[[#This Row],[Class]]="A",WORKDAY(Main[[#This Row],[Tech Start Date]],4),""))))</f>
        <v/>
      </c>
      <c r="O625" s="77" t="str">
        <f>IF(Main[[#This Row],[Tech Start Date]]&lt;1/1/1990,"",IF(Main[[#This Row],[Class]]="C",WORKDAY(Main[[#This Row],[Tech Start Date]],23),IF(Main[[#This Row],[Class]]="B", WORKDAY(Main[[#This Row],[Tech Start Date]],15),IF(Main[[#This Row],[Class]]="A",WORKDAY(Main[[#This Row],[Tech Start Date]],5),""))))</f>
        <v/>
      </c>
      <c r="P625" s="77" t="str">
        <f>IF(Main[[#This Row],[Tech Start Date]]&lt;1/1/1990,"",IF(Main[[#This Row],[Class]]="C",WORKDAY(Main[[#This Row],[Tech Start Date]],28),IF(Main[[#This Row],[Class]]="B", WORKDAY(Main[[#This Row],[Tech Start Date]],19),IF(Main[[#This Row],[Class]]="A",WORKDAY(Main[[#This Row],[Tech Start Date]],9),""))))</f>
        <v/>
      </c>
      <c r="Q625" s="74">
        <v>40401</v>
      </c>
      <c r="R625" s="74"/>
      <c r="S625" s="72" t="s">
        <v>11</v>
      </c>
      <c r="T625" s="80" t="s">
        <v>4</v>
      </c>
      <c r="U625" s="72" t="s">
        <v>14</v>
      </c>
      <c r="V625" s="72" t="s">
        <v>1942</v>
      </c>
      <c r="W625" s="72" t="s">
        <v>1934</v>
      </c>
      <c r="X625" s="72" t="s">
        <v>2938</v>
      </c>
      <c r="Y625" s="72" t="s">
        <v>3141</v>
      </c>
      <c r="Z625" s="72" t="s">
        <v>535</v>
      </c>
      <c r="AA625" s="147" t="s">
        <v>2938</v>
      </c>
    </row>
    <row r="626" spans="1:27" ht="18.600000000000001" customHeight="1">
      <c r="A626" s="140" t="str">
        <f>IF(priority(Main[[#This Row],[Comments]])&lt;&gt;0, priority(Main[[#This Row],[Comments]]),"")</f>
        <v/>
      </c>
      <c r="B626" s="90" t="s">
        <v>1488</v>
      </c>
      <c r="C626" s="72" t="s">
        <v>4</v>
      </c>
      <c r="D626" s="73" t="s">
        <v>560</v>
      </c>
      <c r="E626" s="74"/>
      <c r="F626" s="74"/>
      <c r="G626" s="75" t="str">
        <f>IF(stdProdLT(Main[[#This Row],[Comments]])=0.1,"N/A",IF(stdProdLT(Main[[#This Row],[Comments]])=0,"",stdProdLT(Main[[#This Row],[Comments]])))</f>
        <v/>
      </c>
      <c r="H626" s="76" t="str">
        <f>IF(AND(Main[[#This Row],[In Stock Date]]&lt;&gt;"",Main[[#This Row],[Revised Due Date]]&lt;&gt;""),Main[[#This Row],[In Stock Date]]-Main[[#This Row],[Revised Due Date]],"")</f>
        <v/>
      </c>
      <c r="I626" s="72" t="s">
        <v>4</v>
      </c>
      <c r="J626" s="72" t="s">
        <v>4</v>
      </c>
      <c r="K626" s="72" t="s">
        <v>4</v>
      </c>
      <c r="L626" s="74"/>
      <c r="M626" s="77" t="str">
        <f>IF(Main[[#This Row],[Tech Start Date]]&lt;1/1/1990,"",IF(Main[[#This Row],[Class]]="C",WORKDAY(Main[[#This Row],[Tech Start Date]],9),IF(Main[[#This Row],[Class]]="B", WORKDAY(Main[[#This Row],[Tech Start Date]],6),IF(Main[[#This Row],[Class]]="A",WORKDAY(Main[[#This Row],[Tech Start Date]],2),""))))</f>
        <v/>
      </c>
      <c r="N626" s="77" t="str">
        <f>IF(Main[[#This Row],[Tech Start Date]]&lt;1/1/1990,"",IF(Main[[#This Row],[Class]]="C",WORKDAY(Main[[#This Row],[Tech Start Date]],19),IF(Main[[#This Row],[Class]]="B", WORKDAY(Main[[#This Row],[Tech Start Date]],12),IF(Main[[#This Row],[Class]]="A",WORKDAY(Main[[#This Row],[Tech Start Date]],4),""))))</f>
        <v/>
      </c>
      <c r="O626" s="77" t="str">
        <f>IF(Main[[#This Row],[Tech Start Date]]&lt;1/1/1990,"",IF(Main[[#This Row],[Class]]="C",WORKDAY(Main[[#This Row],[Tech Start Date]],23),IF(Main[[#This Row],[Class]]="B", WORKDAY(Main[[#This Row],[Tech Start Date]],15),IF(Main[[#This Row],[Class]]="A",WORKDAY(Main[[#This Row],[Tech Start Date]],5),""))))</f>
        <v/>
      </c>
      <c r="P626" s="77" t="str">
        <f>IF(Main[[#This Row],[Tech Start Date]]&lt;1/1/1990,"",IF(Main[[#This Row],[Class]]="C",WORKDAY(Main[[#This Row],[Tech Start Date]],28),IF(Main[[#This Row],[Class]]="B", WORKDAY(Main[[#This Row],[Tech Start Date]],19),IF(Main[[#This Row],[Class]]="A",WORKDAY(Main[[#This Row],[Tech Start Date]],9),""))))</f>
        <v/>
      </c>
      <c r="Q626" s="74">
        <v>40385</v>
      </c>
      <c r="R626" s="74"/>
      <c r="S626" s="72" t="s">
        <v>6</v>
      </c>
      <c r="T626" s="80" t="s">
        <v>4</v>
      </c>
      <c r="U626" s="72" t="s">
        <v>14</v>
      </c>
      <c r="V626" s="72" t="s">
        <v>1932</v>
      </c>
      <c r="W626" s="72" t="s">
        <v>1934</v>
      </c>
      <c r="X626" s="72" t="s">
        <v>102</v>
      </c>
      <c r="Y626" s="72" t="s">
        <v>3119</v>
      </c>
      <c r="Z626" s="72" t="s">
        <v>4</v>
      </c>
      <c r="AA626" s="147" t="s">
        <v>3584</v>
      </c>
    </row>
    <row r="627" spans="1:27" ht="18.600000000000001" customHeight="1">
      <c r="A627" s="140" t="str">
        <f>IF(priority(Main[[#This Row],[Comments]])&lt;&gt;0, priority(Main[[#This Row],[Comments]]),"")</f>
        <v/>
      </c>
      <c r="B627" s="90" t="s">
        <v>1490</v>
      </c>
      <c r="C627" s="72" t="s">
        <v>4</v>
      </c>
      <c r="D627" s="73" t="s">
        <v>97</v>
      </c>
      <c r="E627" s="74"/>
      <c r="F627" s="74"/>
      <c r="G627" s="75" t="str">
        <f>IF(stdProdLT(Main[[#This Row],[Comments]])=0.1,"N/A",IF(stdProdLT(Main[[#This Row],[Comments]])=0,"",stdProdLT(Main[[#This Row],[Comments]])))</f>
        <v/>
      </c>
      <c r="H627" s="76" t="str">
        <f>IF(AND(Main[[#This Row],[In Stock Date]]&lt;&gt;"",Main[[#This Row],[Revised Due Date]]&lt;&gt;""),Main[[#This Row],[In Stock Date]]-Main[[#This Row],[Revised Due Date]],"")</f>
        <v/>
      </c>
      <c r="I627" s="72" t="s">
        <v>4</v>
      </c>
      <c r="J627" s="72" t="s">
        <v>4</v>
      </c>
      <c r="K627" s="72" t="s">
        <v>4</v>
      </c>
      <c r="L627" s="74"/>
      <c r="M627" s="77" t="str">
        <f>IF(Main[[#This Row],[Tech Start Date]]&lt;1/1/1990,"",IF(Main[[#This Row],[Class]]="C",WORKDAY(Main[[#This Row],[Tech Start Date]],9),IF(Main[[#This Row],[Class]]="B", WORKDAY(Main[[#This Row],[Tech Start Date]],6),IF(Main[[#This Row],[Class]]="A",WORKDAY(Main[[#This Row],[Tech Start Date]],2),""))))</f>
        <v/>
      </c>
      <c r="N627" s="77" t="str">
        <f>IF(Main[[#This Row],[Tech Start Date]]&lt;1/1/1990,"",IF(Main[[#This Row],[Class]]="C",WORKDAY(Main[[#This Row],[Tech Start Date]],19),IF(Main[[#This Row],[Class]]="B", WORKDAY(Main[[#This Row],[Tech Start Date]],12),IF(Main[[#This Row],[Class]]="A",WORKDAY(Main[[#This Row],[Tech Start Date]],4),""))))</f>
        <v/>
      </c>
      <c r="O627" s="77" t="str">
        <f>IF(Main[[#This Row],[Tech Start Date]]&lt;1/1/1990,"",IF(Main[[#This Row],[Class]]="C",WORKDAY(Main[[#This Row],[Tech Start Date]],23),IF(Main[[#This Row],[Class]]="B", WORKDAY(Main[[#This Row],[Tech Start Date]],15),IF(Main[[#This Row],[Class]]="A",WORKDAY(Main[[#This Row],[Tech Start Date]],5),""))))</f>
        <v/>
      </c>
      <c r="P627" s="77" t="str">
        <f>IF(Main[[#This Row],[Tech Start Date]]&lt;1/1/1990,"",IF(Main[[#This Row],[Class]]="C",WORKDAY(Main[[#This Row],[Tech Start Date]],28),IF(Main[[#This Row],[Class]]="B", WORKDAY(Main[[#This Row],[Tech Start Date]],19),IF(Main[[#This Row],[Class]]="A",WORKDAY(Main[[#This Row],[Tech Start Date]],9),""))))</f>
        <v/>
      </c>
      <c r="Q627" s="74">
        <v>40858</v>
      </c>
      <c r="R627" s="74"/>
      <c r="S627" s="72" t="s">
        <v>17</v>
      </c>
      <c r="T627" s="80" t="s">
        <v>4</v>
      </c>
      <c r="U627" s="72" t="s">
        <v>14</v>
      </c>
      <c r="V627" s="72" t="s">
        <v>1932</v>
      </c>
      <c r="W627" s="72" t="s">
        <v>1937</v>
      </c>
      <c r="X627" s="72" t="s">
        <v>50</v>
      </c>
      <c r="Y627" s="72" t="s">
        <v>3046</v>
      </c>
      <c r="Z627" s="72" t="s">
        <v>4</v>
      </c>
      <c r="AA627" s="147" t="s">
        <v>2912</v>
      </c>
    </row>
    <row r="628" spans="1:27" ht="18.600000000000001" customHeight="1">
      <c r="A628" s="140" t="str">
        <f>IF(priority(Main[[#This Row],[Comments]])&lt;&gt;0, priority(Main[[#This Row],[Comments]]),"")</f>
        <v/>
      </c>
      <c r="B628" s="90" t="s">
        <v>1491</v>
      </c>
      <c r="C628" s="72" t="s">
        <v>4</v>
      </c>
      <c r="D628" s="73" t="s">
        <v>561</v>
      </c>
      <c r="E628" s="74">
        <v>40382.376319444447</v>
      </c>
      <c r="F628" s="74"/>
      <c r="G628" s="75" t="str">
        <f>IF(stdProdLT(Main[[#This Row],[Comments]])=0.1,"N/A",IF(stdProdLT(Main[[#This Row],[Comments]])=0,"",stdProdLT(Main[[#This Row],[Comments]])))</f>
        <v/>
      </c>
      <c r="H628" s="76" t="str">
        <f>IF(AND(Main[[#This Row],[In Stock Date]]&lt;&gt;"",Main[[#This Row],[Revised Due Date]]&lt;&gt;""),Main[[#This Row],[In Stock Date]]-Main[[#This Row],[Revised Due Date]],"")</f>
        <v/>
      </c>
      <c r="I628" s="72" t="s">
        <v>4</v>
      </c>
      <c r="J628" s="72" t="s">
        <v>4</v>
      </c>
      <c r="K628" s="72" t="s">
        <v>4</v>
      </c>
      <c r="L628" s="74"/>
      <c r="M628" s="77" t="str">
        <f>IF(Main[[#This Row],[Tech Start Date]]&lt;1/1/1990,"",IF(Main[[#This Row],[Class]]="C",WORKDAY(Main[[#This Row],[Tech Start Date]],9),IF(Main[[#This Row],[Class]]="B", WORKDAY(Main[[#This Row],[Tech Start Date]],6),IF(Main[[#This Row],[Class]]="A",WORKDAY(Main[[#This Row],[Tech Start Date]],2),""))))</f>
        <v/>
      </c>
      <c r="N628" s="77" t="str">
        <f>IF(Main[[#This Row],[Tech Start Date]]&lt;1/1/1990,"",IF(Main[[#This Row],[Class]]="C",WORKDAY(Main[[#This Row],[Tech Start Date]],19),IF(Main[[#This Row],[Class]]="B", WORKDAY(Main[[#This Row],[Tech Start Date]],12),IF(Main[[#This Row],[Class]]="A",WORKDAY(Main[[#This Row],[Tech Start Date]],4),""))))</f>
        <v/>
      </c>
      <c r="O628" s="77" t="str">
        <f>IF(Main[[#This Row],[Tech Start Date]]&lt;1/1/1990,"",IF(Main[[#This Row],[Class]]="C",WORKDAY(Main[[#This Row],[Tech Start Date]],23),IF(Main[[#This Row],[Class]]="B", WORKDAY(Main[[#This Row],[Tech Start Date]],15),IF(Main[[#This Row],[Class]]="A",WORKDAY(Main[[#This Row],[Tech Start Date]],5),""))))</f>
        <v/>
      </c>
      <c r="P628" s="77" t="str">
        <f>IF(Main[[#This Row],[Tech Start Date]]&lt;1/1/1990,"",IF(Main[[#This Row],[Class]]="C",WORKDAY(Main[[#This Row],[Tech Start Date]],28),IF(Main[[#This Row],[Class]]="B", WORKDAY(Main[[#This Row],[Tech Start Date]],19),IF(Main[[#This Row],[Class]]="A",WORKDAY(Main[[#This Row],[Tech Start Date]],9),""))))</f>
        <v/>
      </c>
      <c r="Q628" s="74">
        <v>40451</v>
      </c>
      <c r="R628" s="74"/>
      <c r="S628" s="72" t="s">
        <v>6</v>
      </c>
      <c r="T628" s="80" t="s">
        <v>4</v>
      </c>
      <c r="U628" s="72" t="s">
        <v>7</v>
      </c>
      <c r="V628" s="72" t="s">
        <v>1932</v>
      </c>
      <c r="W628" s="72" t="s">
        <v>4</v>
      </c>
      <c r="X628" s="72" t="s">
        <v>2971</v>
      </c>
      <c r="Y628" s="72" t="s">
        <v>3130</v>
      </c>
      <c r="Z628" s="72" t="s">
        <v>4</v>
      </c>
      <c r="AA628" s="147" t="s">
        <v>2971</v>
      </c>
    </row>
    <row r="629" spans="1:27" ht="18.600000000000001" customHeight="1">
      <c r="A629" s="140" t="str">
        <f>IF(priority(Main[[#This Row],[Comments]])&lt;&gt;0, priority(Main[[#This Row],[Comments]]),"")</f>
        <v/>
      </c>
      <c r="B629" s="90" t="s">
        <v>1492</v>
      </c>
      <c r="C629" s="72" t="s">
        <v>183</v>
      </c>
      <c r="D629" s="73" t="s">
        <v>562</v>
      </c>
      <c r="E629" s="74"/>
      <c r="F629" s="74">
        <v>40389</v>
      </c>
      <c r="G629" s="75" t="str">
        <f>IF(stdProdLT(Main[[#This Row],[Comments]])=0.1,"N/A",IF(stdProdLT(Main[[#This Row],[Comments]])=0,"",stdProdLT(Main[[#This Row],[Comments]])))</f>
        <v/>
      </c>
      <c r="H629" s="76" t="str">
        <f>IF(AND(Main[[#This Row],[In Stock Date]]&lt;&gt;"",Main[[#This Row],[Revised Due Date]]&lt;&gt;""),Main[[#This Row],[In Stock Date]]-Main[[#This Row],[Revised Due Date]],"")</f>
        <v/>
      </c>
      <c r="I629" s="72" t="s">
        <v>4</v>
      </c>
      <c r="J629" s="72" t="s">
        <v>4</v>
      </c>
      <c r="K629" s="72" t="s">
        <v>4</v>
      </c>
      <c r="L629" s="74"/>
      <c r="M629" s="77" t="str">
        <f>IF(Main[[#This Row],[Tech Start Date]]&lt;1/1/1990,"",IF(Main[[#This Row],[Class]]="C",WORKDAY(Main[[#This Row],[Tech Start Date]],9),IF(Main[[#This Row],[Class]]="B", WORKDAY(Main[[#This Row],[Tech Start Date]],6),IF(Main[[#This Row],[Class]]="A",WORKDAY(Main[[#This Row],[Tech Start Date]],2),""))))</f>
        <v/>
      </c>
      <c r="N629" s="77" t="str">
        <f>IF(Main[[#This Row],[Tech Start Date]]&lt;1/1/1990,"",IF(Main[[#This Row],[Class]]="C",WORKDAY(Main[[#This Row],[Tech Start Date]],19),IF(Main[[#This Row],[Class]]="B", WORKDAY(Main[[#This Row],[Tech Start Date]],12),IF(Main[[#This Row],[Class]]="A",WORKDAY(Main[[#This Row],[Tech Start Date]],4),""))))</f>
        <v/>
      </c>
      <c r="O629" s="77" t="str">
        <f>IF(Main[[#This Row],[Tech Start Date]]&lt;1/1/1990,"",IF(Main[[#This Row],[Class]]="C",WORKDAY(Main[[#This Row],[Tech Start Date]],23),IF(Main[[#This Row],[Class]]="B", WORKDAY(Main[[#This Row],[Tech Start Date]],15),IF(Main[[#This Row],[Class]]="A",WORKDAY(Main[[#This Row],[Tech Start Date]],5),""))))</f>
        <v/>
      </c>
      <c r="P629" s="77" t="str">
        <f>IF(Main[[#This Row],[Tech Start Date]]&lt;1/1/1990,"",IF(Main[[#This Row],[Class]]="C",WORKDAY(Main[[#This Row],[Tech Start Date]],28),IF(Main[[#This Row],[Class]]="B", WORKDAY(Main[[#This Row],[Tech Start Date]],19),IF(Main[[#This Row],[Class]]="A",WORKDAY(Main[[#This Row],[Tech Start Date]],9),""))))</f>
        <v/>
      </c>
      <c r="Q629" s="74">
        <v>40298</v>
      </c>
      <c r="R629" s="74"/>
      <c r="S629" s="72" t="s">
        <v>11</v>
      </c>
      <c r="T629" s="80" t="s">
        <v>4</v>
      </c>
      <c r="U629" s="72" t="s">
        <v>14</v>
      </c>
      <c r="V629" s="72" t="s">
        <v>1932</v>
      </c>
      <c r="W629" s="72" t="s">
        <v>1938</v>
      </c>
      <c r="X629" s="72" t="s">
        <v>2908</v>
      </c>
      <c r="Y629" s="72" t="s">
        <v>3030</v>
      </c>
      <c r="Z629" s="72" t="s">
        <v>4</v>
      </c>
      <c r="AA629" s="147" t="s">
        <v>2908</v>
      </c>
    </row>
    <row r="630" spans="1:27" ht="18.600000000000001" customHeight="1">
      <c r="A630" s="140" t="str">
        <f>IF(priority(Main[[#This Row],[Comments]])&lt;&gt;0, priority(Main[[#This Row],[Comments]]),"")</f>
        <v/>
      </c>
      <c r="B630" s="90" t="s">
        <v>2775</v>
      </c>
      <c r="C630" s="72" t="s">
        <v>2776</v>
      </c>
      <c r="D630" s="73" t="s">
        <v>2777</v>
      </c>
      <c r="E630" s="74">
        <v>40939.438969907409</v>
      </c>
      <c r="F630" s="74"/>
      <c r="G630" s="75" t="str">
        <f>IF(stdProdLT(Main[[#This Row],[Comments]])=0.1,"N/A",IF(stdProdLT(Main[[#This Row],[Comments]])=0,"",stdProdLT(Main[[#This Row],[Comments]])))</f>
        <v/>
      </c>
      <c r="H630" s="76" t="str">
        <f>IF(AND(Main[[#This Row],[In Stock Date]]&lt;&gt;"",Main[[#This Row],[Revised Due Date]]&lt;&gt;""),Main[[#This Row],[In Stock Date]]-Main[[#This Row],[Revised Due Date]],"")</f>
        <v/>
      </c>
      <c r="I630" s="72" t="s">
        <v>4</v>
      </c>
      <c r="J630" s="72" t="s">
        <v>4</v>
      </c>
      <c r="K630" s="72" t="s">
        <v>4</v>
      </c>
      <c r="L630" s="74"/>
      <c r="M630" s="77" t="str">
        <f>IF(Main[[#This Row],[Tech Start Date]]&lt;1/1/1990,"",IF(Main[[#This Row],[Class]]="C",WORKDAY(Main[[#This Row],[Tech Start Date]],9),IF(Main[[#This Row],[Class]]="B", WORKDAY(Main[[#This Row],[Tech Start Date]],6),IF(Main[[#This Row],[Class]]="A",WORKDAY(Main[[#This Row],[Tech Start Date]],2),""))))</f>
        <v/>
      </c>
      <c r="N630" s="77" t="str">
        <f>IF(Main[[#This Row],[Tech Start Date]]&lt;1/1/1990,"",IF(Main[[#This Row],[Class]]="C",WORKDAY(Main[[#This Row],[Tech Start Date]],19),IF(Main[[#This Row],[Class]]="B", WORKDAY(Main[[#This Row],[Tech Start Date]],12),IF(Main[[#This Row],[Class]]="A",WORKDAY(Main[[#This Row],[Tech Start Date]],4),""))))</f>
        <v/>
      </c>
      <c r="O630" s="77" t="str">
        <f>IF(Main[[#This Row],[Tech Start Date]]&lt;1/1/1990,"",IF(Main[[#This Row],[Class]]="C",WORKDAY(Main[[#This Row],[Tech Start Date]],23),IF(Main[[#This Row],[Class]]="B", WORKDAY(Main[[#This Row],[Tech Start Date]],15),IF(Main[[#This Row],[Class]]="A",WORKDAY(Main[[#This Row],[Tech Start Date]],5),""))))</f>
        <v/>
      </c>
      <c r="P630" s="77" t="str">
        <f>IF(Main[[#This Row],[Tech Start Date]]&lt;1/1/1990,"",IF(Main[[#This Row],[Class]]="C",WORKDAY(Main[[#This Row],[Tech Start Date]],28),IF(Main[[#This Row],[Class]]="B", WORKDAY(Main[[#This Row],[Tech Start Date]],19),IF(Main[[#This Row],[Class]]="A",WORKDAY(Main[[#This Row],[Tech Start Date]],9),""))))</f>
        <v/>
      </c>
      <c r="Q630" s="74"/>
      <c r="R630" s="74"/>
      <c r="S630" s="72" t="s">
        <v>11</v>
      </c>
      <c r="T630" s="80" t="s">
        <v>4</v>
      </c>
      <c r="U630" s="72" t="s">
        <v>7</v>
      </c>
      <c r="V630" s="72" t="s">
        <v>1935</v>
      </c>
      <c r="W630" s="72" t="s">
        <v>1937</v>
      </c>
      <c r="X630" s="72" t="s">
        <v>2977</v>
      </c>
      <c r="Y630" s="72" t="s">
        <v>3142</v>
      </c>
      <c r="Z630" s="72" t="s">
        <v>4</v>
      </c>
      <c r="AA630" s="147" t="s">
        <v>2977</v>
      </c>
    </row>
    <row r="631" spans="1:27" ht="18.600000000000001" customHeight="1">
      <c r="A631" s="140" t="str">
        <f>IF(priority(Main[[#This Row],[Comments]])&lt;&gt;0, priority(Main[[#This Row],[Comments]]),"")</f>
        <v/>
      </c>
      <c r="B631" s="90" t="s">
        <v>1494</v>
      </c>
      <c r="C631" s="72" t="s">
        <v>578</v>
      </c>
      <c r="D631" s="73" t="s">
        <v>579</v>
      </c>
      <c r="E631" s="74"/>
      <c r="F631" s="74"/>
      <c r="G631" s="75" t="str">
        <f>IF(stdProdLT(Main[[#This Row],[Comments]])=0.1,"N/A",IF(stdProdLT(Main[[#This Row],[Comments]])=0,"",stdProdLT(Main[[#This Row],[Comments]])))</f>
        <v/>
      </c>
      <c r="H631" s="76" t="str">
        <f>IF(AND(Main[[#This Row],[In Stock Date]]&lt;&gt;"",Main[[#This Row],[Revised Due Date]]&lt;&gt;""),Main[[#This Row],[In Stock Date]]-Main[[#This Row],[Revised Due Date]],"")</f>
        <v/>
      </c>
      <c r="I631" s="72" t="s">
        <v>4</v>
      </c>
      <c r="J631" s="72" t="s">
        <v>4</v>
      </c>
      <c r="K631" s="72" t="s">
        <v>4</v>
      </c>
      <c r="L631" s="74"/>
      <c r="M631" s="77" t="str">
        <f>IF(Main[[#This Row],[Tech Start Date]]&lt;1/1/1990,"",IF(Main[[#This Row],[Class]]="C",WORKDAY(Main[[#This Row],[Tech Start Date]],9),IF(Main[[#This Row],[Class]]="B", WORKDAY(Main[[#This Row],[Tech Start Date]],6),IF(Main[[#This Row],[Class]]="A",WORKDAY(Main[[#This Row],[Tech Start Date]],2),""))))</f>
        <v/>
      </c>
      <c r="N631" s="77" t="str">
        <f>IF(Main[[#This Row],[Tech Start Date]]&lt;1/1/1990,"",IF(Main[[#This Row],[Class]]="C",WORKDAY(Main[[#This Row],[Tech Start Date]],19),IF(Main[[#This Row],[Class]]="B", WORKDAY(Main[[#This Row],[Tech Start Date]],12),IF(Main[[#This Row],[Class]]="A",WORKDAY(Main[[#This Row],[Tech Start Date]],4),""))))</f>
        <v/>
      </c>
      <c r="O631" s="77" t="str">
        <f>IF(Main[[#This Row],[Tech Start Date]]&lt;1/1/1990,"",IF(Main[[#This Row],[Class]]="C",WORKDAY(Main[[#This Row],[Tech Start Date]],23),IF(Main[[#This Row],[Class]]="B", WORKDAY(Main[[#This Row],[Tech Start Date]],15),IF(Main[[#This Row],[Class]]="A",WORKDAY(Main[[#This Row],[Tech Start Date]],5),""))))</f>
        <v/>
      </c>
      <c r="P631" s="77" t="str">
        <f>IF(Main[[#This Row],[Tech Start Date]]&lt;1/1/1990,"",IF(Main[[#This Row],[Class]]="C",WORKDAY(Main[[#This Row],[Tech Start Date]],28),IF(Main[[#This Row],[Class]]="B", WORKDAY(Main[[#This Row],[Tech Start Date]],19),IF(Main[[#This Row],[Class]]="A",WORKDAY(Main[[#This Row],[Tech Start Date]],9),""))))</f>
        <v/>
      </c>
      <c r="Q631" s="74">
        <v>40473</v>
      </c>
      <c r="R631" s="74"/>
      <c r="S631" s="72" t="s">
        <v>11</v>
      </c>
      <c r="T631" s="80" t="s">
        <v>4</v>
      </c>
      <c r="U631" s="72" t="s">
        <v>14</v>
      </c>
      <c r="V631" s="72" t="s">
        <v>1935</v>
      </c>
      <c r="W631" s="72" t="s">
        <v>1934</v>
      </c>
      <c r="X631" s="72" t="s">
        <v>559</v>
      </c>
      <c r="Y631" s="72" t="s">
        <v>4</v>
      </c>
      <c r="Z631" s="72" t="s">
        <v>4</v>
      </c>
      <c r="AA631" s="147" t="s">
        <v>559</v>
      </c>
    </row>
    <row r="632" spans="1:27" ht="18.600000000000001" customHeight="1">
      <c r="A632" s="140" t="str">
        <f>IF(priority(Main[[#This Row],[Comments]])&lt;&gt;0, priority(Main[[#This Row],[Comments]]),"")</f>
        <v/>
      </c>
      <c r="B632" s="90" t="s">
        <v>1495</v>
      </c>
      <c r="C632" s="72" t="s">
        <v>4</v>
      </c>
      <c r="D632" s="73" t="s">
        <v>580</v>
      </c>
      <c r="E632" s="74">
        <v>40463.687627314815</v>
      </c>
      <c r="F632" s="74"/>
      <c r="G632" s="75" t="str">
        <f>IF(stdProdLT(Main[[#This Row],[Comments]])=0.1,"N/A",IF(stdProdLT(Main[[#This Row],[Comments]])=0,"",stdProdLT(Main[[#This Row],[Comments]])))</f>
        <v/>
      </c>
      <c r="H632" s="76" t="str">
        <f>IF(AND(Main[[#This Row],[In Stock Date]]&lt;&gt;"",Main[[#This Row],[Revised Due Date]]&lt;&gt;""),Main[[#This Row],[In Stock Date]]-Main[[#This Row],[Revised Due Date]],"")</f>
        <v/>
      </c>
      <c r="I632" s="72" t="s">
        <v>4</v>
      </c>
      <c r="J632" s="72" t="s">
        <v>28</v>
      </c>
      <c r="K632" s="72" t="s">
        <v>4</v>
      </c>
      <c r="L632" s="74"/>
      <c r="M632" s="77" t="str">
        <f>IF(Main[[#This Row],[Tech Start Date]]&lt;1/1/1990,"",IF(Main[[#This Row],[Class]]="C",WORKDAY(Main[[#This Row],[Tech Start Date]],9),IF(Main[[#This Row],[Class]]="B", WORKDAY(Main[[#This Row],[Tech Start Date]],6),IF(Main[[#This Row],[Class]]="A",WORKDAY(Main[[#This Row],[Tech Start Date]],2),""))))</f>
        <v/>
      </c>
      <c r="N632" s="77" t="str">
        <f>IF(Main[[#This Row],[Tech Start Date]]&lt;1/1/1990,"",IF(Main[[#This Row],[Class]]="C",WORKDAY(Main[[#This Row],[Tech Start Date]],19),IF(Main[[#This Row],[Class]]="B", WORKDAY(Main[[#This Row],[Tech Start Date]],12),IF(Main[[#This Row],[Class]]="A",WORKDAY(Main[[#This Row],[Tech Start Date]],4),""))))</f>
        <v/>
      </c>
      <c r="O632" s="77" t="str">
        <f>IF(Main[[#This Row],[Tech Start Date]]&lt;1/1/1990,"",IF(Main[[#This Row],[Class]]="C",WORKDAY(Main[[#This Row],[Tech Start Date]],23),IF(Main[[#This Row],[Class]]="B", WORKDAY(Main[[#This Row],[Tech Start Date]],15),IF(Main[[#This Row],[Class]]="A",WORKDAY(Main[[#This Row],[Tech Start Date]],5),""))))</f>
        <v/>
      </c>
      <c r="P632" s="77" t="str">
        <f>IF(Main[[#This Row],[Tech Start Date]]&lt;1/1/1990,"",IF(Main[[#This Row],[Class]]="C",WORKDAY(Main[[#This Row],[Tech Start Date]],28),IF(Main[[#This Row],[Class]]="B", WORKDAY(Main[[#This Row],[Tech Start Date]],19),IF(Main[[#This Row],[Class]]="A",WORKDAY(Main[[#This Row],[Tech Start Date]],9),""))))</f>
        <v/>
      </c>
      <c r="Q632" s="74"/>
      <c r="R632" s="74"/>
      <c r="S632" s="72" t="s">
        <v>6</v>
      </c>
      <c r="T632" s="80" t="s">
        <v>4</v>
      </c>
      <c r="U632" s="72" t="s">
        <v>7</v>
      </c>
      <c r="V632" s="72" t="s">
        <v>1932</v>
      </c>
      <c r="W632" s="72" t="s">
        <v>1940</v>
      </c>
      <c r="X632" s="72" t="s">
        <v>894</v>
      </c>
      <c r="Y632" s="72" t="s">
        <v>3050</v>
      </c>
      <c r="Z632" s="72" t="s">
        <v>129</v>
      </c>
      <c r="AA632" s="147" t="s">
        <v>894</v>
      </c>
    </row>
    <row r="633" spans="1:27" ht="18.600000000000001" customHeight="1">
      <c r="A633" s="140" t="str">
        <f>IF(priority(Main[[#This Row],[Comments]])&lt;&gt;0, priority(Main[[#This Row],[Comments]]),"")</f>
        <v/>
      </c>
      <c r="B633" s="90" t="s">
        <v>2778</v>
      </c>
      <c r="C633" s="72" t="s">
        <v>122</v>
      </c>
      <c r="D633" s="73" t="s">
        <v>2779</v>
      </c>
      <c r="E633" s="74">
        <v>40889.572662037041</v>
      </c>
      <c r="F633" s="74"/>
      <c r="G633" s="75" t="str">
        <f>IF(stdProdLT(Main[[#This Row],[Comments]])=0.1,"N/A",IF(stdProdLT(Main[[#This Row],[Comments]])=0,"",stdProdLT(Main[[#This Row],[Comments]])))</f>
        <v/>
      </c>
      <c r="H633" s="76" t="str">
        <f>IF(AND(Main[[#This Row],[In Stock Date]]&lt;&gt;"",Main[[#This Row],[Revised Due Date]]&lt;&gt;""),Main[[#This Row],[In Stock Date]]-Main[[#This Row],[Revised Due Date]],"")</f>
        <v/>
      </c>
      <c r="I633" s="72" t="s">
        <v>4</v>
      </c>
      <c r="J633" s="72" t="s">
        <v>4</v>
      </c>
      <c r="K633" s="72" t="s">
        <v>4</v>
      </c>
      <c r="L633" s="74"/>
      <c r="M633" s="77" t="str">
        <f>IF(Main[[#This Row],[Tech Start Date]]&lt;1/1/1990,"",IF(Main[[#This Row],[Class]]="C",WORKDAY(Main[[#This Row],[Tech Start Date]],9),IF(Main[[#This Row],[Class]]="B", WORKDAY(Main[[#This Row],[Tech Start Date]],6),IF(Main[[#This Row],[Class]]="A",WORKDAY(Main[[#This Row],[Tech Start Date]],2),""))))</f>
        <v/>
      </c>
      <c r="N633" s="77" t="str">
        <f>IF(Main[[#This Row],[Tech Start Date]]&lt;1/1/1990,"",IF(Main[[#This Row],[Class]]="C",WORKDAY(Main[[#This Row],[Tech Start Date]],19),IF(Main[[#This Row],[Class]]="B", WORKDAY(Main[[#This Row],[Tech Start Date]],12),IF(Main[[#This Row],[Class]]="A",WORKDAY(Main[[#This Row],[Tech Start Date]],4),""))))</f>
        <v/>
      </c>
      <c r="O633" s="77" t="str">
        <f>IF(Main[[#This Row],[Tech Start Date]]&lt;1/1/1990,"",IF(Main[[#This Row],[Class]]="C",WORKDAY(Main[[#This Row],[Tech Start Date]],23),IF(Main[[#This Row],[Class]]="B", WORKDAY(Main[[#This Row],[Tech Start Date]],15),IF(Main[[#This Row],[Class]]="A",WORKDAY(Main[[#This Row],[Tech Start Date]],5),""))))</f>
        <v/>
      </c>
      <c r="P633" s="77" t="str">
        <f>IF(Main[[#This Row],[Tech Start Date]]&lt;1/1/1990,"",IF(Main[[#This Row],[Class]]="C",WORKDAY(Main[[#This Row],[Tech Start Date]],28),IF(Main[[#This Row],[Class]]="B", WORKDAY(Main[[#This Row],[Tech Start Date]],19),IF(Main[[#This Row],[Class]]="A",WORKDAY(Main[[#This Row],[Tech Start Date]],9),""))))</f>
        <v/>
      </c>
      <c r="Q633" s="74">
        <v>40910</v>
      </c>
      <c r="R633" s="74"/>
      <c r="S633" s="72" t="s">
        <v>6</v>
      </c>
      <c r="T633" s="80" t="s">
        <v>4</v>
      </c>
      <c r="U633" s="72" t="s">
        <v>7</v>
      </c>
      <c r="V633" s="72" t="s">
        <v>1932</v>
      </c>
      <c r="W633" s="72" t="s">
        <v>1938</v>
      </c>
      <c r="X633" s="72" t="s">
        <v>894</v>
      </c>
      <c r="Y633" s="72" t="s">
        <v>3050</v>
      </c>
      <c r="Z633" s="72" t="s">
        <v>4</v>
      </c>
      <c r="AA633" s="147" t="s">
        <v>894</v>
      </c>
    </row>
    <row r="634" spans="1:27" ht="18.600000000000001" customHeight="1">
      <c r="A634" s="140" t="str">
        <f>IF(priority(Main[[#This Row],[Comments]])&lt;&gt;0, priority(Main[[#This Row],[Comments]]),"")</f>
        <v/>
      </c>
      <c r="B634" s="90" t="s">
        <v>1136</v>
      </c>
      <c r="C634" s="72" t="s">
        <v>4</v>
      </c>
      <c r="D634" s="73" t="s">
        <v>177</v>
      </c>
      <c r="E634" s="74">
        <v>40421.149710648147</v>
      </c>
      <c r="F634" s="74"/>
      <c r="G634" s="75" t="str">
        <f>IF(stdProdLT(Main[[#This Row],[Comments]])=0.1,"N/A",IF(stdProdLT(Main[[#This Row],[Comments]])=0,"",stdProdLT(Main[[#This Row],[Comments]])))</f>
        <v/>
      </c>
      <c r="H634" s="76" t="str">
        <f>IF(AND(Main[[#This Row],[In Stock Date]]&lt;&gt;"",Main[[#This Row],[Revised Due Date]]&lt;&gt;""),Main[[#This Row],[In Stock Date]]-Main[[#This Row],[Revised Due Date]],"")</f>
        <v/>
      </c>
      <c r="I634" s="72" t="s">
        <v>81</v>
      </c>
      <c r="J634" s="72" t="s">
        <v>52</v>
      </c>
      <c r="K634" s="72" t="s">
        <v>4</v>
      </c>
      <c r="L634" s="74"/>
      <c r="M634" s="77" t="str">
        <f>IF(Main[[#This Row],[Tech Start Date]]&lt;1/1/1990,"",IF(Main[[#This Row],[Class]]="C",WORKDAY(Main[[#This Row],[Tech Start Date]],9),IF(Main[[#This Row],[Class]]="B", WORKDAY(Main[[#This Row],[Tech Start Date]],6),IF(Main[[#This Row],[Class]]="A",WORKDAY(Main[[#This Row],[Tech Start Date]],2),""))))</f>
        <v/>
      </c>
      <c r="N634" s="77" t="str">
        <f>IF(Main[[#This Row],[Tech Start Date]]&lt;1/1/1990,"",IF(Main[[#This Row],[Class]]="C",WORKDAY(Main[[#This Row],[Tech Start Date]],19),IF(Main[[#This Row],[Class]]="B", WORKDAY(Main[[#This Row],[Tech Start Date]],12),IF(Main[[#This Row],[Class]]="A",WORKDAY(Main[[#This Row],[Tech Start Date]],4),""))))</f>
        <v/>
      </c>
      <c r="O634" s="77" t="str">
        <f>IF(Main[[#This Row],[Tech Start Date]]&lt;1/1/1990,"",IF(Main[[#This Row],[Class]]="C",WORKDAY(Main[[#This Row],[Tech Start Date]],23),IF(Main[[#This Row],[Class]]="B", WORKDAY(Main[[#This Row],[Tech Start Date]],15),IF(Main[[#This Row],[Class]]="A",WORKDAY(Main[[#This Row],[Tech Start Date]],5),""))))</f>
        <v/>
      </c>
      <c r="P634" s="77" t="str">
        <f>IF(Main[[#This Row],[Tech Start Date]]&lt;1/1/1990,"",IF(Main[[#This Row],[Class]]="C",WORKDAY(Main[[#This Row],[Tech Start Date]],28),IF(Main[[#This Row],[Class]]="B", WORKDAY(Main[[#This Row],[Tech Start Date]],19),IF(Main[[#This Row],[Class]]="A",WORKDAY(Main[[#This Row],[Tech Start Date]],9),""))))</f>
        <v/>
      </c>
      <c r="Q634" s="74">
        <v>40451</v>
      </c>
      <c r="R634" s="74"/>
      <c r="S634" s="72" t="s">
        <v>6</v>
      </c>
      <c r="T634" s="80" t="s">
        <v>4</v>
      </c>
      <c r="U634" s="72" t="s">
        <v>29</v>
      </c>
      <c r="V634" s="72" t="s">
        <v>1942</v>
      </c>
      <c r="W634" s="72" t="s">
        <v>1934</v>
      </c>
      <c r="X634" s="72" t="s">
        <v>2906</v>
      </c>
      <c r="Y634" s="72" t="s">
        <v>3025</v>
      </c>
      <c r="Z634" s="72" t="s">
        <v>420</v>
      </c>
      <c r="AA634" s="147" t="s">
        <v>2906</v>
      </c>
    </row>
    <row r="635" spans="1:27" ht="18.600000000000001" customHeight="1">
      <c r="A635" s="140" t="str">
        <f>IF(priority(Main[[#This Row],[Comments]])&lt;&gt;0, priority(Main[[#This Row],[Comments]]),"")</f>
        <v/>
      </c>
      <c r="B635" s="90" t="s">
        <v>1496</v>
      </c>
      <c r="C635" s="72" t="s">
        <v>233</v>
      </c>
      <c r="D635" s="73" t="s">
        <v>569</v>
      </c>
      <c r="E635" s="74"/>
      <c r="F635" s="74">
        <v>40662</v>
      </c>
      <c r="G635" s="75" t="str">
        <f>IF(stdProdLT(Main[[#This Row],[Comments]])=0.1,"N/A",IF(stdProdLT(Main[[#This Row],[Comments]])=0,"",stdProdLT(Main[[#This Row],[Comments]])))</f>
        <v/>
      </c>
      <c r="H635" s="76" t="str">
        <f>IF(AND(Main[[#This Row],[In Stock Date]]&lt;&gt;"",Main[[#This Row],[Revised Due Date]]&lt;&gt;""),Main[[#This Row],[In Stock Date]]-Main[[#This Row],[Revised Due Date]],"")</f>
        <v/>
      </c>
      <c r="I635" s="72" t="s">
        <v>4</v>
      </c>
      <c r="J635" s="72" t="s">
        <v>4</v>
      </c>
      <c r="K635" s="72" t="s">
        <v>4</v>
      </c>
      <c r="L635" s="74"/>
      <c r="M635" s="77" t="str">
        <f>IF(Main[[#This Row],[Tech Start Date]]&lt;1/1/1990,"",IF(Main[[#This Row],[Class]]="C",WORKDAY(Main[[#This Row],[Tech Start Date]],9),IF(Main[[#This Row],[Class]]="B", WORKDAY(Main[[#This Row],[Tech Start Date]],6),IF(Main[[#This Row],[Class]]="A",WORKDAY(Main[[#This Row],[Tech Start Date]],2),""))))</f>
        <v/>
      </c>
      <c r="N635" s="77" t="str">
        <f>IF(Main[[#This Row],[Tech Start Date]]&lt;1/1/1990,"",IF(Main[[#This Row],[Class]]="C",WORKDAY(Main[[#This Row],[Tech Start Date]],19),IF(Main[[#This Row],[Class]]="B", WORKDAY(Main[[#This Row],[Tech Start Date]],12),IF(Main[[#This Row],[Class]]="A",WORKDAY(Main[[#This Row],[Tech Start Date]],4),""))))</f>
        <v/>
      </c>
      <c r="O635" s="77" t="str">
        <f>IF(Main[[#This Row],[Tech Start Date]]&lt;1/1/1990,"",IF(Main[[#This Row],[Class]]="C",WORKDAY(Main[[#This Row],[Tech Start Date]],23),IF(Main[[#This Row],[Class]]="B", WORKDAY(Main[[#This Row],[Tech Start Date]],15),IF(Main[[#This Row],[Class]]="A",WORKDAY(Main[[#This Row],[Tech Start Date]],5),""))))</f>
        <v/>
      </c>
      <c r="P635" s="77" t="str">
        <f>IF(Main[[#This Row],[Tech Start Date]]&lt;1/1/1990,"",IF(Main[[#This Row],[Class]]="C",WORKDAY(Main[[#This Row],[Tech Start Date]],28),IF(Main[[#This Row],[Class]]="B", WORKDAY(Main[[#This Row],[Tech Start Date]],19),IF(Main[[#This Row],[Class]]="A",WORKDAY(Main[[#This Row],[Tech Start Date]],9),""))))</f>
        <v/>
      </c>
      <c r="Q635" s="74">
        <v>40480</v>
      </c>
      <c r="R635" s="74"/>
      <c r="S635" s="72" t="s">
        <v>11</v>
      </c>
      <c r="T635" s="80" t="s">
        <v>4</v>
      </c>
      <c r="U635" s="72" t="s">
        <v>14</v>
      </c>
      <c r="V635" s="72" t="s">
        <v>1935</v>
      </c>
      <c r="W635" s="72" t="s">
        <v>1940</v>
      </c>
      <c r="X635" s="72" t="s">
        <v>2944</v>
      </c>
      <c r="Y635" s="72" t="s">
        <v>4</v>
      </c>
      <c r="Z635" s="72" t="s">
        <v>4</v>
      </c>
      <c r="AA635" s="147" t="s">
        <v>2944</v>
      </c>
    </row>
    <row r="636" spans="1:27" ht="18.600000000000001" customHeight="1">
      <c r="A636" s="140" t="str">
        <f>IF(priority(Main[[#This Row],[Comments]])&lt;&gt;0, priority(Main[[#This Row],[Comments]]),"")</f>
        <v/>
      </c>
      <c r="B636" s="90" t="s">
        <v>1497</v>
      </c>
      <c r="C636" s="72" t="s">
        <v>4</v>
      </c>
      <c r="D636" s="73" t="s">
        <v>39</v>
      </c>
      <c r="E636" s="74"/>
      <c r="F636" s="74"/>
      <c r="G636" s="75" t="str">
        <f>IF(stdProdLT(Main[[#This Row],[Comments]])=0.1,"N/A",IF(stdProdLT(Main[[#This Row],[Comments]])=0,"",stdProdLT(Main[[#This Row],[Comments]])))</f>
        <v/>
      </c>
      <c r="H636" s="76" t="str">
        <f>IF(AND(Main[[#This Row],[In Stock Date]]&lt;&gt;"",Main[[#This Row],[Revised Due Date]]&lt;&gt;""),Main[[#This Row],[In Stock Date]]-Main[[#This Row],[Revised Due Date]],"")</f>
        <v/>
      </c>
      <c r="I636" s="72" t="s">
        <v>4</v>
      </c>
      <c r="J636" s="72" t="s">
        <v>4</v>
      </c>
      <c r="K636" s="72" t="s">
        <v>4</v>
      </c>
      <c r="L636" s="74"/>
      <c r="M636" s="77" t="str">
        <f>IF(Main[[#This Row],[Tech Start Date]]&lt;1/1/1990,"",IF(Main[[#This Row],[Class]]="C",WORKDAY(Main[[#This Row],[Tech Start Date]],9),IF(Main[[#This Row],[Class]]="B", WORKDAY(Main[[#This Row],[Tech Start Date]],6),IF(Main[[#This Row],[Class]]="A",WORKDAY(Main[[#This Row],[Tech Start Date]],2),""))))</f>
        <v/>
      </c>
      <c r="N636" s="77" t="str">
        <f>IF(Main[[#This Row],[Tech Start Date]]&lt;1/1/1990,"",IF(Main[[#This Row],[Class]]="C",WORKDAY(Main[[#This Row],[Tech Start Date]],19),IF(Main[[#This Row],[Class]]="B", WORKDAY(Main[[#This Row],[Tech Start Date]],12),IF(Main[[#This Row],[Class]]="A",WORKDAY(Main[[#This Row],[Tech Start Date]],4),""))))</f>
        <v/>
      </c>
      <c r="O636" s="77" t="str">
        <f>IF(Main[[#This Row],[Tech Start Date]]&lt;1/1/1990,"",IF(Main[[#This Row],[Class]]="C",WORKDAY(Main[[#This Row],[Tech Start Date]],23),IF(Main[[#This Row],[Class]]="B", WORKDAY(Main[[#This Row],[Tech Start Date]],15),IF(Main[[#This Row],[Class]]="A",WORKDAY(Main[[#This Row],[Tech Start Date]],5),""))))</f>
        <v/>
      </c>
      <c r="P636" s="77" t="str">
        <f>IF(Main[[#This Row],[Tech Start Date]]&lt;1/1/1990,"",IF(Main[[#This Row],[Class]]="C",WORKDAY(Main[[#This Row],[Tech Start Date]],28),IF(Main[[#This Row],[Class]]="B", WORKDAY(Main[[#This Row],[Tech Start Date]],19),IF(Main[[#This Row],[Class]]="A",WORKDAY(Main[[#This Row],[Tech Start Date]],9),""))))</f>
        <v/>
      </c>
      <c r="Q636" s="74">
        <v>40669</v>
      </c>
      <c r="R636" s="74"/>
      <c r="S636" s="72" t="s">
        <v>6</v>
      </c>
      <c r="T636" s="80" t="s">
        <v>4</v>
      </c>
      <c r="U636" s="72" t="s">
        <v>14</v>
      </c>
      <c r="V636" s="72" t="s">
        <v>1935</v>
      </c>
      <c r="W636" s="72" t="s">
        <v>4</v>
      </c>
      <c r="X636" s="72" t="s">
        <v>2902</v>
      </c>
      <c r="Y636" s="72" t="s">
        <v>3016</v>
      </c>
      <c r="Z636" s="72" t="s">
        <v>4</v>
      </c>
      <c r="AA636" s="147" t="s">
        <v>2902</v>
      </c>
    </row>
    <row r="637" spans="1:27" ht="18.600000000000001" customHeight="1">
      <c r="A637" s="140" t="str">
        <f>IF(priority(Main[[#This Row],[Comments]])&lt;&gt;0, priority(Main[[#This Row],[Comments]]),"")</f>
        <v/>
      </c>
      <c r="B637" s="90" t="s">
        <v>1498</v>
      </c>
      <c r="C637" s="72" t="s">
        <v>570</v>
      </c>
      <c r="D637" s="73" t="s">
        <v>571</v>
      </c>
      <c r="E637" s="74"/>
      <c r="F637" s="74">
        <v>40168</v>
      </c>
      <c r="G637" s="75" t="str">
        <f>IF(stdProdLT(Main[[#This Row],[Comments]])=0.1,"N/A",IF(stdProdLT(Main[[#This Row],[Comments]])=0,"",stdProdLT(Main[[#This Row],[Comments]])))</f>
        <v/>
      </c>
      <c r="H637" s="76" t="str">
        <f>IF(AND(Main[[#This Row],[In Stock Date]]&lt;&gt;"",Main[[#This Row],[Revised Due Date]]&lt;&gt;""),Main[[#This Row],[In Stock Date]]-Main[[#This Row],[Revised Due Date]],"")</f>
        <v/>
      </c>
      <c r="I637" s="72" t="s">
        <v>4</v>
      </c>
      <c r="J637" s="72" t="s">
        <v>4</v>
      </c>
      <c r="K637" s="72" t="s">
        <v>4</v>
      </c>
      <c r="L637" s="74"/>
      <c r="M637" s="77" t="str">
        <f>IF(Main[[#This Row],[Tech Start Date]]&lt;1/1/1990,"",IF(Main[[#This Row],[Class]]="C",WORKDAY(Main[[#This Row],[Tech Start Date]],9),IF(Main[[#This Row],[Class]]="B", WORKDAY(Main[[#This Row],[Tech Start Date]],6),IF(Main[[#This Row],[Class]]="A",WORKDAY(Main[[#This Row],[Tech Start Date]],2),""))))</f>
        <v/>
      </c>
      <c r="N637" s="77" t="str">
        <f>IF(Main[[#This Row],[Tech Start Date]]&lt;1/1/1990,"",IF(Main[[#This Row],[Class]]="C",WORKDAY(Main[[#This Row],[Tech Start Date]],19),IF(Main[[#This Row],[Class]]="B", WORKDAY(Main[[#This Row],[Tech Start Date]],12),IF(Main[[#This Row],[Class]]="A",WORKDAY(Main[[#This Row],[Tech Start Date]],4),""))))</f>
        <v/>
      </c>
      <c r="O637" s="77" t="str">
        <f>IF(Main[[#This Row],[Tech Start Date]]&lt;1/1/1990,"",IF(Main[[#This Row],[Class]]="C",WORKDAY(Main[[#This Row],[Tech Start Date]],23),IF(Main[[#This Row],[Class]]="B", WORKDAY(Main[[#This Row],[Tech Start Date]],15),IF(Main[[#This Row],[Class]]="A",WORKDAY(Main[[#This Row],[Tech Start Date]],5),""))))</f>
        <v/>
      </c>
      <c r="P637" s="77" t="str">
        <f>IF(Main[[#This Row],[Tech Start Date]]&lt;1/1/1990,"",IF(Main[[#This Row],[Class]]="C",WORKDAY(Main[[#This Row],[Tech Start Date]],28),IF(Main[[#This Row],[Class]]="B", WORKDAY(Main[[#This Row],[Tech Start Date]],19),IF(Main[[#This Row],[Class]]="A",WORKDAY(Main[[#This Row],[Tech Start Date]],9),""))))</f>
        <v/>
      </c>
      <c r="Q637" s="74"/>
      <c r="R637" s="74"/>
      <c r="S637" s="72" t="s">
        <v>17</v>
      </c>
      <c r="T637" s="80" t="s">
        <v>4</v>
      </c>
      <c r="U637" s="72" t="s">
        <v>14</v>
      </c>
      <c r="V637" s="72" t="s">
        <v>1933</v>
      </c>
      <c r="W637" s="72" t="s">
        <v>4</v>
      </c>
      <c r="X637" s="72" t="s">
        <v>2945</v>
      </c>
      <c r="Y637" s="72" t="s">
        <v>4</v>
      </c>
      <c r="Z637" s="72" t="s">
        <v>4</v>
      </c>
      <c r="AA637" s="147" t="s">
        <v>4</v>
      </c>
    </row>
    <row r="638" spans="1:27" ht="18.600000000000001" customHeight="1">
      <c r="A638" s="140" t="str">
        <f>IF(priority(Main[[#This Row],[Comments]])&lt;&gt;0, priority(Main[[#This Row],[Comments]]),"")</f>
        <v/>
      </c>
      <c r="B638" s="90" t="s">
        <v>1499</v>
      </c>
      <c r="C638" s="72" t="s">
        <v>572</v>
      </c>
      <c r="D638" s="73" t="s">
        <v>573</v>
      </c>
      <c r="E638" s="74"/>
      <c r="F638" s="74">
        <v>40389</v>
      </c>
      <c r="G638" s="75" t="str">
        <f>IF(stdProdLT(Main[[#This Row],[Comments]])=0.1,"N/A",IF(stdProdLT(Main[[#This Row],[Comments]])=0,"",stdProdLT(Main[[#This Row],[Comments]])))</f>
        <v/>
      </c>
      <c r="H638" s="76" t="str">
        <f>IF(AND(Main[[#This Row],[In Stock Date]]&lt;&gt;"",Main[[#This Row],[Revised Due Date]]&lt;&gt;""),Main[[#This Row],[In Stock Date]]-Main[[#This Row],[Revised Due Date]],"")</f>
        <v/>
      </c>
      <c r="I638" s="72" t="s">
        <v>4</v>
      </c>
      <c r="J638" s="72" t="s">
        <v>75</v>
      </c>
      <c r="K638" s="72" t="s">
        <v>4</v>
      </c>
      <c r="L638" s="74"/>
      <c r="M638" s="77" t="str">
        <f>IF(Main[[#This Row],[Tech Start Date]]&lt;1/1/1990,"",IF(Main[[#This Row],[Class]]="C",WORKDAY(Main[[#This Row],[Tech Start Date]],9),IF(Main[[#This Row],[Class]]="B", WORKDAY(Main[[#This Row],[Tech Start Date]],6),IF(Main[[#This Row],[Class]]="A",WORKDAY(Main[[#This Row],[Tech Start Date]],2),""))))</f>
        <v/>
      </c>
      <c r="N638" s="77" t="str">
        <f>IF(Main[[#This Row],[Tech Start Date]]&lt;1/1/1990,"",IF(Main[[#This Row],[Class]]="C",WORKDAY(Main[[#This Row],[Tech Start Date]],19),IF(Main[[#This Row],[Class]]="B", WORKDAY(Main[[#This Row],[Tech Start Date]],12),IF(Main[[#This Row],[Class]]="A",WORKDAY(Main[[#This Row],[Tech Start Date]],4),""))))</f>
        <v/>
      </c>
      <c r="O638" s="77" t="str">
        <f>IF(Main[[#This Row],[Tech Start Date]]&lt;1/1/1990,"",IF(Main[[#This Row],[Class]]="C",WORKDAY(Main[[#This Row],[Tech Start Date]],23),IF(Main[[#This Row],[Class]]="B", WORKDAY(Main[[#This Row],[Tech Start Date]],15),IF(Main[[#This Row],[Class]]="A",WORKDAY(Main[[#This Row],[Tech Start Date]],5),""))))</f>
        <v/>
      </c>
      <c r="P638" s="77" t="str">
        <f>IF(Main[[#This Row],[Tech Start Date]]&lt;1/1/1990,"",IF(Main[[#This Row],[Class]]="C",WORKDAY(Main[[#This Row],[Tech Start Date]],28),IF(Main[[#This Row],[Class]]="B", WORKDAY(Main[[#This Row],[Tech Start Date]],19),IF(Main[[#This Row],[Class]]="A",WORKDAY(Main[[#This Row],[Tech Start Date]],9),""))))</f>
        <v/>
      </c>
      <c r="Q638" s="74">
        <v>40298</v>
      </c>
      <c r="R638" s="74"/>
      <c r="S638" s="72" t="s">
        <v>11</v>
      </c>
      <c r="T638" s="80" t="s">
        <v>4</v>
      </c>
      <c r="U638" s="72" t="s">
        <v>14</v>
      </c>
      <c r="V638" s="72" t="s">
        <v>1932</v>
      </c>
      <c r="W638" s="72" t="s">
        <v>1938</v>
      </c>
      <c r="X638" s="72" t="s">
        <v>2908</v>
      </c>
      <c r="Y638" s="72" t="s">
        <v>3030</v>
      </c>
      <c r="Z638" s="72" t="s">
        <v>310</v>
      </c>
      <c r="AA638" s="147" t="s">
        <v>2908</v>
      </c>
    </row>
    <row r="639" spans="1:27" ht="18.600000000000001" customHeight="1">
      <c r="A639" s="140" t="str">
        <f>IF(priority(Main[[#This Row],[Comments]])&lt;&gt;0, priority(Main[[#This Row],[Comments]]),"")</f>
        <v/>
      </c>
      <c r="B639" s="90" t="s">
        <v>1500</v>
      </c>
      <c r="C639" s="72" t="s">
        <v>93</v>
      </c>
      <c r="D639" s="73" t="s">
        <v>574</v>
      </c>
      <c r="E639" s="74"/>
      <c r="F639" s="74">
        <v>40132</v>
      </c>
      <c r="G639" s="75" t="str">
        <f>IF(stdProdLT(Main[[#This Row],[Comments]])=0.1,"N/A",IF(stdProdLT(Main[[#This Row],[Comments]])=0,"",stdProdLT(Main[[#This Row],[Comments]])))</f>
        <v/>
      </c>
      <c r="H639" s="76" t="str">
        <f>IF(AND(Main[[#This Row],[In Stock Date]]&lt;&gt;"",Main[[#This Row],[Revised Due Date]]&lt;&gt;""),Main[[#This Row],[In Stock Date]]-Main[[#This Row],[Revised Due Date]],"")</f>
        <v/>
      </c>
      <c r="I639" s="72" t="s">
        <v>4</v>
      </c>
      <c r="J639" s="72" t="s">
        <v>4</v>
      </c>
      <c r="K639" s="72" t="s">
        <v>4</v>
      </c>
      <c r="L639" s="74"/>
      <c r="M639" s="77" t="str">
        <f>IF(Main[[#This Row],[Tech Start Date]]&lt;1/1/1990,"",IF(Main[[#This Row],[Class]]="C",WORKDAY(Main[[#This Row],[Tech Start Date]],9),IF(Main[[#This Row],[Class]]="B", WORKDAY(Main[[#This Row],[Tech Start Date]],6),IF(Main[[#This Row],[Class]]="A",WORKDAY(Main[[#This Row],[Tech Start Date]],2),""))))</f>
        <v/>
      </c>
      <c r="N639" s="77" t="str">
        <f>IF(Main[[#This Row],[Tech Start Date]]&lt;1/1/1990,"",IF(Main[[#This Row],[Class]]="C",WORKDAY(Main[[#This Row],[Tech Start Date]],19),IF(Main[[#This Row],[Class]]="B", WORKDAY(Main[[#This Row],[Tech Start Date]],12),IF(Main[[#This Row],[Class]]="A",WORKDAY(Main[[#This Row],[Tech Start Date]],4),""))))</f>
        <v/>
      </c>
      <c r="O639" s="77" t="str">
        <f>IF(Main[[#This Row],[Tech Start Date]]&lt;1/1/1990,"",IF(Main[[#This Row],[Class]]="C",WORKDAY(Main[[#This Row],[Tech Start Date]],23),IF(Main[[#This Row],[Class]]="B", WORKDAY(Main[[#This Row],[Tech Start Date]],15),IF(Main[[#This Row],[Class]]="A",WORKDAY(Main[[#This Row],[Tech Start Date]],5),""))))</f>
        <v/>
      </c>
      <c r="P639" s="77" t="str">
        <f>IF(Main[[#This Row],[Tech Start Date]]&lt;1/1/1990,"",IF(Main[[#This Row],[Class]]="C",WORKDAY(Main[[#This Row],[Tech Start Date]],28),IF(Main[[#This Row],[Class]]="B", WORKDAY(Main[[#This Row],[Tech Start Date]],19),IF(Main[[#This Row],[Class]]="A",WORKDAY(Main[[#This Row],[Tech Start Date]],9),""))))</f>
        <v/>
      </c>
      <c r="Q639" s="74">
        <v>40132</v>
      </c>
      <c r="R639" s="74"/>
      <c r="S639" s="72" t="s">
        <v>11</v>
      </c>
      <c r="T639" s="80" t="s">
        <v>4</v>
      </c>
      <c r="U639" s="72" t="s">
        <v>14</v>
      </c>
      <c r="V639" s="72" t="s">
        <v>1942</v>
      </c>
      <c r="W639" s="72" t="s">
        <v>1943</v>
      </c>
      <c r="X639" s="72" t="s">
        <v>2940</v>
      </c>
      <c r="Y639" s="72" t="s">
        <v>4</v>
      </c>
      <c r="Z639" s="72" t="s">
        <v>4</v>
      </c>
      <c r="AA639" s="147" t="s">
        <v>2940</v>
      </c>
    </row>
    <row r="640" spans="1:27" ht="18.600000000000001" customHeight="1">
      <c r="A640" s="140" t="str">
        <f>IF(priority(Main[[#This Row],[Comments]])&lt;&gt;0, priority(Main[[#This Row],[Comments]]),"")</f>
        <v/>
      </c>
      <c r="B640" s="90" t="s">
        <v>1501</v>
      </c>
      <c r="C640" s="72" t="s">
        <v>93</v>
      </c>
      <c r="D640" s="73" t="s">
        <v>575</v>
      </c>
      <c r="E640" s="74"/>
      <c r="F640" s="74">
        <v>40132</v>
      </c>
      <c r="G640" s="75" t="str">
        <f>IF(stdProdLT(Main[[#This Row],[Comments]])=0.1,"N/A",IF(stdProdLT(Main[[#This Row],[Comments]])=0,"",stdProdLT(Main[[#This Row],[Comments]])))</f>
        <v/>
      </c>
      <c r="H640" s="76" t="str">
        <f>IF(AND(Main[[#This Row],[In Stock Date]]&lt;&gt;"",Main[[#This Row],[Revised Due Date]]&lt;&gt;""),Main[[#This Row],[In Stock Date]]-Main[[#This Row],[Revised Due Date]],"")</f>
        <v/>
      </c>
      <c r="I640" s="72" t="s">
        <v>4</v>
      </c>
      <c r="J640" s="72" t="s">
        <v>4</v>
      </c>
      <c r="K640" s="81" t="s">
        <v>4</v>
      </c>
      <c r="L640" s="74"/>
      <c r="M640" s="77" t="str">
        <f>IF(Main[[#This Row],[Tech Start Date]]&lt;1/1/1990,"",IF(Main[[#This Row],[Class]]="C",WORKDAY(Main[[#This Row],[Tech Start Date]],9),IF(Main[[#This Row],[Class]]="B", WORKDAY(Main[[#This Row],[Tech Start Date]],6),IF(Main[[#This Row],[Class]]="A",WORKDAY(Main[[#This Row],[Tech Start Date]],2),""))))</f>
        <v/>
      </c>
      <c r="N640" s="77" t="str">
        <f>IF(Main[[#This Row],[Tech Start Date]]&lt;1/1/1990,"",IF(Main[[#This Row],[Class]]="C",WORKDAY(Main[[#This Row],[Tech Start Date]],19),IF(Main[[#This Row],[Class]]="B", WORKDAY(Main[[#This Row],[Tech Start Date]],12),IF(Main[[#This Row],[Class]]="A",WORKDAY(Main[[#This Row],[Tech Start Date]],4),""))))</f>
        <v/>
      </c>
      <c r="O640" s="77" t="str">
        <f>IF(Main[[#This Row],[Tech Start Date]]&lt;1/1/1990,"",IF(Main[[#This Row],[Class]]="C",WORKDAY(Main[[#This Row],[Tech Start Date]],23),IF(Main[[#This Row],[Class]]="B", WORKDAY(Main[[#This Row],[Tech Start Date]],15),IF(Main[[#This Row],[Class]]="A",WORKDAY(Main[[#This Row],[Tech Start Date]],5),""))))</f>
        <v/>
      </c>
      <c r="P640" s="77" t="str">
        <f>IF(Main[[#This Row],[Tech Start Date]]&lt;1/1/1990,"",IF(Main[[#This Row],[Class]]="C",WORKDAY(Main[[#This Row],[Tech Start Date]],28),IF(Main[[#This Row],[Class]]="B", WORKDAY(Main[[#This Row],[Tech Start Date]],19),IF(Main[[#This Row],[Class]]="A",WORKDAY(Main[[#This Row],[Tech Start Date]],9),""))))</f>
        <v/>
      </c>
      <c r="Q640" s="74">
        <v>40132</v>
      </c>
      <c r="R640" s="74"/>
      <c r="S640" s="72" t="s">
        <v>11</v>
      </c>
      <c r="T640" s="80" t="s">
        <v>4</v>
      </c>
      <c r="U640" s="72" t="s">
        <v>14</v>
      </c>
      <c r="V640" s="72" t="s">
        <v>1942</v>
      </c>
      <c r="W640" s="72" t="s">
        <v>1943</v>
      </c>
      <c r="X640" s="72" t="s">
        <v>2940</v>
      </c>
      <c r="Y640" s="72" t="s">
        <v>4</v>
      </c>
      <c r="Z640" s="72" t="s">
        <v>4</v>
      </c>
      <c r="AA640" s="147" t="s">
        <v>2940</v>
      </c>
    </row>
    <row r="641" spans="1:27" ht="18.600000000000001" customHeight="1">
      <c r="A641" s="140" t="str">
        <f>IF(priority(Main[[#This Row],[Comments]])&lt;&gt;0, priority(Main[[#This Row],[Comments]]),"")</f>
        <v/>
      </c>
      <c r="B641" s="90" t="s">
        <v>1502</v>
      </c>
      <c r="C641" s="72" t="s">
        <v>470</v>
      </c>
      <c r="D641" s="73" t="s">
        <v>576</v>
      </c>
      <c r="E641" s="74"/>
      <c r="F641" s="74">
        <v>40179</v>
      </c>
      <c r="G641" s="75" t="str">
        <f>IF(stdProdLT(Main[[#This Row],[Comments]])=0.1,"N/A",IF(stdProdLT(Main[[#This Row],[Comments]])=0,"",stdProdLT(Main[[#This Row],[Comments]])))</f>
        <v/>
      </c>
      <c r="H641" s="76" t="str">
        <f>IF(AND(Main[[#This Row],[In Stock Date]]&lt;&gt;"",Main[[#This Row],[Revised Due Date]]&lt;&gt;""),Main[[#This Row],[In Stock Date]]-Main[[#This Row],[Revised Due Date]],"")</f>
        <v/>
      </c>
      <c r="I641" s="72" t="s">
        <v>4</v>
      </c>
      <c r="J641" s="72" t="s">
        <v>4</v>
      </c>
      <c r="K641" s="72" t="s">
        <v>4</v>
      </c>
      <c r="L641" s="74"/>
      <c r="M641" s="77" t="str">
        <f>IF(Main[[#This Row],[Tech Start Date]]&lt;1/1/1990,"",IF(Main[[#This Row],[Class]]="C",WORKDAY(Main[[#This Row],[Tech Start Date]],9),IF(Main[[#This Row],[Class]]="B", WORKDAY(Main[[#This Row],[Tech Start Date]],6),IF(Main[[#This Row],[Class]]="A",WORKDAY(Main[[#This Row],[Tech Start Date]],2),""))))</f>
        <v/>
      </c>
      <c r="N641" s="77" t="str">
        <f>IF(Main[[#This Row],[Tech Start Date]]&lt;1/1/1990,"",IF(Main[[#This Row],[Class]]="C",WORKDAY(Main[[#This Row],[Tech Start Date]],19),IF(Main[[#This Row],[Class]]="B", WORKDAY(Main[[#This Row],[Tech Start Date]],12),IF(Main[[#This Row],[Class]]="A",WORKDAY(Main[[#This Row],[Tech Start Date]],4),""))))</f>
        <v/>
      </c>
      <c r="O641" s="77" t="str">
        <f>IF(Main[[#This Row],[Tech Start Date]]&lt;1/1/1990,"",IF(Main[[#This Row],[Class]]="C",WORKDAY(Main[[#This Row],[Tech Start Date]],23),IF(Main[[#This Row],[Class]]="B", WORKDAY(Main[[#This Row],[Tech Start Date]],15),IF(Main[[#This Row],[Class]]="A",WORKDAY(Main[[#This Row],[Tech Start Date]],5),""))))</f>
        <v/>
      </c>
      <c r="P641" s="77" t="str">
        <f>IF(Main[[#This Row],[Tech Start Date]]&lt;1/1/1990,"",IF(Main[[#This Row],[Class]]="C",WORKDAY(Main[[#This Row],[Tech Start Date]],28),IF(Main[[#This Row],[Class]]="B", WORKDAY(Main[[#This Row],[Tech Start Date]],19),IF(Main[[#This Row],[Class]]="A",WORKDAY(Main[[#This Row],[Tech Start Date]],9),""))))</f>
        <v/>
      </c>
      <c r="Q641" s="74">
        <v>40164</v>
      </c>
      <c r="R641" s="74"/>
      <c r="S641" s="72" t="s">
        <v>11</v>
      </c>
      <c r="T641" s="80" t="s">
        <v>4</v>
      </c>
      <c r="U641" s="72" t="s">
        <v>14</v>
      </c>
      <c r="V641" s="72" t="s">
        <v>1935</v>
      </c>
      <c r="W641" s="72" t="s">
        <v>1938</v>
      </c>
      <c r="X641" s="72" t="s">
        <v>2947</v>
      </c>
      <c r="Y641" s="72" t="s">
        <v>4</v>
      </c>
      <c r="Z641" s="72" t="s">
        <v>4</v>
      </c>
      <c r="AA641" s="147" t="s">
        <v>2947</v>
      </c>
    </row>
    <row r="642" spans="1:27" ht="18.600000000000001" customHeight="1">
      <c r="A642" s="140" t="str">
        <f>IF(priority(Main[[#This Row],[Comments]])&lt;&gt;0, priority(Main[[#This Row],[Comments]]),"")</f>
        <v/>
      </c>
      <c r="B642" s="90" t="s">
        <v>1158</v>
      </c>
      <c r="C642" s="72" t="s">
        <v>4</v>
      </c>
      <c r="D642" s="73" t="s">
        <v>202</v>
      </c>
      <c r="E642" s="74"/>
      <c r="F642" s="74"/>
      <c r="G642" s="75" t="str">
        <f>IF(stdProdLT(Main[[#This Row],[Comments]])=0.1,"N/A",IF(stdProdLT(Main[[#This Row],[Comments]])=0,"",stdProdLT(Main[[#This Row],[Comments]])))</f>
        <v/>
      </c>
      <c r="H642" s="76" t="str">
        <f>IF(AND(Main[[#This Row],[In Stock Date]]&lt;&gt;"",Main[[#This Row],[Revised Due Date]]&lt;&gt;""),Main[[#This Row],[In Stock Date]]-Main[[#This Row],[Revised Due Date]],"")</f>
        <v/>
      </c>
      <c r="I642" s="72" t="s">
        <v>4</v>
      </c>
      <c r="J642" s="72" t="s">
        <v>4</v>
      </c>
      <c r="K642" s="72" t="s">
        <v>4</v>
      </c>
      <c r="L642" s="74"/>
      <c r="M642" s="77" t="str">
        <f>IF(Main[[#This Row],[Tech Start Date]]&lt;1/1/1990,"",IF(Main[[#This Row],[Class]]="C",WORKDAY(Main[[#This Row],[Tech Start Date]],9),IF(Main[[#This Row],[Class]]="B", WORKDAY(Main[[#This Row],[Tech Start Date]],6),IF(Main[[#This Row],[Class]]="A",WORKDAY(Main[[#This Row],[Tech Start Date]],2),""))))</f>
        <v/>
      </c>
      <c r="N642" s="77" t="str">
        <f>IF(Main[[#This Row],[Tech Start Date]]&lt;1/1/1990,"",IF(Main[[#This Row],[Class]]="C",WORKDAY(Main[[#This Row],[Tech Start Date]],19),IF(Main[[#This Row],[Class]]="B", WORKDAY(Main[[#This Row],[Tech Start Date]],12),IF(Main[[#This Row],[Class]]="A",WORKDAY(Main[[#This Row],[Tech Start Date]],4),""))))</f>
        <v/>
      </c>
      <c r="O642" s="77" t="str">
        <f>IF(Main[[#This Row],[Tech Start Date]]&lt;1/1/1990,"",IF(Main[[#This Row],[Class]]="C",WORKDAY(Main[[#This Row],[Tech Start Date]],23),IF(Main[[#This Row],[Class]]="B", WORKDAY(Main[[#This Row],[Tech Start Date]],15),IF(Main[[#This Row],[Class]]="A",WORKDAY(Main[[#This Row],[Tech Start Date]],5),""))))</f>
        <v/>
      </c>
      <c r="P642" s="77" t="str">
        <f>IF(Main[[#This Row],[Tech Start Date]]&lt;1/1/1990,"",IF(Main[[#This Row],[Class]]="C",WORKDAY(Main[[#This Row],[Tech Start Date]],28),IF(Main[[#This Row],[Class]]="B", WORKDAY(Main[[#This Row],[Tech Start Date]],19),IF(Main[[#This Row],[Class]]="A",WORKDAY(Main[[#This Row],[Tech Start Date]],9),""))))</f>
        <v/>
      </c>
      <c r="Q642" s="74">
        <v>40597</v>
      </c>
      <c r="R642" s="74"/>
      <c r="S642" s="72" t="s">
        <v>49</v>
      </c>
      <c r="T642" s="80" t="s">
        <v>4</v>
      </c>
      <c r="U642" s="72" t="s">
        <v>12</v>
      </c>
      <c r="V642" s="72" t="s">
        <v>1933</v>
      </c>
      <c r="W642" s="72" t="s">
        <v>1934</v>
      </c>
      <c r="X642" s="72" t="s">
        <v>567</v>
      </c>
      <c r="Y642" s="72" t="s">
        <v>3143</v>
      </c>
      <c r="Z642" s="72" t="s">
        <v>4</v>
      </c>
      <c r="AA642" s="147" t="s">
        <v>567</v>
      </c>
    </row>
    <row r="643" spans="1:27" ht="18.600000000000001" customHeight="1">
      <c r="A643" s="140" t="str">
        <f>IF(priority(Main[[#This Row],[Comments]])&lt;&gt;0, priority(Main[[#This Row],[Comments]]),"")</f>
        <v/>
      </c>
      <c r="B643" s="90" t="s">
        <v>1557</v>
      </c>
      <c r="C643" s="72" t="s">
        <v>4</v>
      </c>
      <c r="D643" s="73" t="s">
        <v>581</v>
      </c>
      <c r="E643" s="74"/>
      <c r="F643" s="74"/>
      <c r="G643" s="75" t="str">
        <f>IF(stdProdLT(Main[[#This Row],[Comments]])=0.1,"N/A",IF(stdProdLT(Main[[#This Row],[Comments]])=0,"",stdProdLT(Main[[#This Row],[Comments]])))</f>
        <v/>
      </c>
      <c r="H643" s="76" t="str">
        <f>IF(AND(Main[[#This Row],[In Stock Date]]&lt;&gt;"",Main[[#This Row],[Revised Due Date]]&lt;&gt;""),Main[[#This Row],[In Stock Date]]-Main[[#This Row],[Revised Due Date]],"")</f>
        <v/>
      </c>
      <c r="I643" s="72" t="s">
        <v>4</v>
      </c>
      <c r="J643" s="72" t="s">
        <v>4</v>
      </c>
      <c r="K643" s="72" t="s">
        <v>4</v>
      </c>
      <c r="L643" s="74"/>
      <c r="M643" s="77" t="str">
        <f>IF(Main[[#This Row],[Tech Start Date]]&lt;1/1/1990,"",IF(Main[[#This Row],[Class]]="C",WORKDAY(Main[[#This Row],[Tech Start Date]],9),IF(Main[[#This Row],[Class]]="B", WORKDAY(Main[[#This Row],[Tech Start Date]],6),IF(Main[[#This Row],[Class]]="A",WORKDAY(Main[[#This Row],[Tech Start Date]],2),""))))</f>
        <v/>
      </c>
      <c r="N643" s="77" t="str">
        <f>IF(Main[[#This Row],[Tech Start Date]]&lt;1/1/1990,"",IF(Main[[#This Row],[Class]]="C",WORKDAY(Main[[#This Row],[Tech Start Date]],19),IF(Main[[#This Row],[Class]]="B", WORKDAY(Main[[#This Row],[Tech Start Date]],12),IF(Main[[#This Row],[Class]]="A",WORKDAY(Main[[#This Row],[Tech Start Date]],4),""))))</f>
        <v/>
      </c>
      <c r="O643" s="77" t="str">
        <f>IF(Main[[#This Row],[Tech Start Date]]&lt;1/1/1990,"",IF(Main[[#This Row],[Class]]="C",WORKDAY(Main[[#This Row],[Tech Start Date]],23),IF(Main[[#This Row],[Class]]="B", WORKDAY(Main[[#This Row],[Tech Start Date]],15),IF(Main[[#This Row],[Class]]="A",WORKDAY(Main[[#This Row],[Tech Start Date]],5),""))))</f>
        <v/>
      </c>
      <c r="P643" s="77" t="str">
        <f>IF(Main[[#This Row],[Tech Start Date]]&lt;1/1/1990,"",IF(Main[[#This Row],[Class]]="C",WORKDAY(Main[[#This Row],[Tech Start Date]],28),IF(Main[[#This Row],[Class]]="B", WORKDAY(Main[[#This Row],[Tech Start Date]],19),IF(Main[[#This Row],[Class]]="A",WORKDAY(Main[[#This Row],[Tech Start Date]],9),""))))</f>
        <v/>
      </c>
      <c r="Q643" s="74">
        <v>40165</v>
      </c>
      <c r="R643" s="74"/>
      <c r="S643" s="72" t="s">
        <v>11</v>
      </c>
      <c r="T643" s="80" t="s">
        <v>4</v>
      </c>
      <c r="U643" s="72" t="s">
        <v>14</v>
      </c>
      <c r="V643" s="72" t="s">
        <v>1933</v>
      </c>
      <c r="W643" s="72" t="s">
        <v>1937</v>
      </c>
      <c r="X643" s="72" t="s">
        <v>2075</v>
      </c>
      <c r="Y643" s="72" t="s">
        <v>3145</v>
      </c>
      <c r="Z643" s="72" t="s">
        <v>4</v>
      </c>
      <c r="AA643" s="147" t="s">
        <v>2075</v>
      </c>
    </row>
    <row r="644" spans="1:27" ht="18.600000000000001" customHeight="1">
      <c r="A644" s="140" t="str">
        <f>IF(priority(Main[[#This Row],[Comments]])&lt;&gt;0, priority(Main[[#This Row],[Comments]]),"")</f>
        <v/>
      </c>
      <c r="B644" s="90" t="s">
        <v>1834</v>
      </c>
      <c r="C644" s="72" t="s">
        <v>72</v>
      </c>
      <c r="D644" s="73" t="s">
        <v>877</v>
      </c>
      <c r="E644" s="74"/>
      <c r="F644" s="74">
        <v>40148</v>
      </c>
      <c r="G644" s="75" t="str">
        <f>IF(stdProdLT(Main[[#This Row],[Comments]])=0.1,"N/A",IF(stdProdLT(Main[[#This Row],[Comments]])=0,"",stdProdLT(Main[[#This Row],[Comments]])))</f>
        <v/>
      </c>
      <c r="H644" s="76">
        <f>IF(AND(Main[[#This Row],[In Stock Date]]&lt;&gt;"",Main[[#This Row],[Revised Due Date]]&lt;&gt;""),Main[[#This Row],[In Stock Date]]-Main[[#This Row],[Revised Due Date]],"")</f>
        <v>-143</v>
      </c>
      <c r="I644" s="72" t="s">
        <v>4</v>
      </c>
      <c r="J644" s="72" t="s">
        <v>4</v>
      </c>
      <c r="K644" s="72" t="s">
        <v>4</v>
      </c>
      <c r="L644" s="74"/>
      <c r="M644" s="77" t="str">
        <f>IF(Main[[#This Row],[Tech Start Date]]&lt;1/1/1990,"",IF(Main[[#This Row],[Class]]="C",WORKDAY(Main[[#This Row],[Tech Start Date]],9),IF(Main[[#This Row],[Class]]="B", WORKDAY(Main[[#This Row],[Tech Start Date]],6),IF(Main[[#This Row],[Class]]="A",WORKDAY(Main[[#This Row],[Tech Start Date]],2),""))))</f>
        <v/>
      </c>
      <c r="N644" s="77" t="str">
        <f>IF(Main[[#This Row],[Tech Start Date]]&lt;1/1/1990,"",IF(Main[[#This Row],[Class]]="C",WORKDAY(Main[[#This Row],[Tech Start Date]],19),IF(Main[[#This Row],[Class]]="B", WORKDAY(Main[[#This Row],[Tech Start Date]],12),IF(Main[[#This Row],[Class]]="A",WORKDAY(Main[[#This Row],[Tech Start Date]],4),""))))</f>
        <v/>
      </c>
      <c r="O644" s="77" t="str">
        <f>IF(Main[[#This Row],[Tech Start Date]]&lt;1/1/1990,"",IF(Main[[#This Row],[Class]]="C",WORKDAY(Main[[#This Row],[Tech Start Date]],23),IF(Main[[#This Row],[Class]]="B", WORKDAY(Main[[#This Row],[Tech Start Date]],15),IF(Main[[#This Row],[Class]]="A",WORKDAY(Main[[#This Row],[Tech Start Date]],5),""))))</f>
        <v/>
      </c>
      <c r="P644" s="77" t="str">
        <f>IF(Main[[#This Row],[Tech Start Date]]&lt;1/1/1990,"",IF(Main[[#This Row],[Class]]="C",WORKDAY(Main[[#This Row],[Tech Start Date]],28),IF(Main[[#This Row],[Class]]="B", WORKDAY(Main[[#This Row],[Tech Start Date]],19),IF(Main[[#This Row],[Class]]="A",WORKDAY(Main[[#This Row],[Tech Start Date]],9),""))))</f>
        <v/>
      </c>
      <c r="Q644" s="74">
        <v>40080</v>
      </c>
      <c r="R644" s="74">
        <v>40291</v>
      </c>
      <c r="S644" s="72" t="s">
        <v>6</v>
      </c>
      <c r="T644" s="80" t="s">
        <v>4</v>
      </c>
      <c r="U644" s="72" t="s">
        <v>14</v>
      </c>
      <c r="V644" s="72" t="s">
        <v>1933</v>
      </c>
      <c r="W644" s="72" t="s">
        <v>1940</v>
      </c>
      <c r="X644" s="72" t="s">
        <v>2908</v>
      </c>
      <c r="Y644" s="72" t="s">
        <v>3030</v>
      </c>
      <c r="Z644" s="72" t="s">
        <v>4</v>
      </c>
      <c r="AA644" s="147" t="s">
        <v>2908</v>
      </c>
    </row>
    <row r="645" spans="1:27" ht="18.600000000000001" customHeight="1">
      <c r="A645" s="140" t="str">
        <f>IF(priority(Main[[#This Row],[Comments]])&lt;&gt;0, priority(Main[[#This Row],[Comments]]),"")</f>
        <v/>
      </c>
      <c r="B645" s="90" t="s">
        <v>1505</v>
      </c>
      <c r="C645" s="72" t="s">
        <v>4</v>
      </c>
      <c r="D645" s="73" t="s">
        <v>626</v>
      </c>
      <c r="E645" s="74">
        <v>40549.433692129627</v>
      </c>
      <c r="F645" s="74"/>
      <c r="G645" s="75" t="str">
        <f>IF(stdProdLT(Main[[#This Row],[Comments]])=0.1,"N/A",IF(stdProdLT(Main[[#This Row],[Comments]])=0,"",stdProdLT(Main[[#This Row],[Comments]])))</f>
        <v/>
      </c>
      <c r="H645" s="76" t="str">
        <f>IF(AND(Main[[#This Row],[In Stock Date]]&lt;&gt;"",Main[[#This Row],[Revised Due Date]]&lt;&gt;""),Main[[#This Row],[In Stock Date]]-Main[[#This Row],[Revised Due Date]],"")</f>
        <v/>
      </c>
      <c r="I645" s="72" t="s">
        <v>4</v>
      </c>
      <c r="J645" s="72" t="s">
        <v>4</v>
      </c>
      <c r="K645" s="72" t="s">
        <v>4</v>
      </c>
      <c r="L645" s="74"/>
      <c r="M645" s="77" t="str">
        <f>IF(Main[[#This Row],[Tech Start Date]]&lt;1/1/1990,"",IF(Main[[#This Row],[Class]]="C",WORKDAY(Main[[#This Row],[Tech Start Date]],9),IF(Main[[#This Row],[Class]]="B", WORKDAY(Main[[#This Row],[Tech Start Date]],6),IF(Main[[#This Row],[Class]]="A",WORKDAY(Main[[#This Row],[Tech Start Date]],2),""))))</f>
        <v/>
      </c>
      <c r="N645" s="77" t="str">
        <f>IF(Main[[#This Row],[Tech Start Date]]&lt;1/1/1990,"",IF(Main[[#This Row],[Class]]="C",WORKDAY(Main[[#This Row],[Tech Start Date]],19),IF(Main[[#This Row],[Class]]="B", WORKDAY(Main[[#This Row],[Tech Start Date]],12),IF(Main[[#This Row],[Class]]="A",WORKDAY(Main[[#This Row],[Tech Start Date]],4),""))))</f>
        <v/>
      </c>
      <c r="O645" s="77" t="str">
        <f>IF(Main[[#This Row],[Tech Start Date]]&lt;1/1/1990,"",IF(Main[[#This Row],[Class]]="C",WORKDAY(Main[[#This Row],[Tech Start Date]],23),IF(Main[[#This Row],[Class]]="B", WORKDAY(Main[[#This Row],[Tech Start Date]],15),IF(Main[[#This Row],[Class]]="A",WORKDAY(Main[[#This Row],[Tech Start Date]],5),""))))</f>
        <v/>
      </c>
      <c r="P645" s="77" t="str">
        <f>IF(Main[[#This Row],[Tech Start Date]]&lt;1/1/1990,"",IF(Main[[#This Row],[Class]]="C",WORKDAY(Main[[#This Row],[Tech Start Date]],28),IF(Main[[#This Row],[Class]]="B", WORKDAY(Main[[#This Row],[Tech Start Date]],19),IF(Main[[#This Row],[Class]]="A",WORKDAY(Main[[#This Row],[Tech Start Date]],9),""))))</f>
        <v/>
      </c>
      <c r="Q645" s="74">
        <v>40577</v>
      </c>
      <c r="R645" s="74"/>
      <c r="S645" s="72" t="s">
        <v>6</v>
      </c>
      <c r="T645" s="80" t="s">
        <v>4</v>
      </c>
      <c r="U645" s="72" t="s">
        <v>7</v>
      </c>
      <c r="V645" s="72" t="s">
        <v>1932</v>
      </c>
      <c r="W645" s="72" t="s">
        <v>1934</v>
      </c>
      <c r="X645" s="72" t="s">
        <v>2905</v>
      </c>
      <c r="Y645" s="72" t="s">
        <v>3023</v>
      </c>
      <c r="Z645" s="72" t="s">
        <v>4</v>
      </c>
      <c r="AA645" s="147" t="s">
        <v>2905</v>
      </c>
    </row>
    <row r="646" spans="1:27" ht="18.600000000000001" customHeight="1">
      <c r="A646" s="140" t="str">
        <f>IF(priority(Main[[#This Row],[Comments]])&lt;&gt;0, priority(Main[[#This Row],[Comments]]),"")</f>
        <v/>
      </c>
      <c r="B646" s="90" t="s">
        <v>1506</v>
      </c>
      <c r="C646" s="72" t="s">
        <v>4</v>
      </c>
      <c r="D646" s="73" t="s">
        <v>627</v>
      </c>
      <c r="E646" s="74">
        <v>40371.36078703704</v>
      </c>
      <c r="F646" s="74"/>
      <c r="G646" s="75" t="str">
        <f>IF(stdProdLT(Main[[#This Row],[Comments]])=0.1,"N/A",IF(stdProdLT(Main[[#This Row],[Comments]])=0,"",stdProdLT(Main[[#This Row],[Comments]])))</f>
        <v/>
      </c>
      <c r="H646" s="76" t="str">
        <f>IF(AND(Main[[#This Row],[In Stock Date]]&lt;&gt;"",Main[[#This Row],[Revised Due Date]]&lt;&gt;""),Main[[#This Row],[In Stock Date]]-Main[[#This Row],[Revised Due Date]],"")</f>
        <v/>
      </c>
      <c r="I646" s="72" t="s">
        <v>4</v>
      </c>
      <c r="J646" s="72" t="s">
        <v>4</v>
      </c>
      <c r="K646" s="81" t="s">
        <v>4</v>
      </c>
      <c r="L646" s="74"/>
      <c r="M646" s="77" t="str">
        <f>IF(Main[[#This Row],[Tech Start Date]]&lt;1/1/1990,"",IF(Main[[#This Row],[Class]]="C",WORKDAY(Main[[#This Row],[Tech Start Date]],9),IF(Main[[#This Row],[Class]]="B", WORKDAY(Main[[#This Row],[Tech Start Date]],6),IF(Main[[#This Row],[Class]]="A",WORKDAY(Main[[#This Row],[Tech Start Date]],2),""))))</f>
        <v/>
      </c>
      <c r="N646" s="77" t="str">
        <f>IF(Main[[#This Row],[Tech Start Date]]&lt;1/1/1990,"",IF(Main[[#This Row],[Class]]="C",WORKDAY(Main[[#This Row],[Tech Start Date]],19),IF(Main[[#This Row],[Class]]="B", WORKDAY(Main[[#This Row],[Tech Start Date]],12),IF(Main[[#This Row],[Class]]="A",WORKDAY(Main[[#This Row],[Tech Start Date]],4),""))))</f>
        <v/>
      </c>
      <c r="O646" s="77" t="str">
        <f>IF(Main[[#This Row],[Tech Start Date]]&lt;1/1/1990,"",IF(Main[[#This Row],[Class]]="C",WORKDAY(Main[[#This Row],[Tech Start Date]],23),IF(Main[[#This Row],[Class]]="B", WORKDAY(Main[[#This Row],[Tech Start Date]],15),IF(Main[[#This Row],[Class]]="A",WORKDAY(Main[[#This Row],[Tech Start Date]],5),""))))</f>
        <v/>
      </c>
      <c r="P646" s="77" t="str">
        <f>IF(Main[[#This Row],[Tech Start Date]]&lt;1/1/1990,"",IF(Main[[#This Row],[Class]]="C",WORKDAY(Main[[#This Row],[Tech Start Date]],28),IF(Main[[#This Row],[Class]]="B", WORKDAY(Main[[#This Row],[Tech Start Date]],19),IF(Main[[#This Row],[Class]]="A",WORKDAY(Main[[#This Row],[Tech Start Date]],9),""))))</f>
        <v/>
      </c>
      <c r="Q646" s="74">
        <v>40385</v>
      </c>
      <c r="R646" s="74"/>
      <c r="S646" s="72" t="s">
        <v>6</v>
      </c>
      <c r="T646" s="80" t="s">
        <v>4</v>
      </c>
      <c r="U646" s="72" t="s">
        <v>7</v>
      </c>
      <c r="V646" s="72" t="s">
        <v>1932</v>
      </c>
      <c r="W646" s="72" t="s">
        <v>1934</v>
      </c>
      <c r="X646" s="72" t="s">
        <v>102</v>
      </c>
      <c r="Y646" s="72" t="s">
        <v>3119</v>
      </c>
      <c r="Z646" s="72" t="s">
        <v>4</v>
      </c>
      <c r="AA646" s="147" t="s">
        <v>3584</v>
      </c>
    </row>
    <row r="647" spans="1:27" ht="18.600000000000001" customHeight="1">
      <c r="A647" s="140" t="str">
        <f>IF(priority(Main[[#This Row],[Comments]])&lt;&gt;0, priority(Main[[#This Row],[Comments]]),"")</f>
        <v/>
      </c>
      <c r="B647" s="90" t="s">
        <v>1507</v>
      </c>
      <c r="C647" s="72" t="s">
        <v>628</v>
      </c>
      <c r="D647" s="73" t="s">
        <v>629</v>
      </c>
      <c r="E647" s="74"/>
      <c r="F647" s="74">
        <v>40396</v>
      </c>
      <c r="G647" s="75" t="str">
        <f>IF(stdProdLT(Main[[#This Row],[Comments]])=0.1,"N/A",IF(stdProdLT(Main[[#This Row],[Comments]])=0,"",stdProdLT(Main[[#This Row],[Comments]])))</f>
        <v/>
      </c>
      <c r="H647" s="76" t="str">
        <f>IF(AND(Main[[#This Row],[In Stock Date]]&lt;&gt;"",Main[[#This Row],[Revised Due Date]]&lt;&gt;""),Main[[#This Row],[In Stock Date]]-Main[[#This Row],[Revised Due Date]],"")</f>
        <v/>
      </c>
      <c r="I647" s="72" t="s">
        <v>4</v>
      </c>
      <c r="J647" s="72" t="s">
        <v>4</v>
      </c>
      <c r="K647" s="72" t="s">
        <v>4</v>
      </c>
      <c r="L647" s="74"/>
      <c r="M647" s="77" t="str">
        <f>IF(Main[[#This Row],[Tech Start Date]]&lt;1/1/1990,"",IF(Main[[#This Row],[Class]]="C",WORKDAY(Main[[#This Row],[Tech Start Date]],9),IF(Main[[#This Row],[Class]]="B", WORKDAY(Main[[#This Row],[Tech Start Date]],6),IF(Main[[#This Row],[Class]]="A",WORKDAY(Main[[#This Row],[Tech Start Date]],2),""))))</f>
        <v/>
      </c>
      <c r="N647" s="77" t="str">
        <f>IF(Main[[#This Row],[Tech Start Date]]&lt;1/1/1990,"",IF(Main[[#This Row],[Class]]="C",WORKDAY(Main[[#This Row],[Tech Start Date]],19),IF(Main[[#This Row],[Class]]="B", WORKDAY(Main[[#This Row],[Tech Start Date]],12),IF(Main[[#This Row],[Class]]="A",WORKDAY(Main[[#This Row],[Tech Start Date]],4),""))))</f>
        <v/>
      </c>
      <c r="O647" s="77" t="str">
        <f>IF(Main[[#This Row],[Tech Start Date]]&lt;1/1/1990,"",IF(Main[[#This Row],[Class]]="C",WORKDAY(Main[[#This Row],[Tech Start Date]],23),IF(Main[[#This Row],[Class]]="B", WORKDAY(Main[[#This Row],[Tech Start Date]],15),IF(Main[[#This Row],[Class]]="A",WORKDAY(Main[[#This Row],[Tech Start Date]],5),""))))</f>
        <v/>
      </c>
      <c r="P647" s="77" t="str">
        <f>IF(Main[[#This Row],[Tech Start Date]]&lt;1/1/1990,"",IF(Main[[#This Row],[Class]]="C",WORKDAY(Main[[#This Row],[Tech Start Date]],28),IF(Main[[#This Row],[Class]]="B", WORKDAY(Main[[#This Row],[Tech Start Date]],19),IF(Main[[#This Row],[Class]]="A",WORKDAY(Main[[#This Row],[Tech Start Date]],9),""))))</f>
        <v/>
      </c>
      <c r="Q647" s="74"/>
      <c r="R647" s="74"/>
      <c r="S647" s="72" t="s">
        <v>11</v>
      </c>
      <c r="T647" s="80" t="s">
        <v>4</v>
      </c>
      <c r="U647" s="72" t="s">
        <v>14</v>
      </c>
      <c r="V647" s="72" t="s">
        <v>1932</v>
      </c>
      <c r="W647" s="72" t="s">
        <v>1938</v>
      </c>
      <c r="X647" s="72" t="s">
        <v>2904</v>
      </c>
      <c r="Y647" s="72" t="s">
        <v>3146</v>
      </c>
      <c r="Z647" s="72" t="s">
        <v>4</v>
      </c>
      <c r="AA647" s="147" t="s">
        <v>2904</v>
      </c>
    </row>
    <row r="648" spans="1:27" ht="18.600000000000001" customHeight="1">
      <c r="A648" s="140" t="str">
        <f>IF(priority(Main[[#This Row],[Comments]])&lt;&gt;0, priority(Main[[#This Row],[Comments]]),"")</f>
        <v/>
      </c>
      <c r="B648" s="90" t="s">
        <v>1508</v>
      </c>
      <c r="C648" s="72" t="s">
        <v>93</v>
      </c>
      <c r="D648" s="73" t="s">
        <v>630</v>
      </c>
      <c r="E648" s="74"/>
      <c r="F648" s="74">
        <v>40238</v>
      </c>
      <c r="G648" s="75" t="str">
        <f>IF(stdProdLT(Main[[#This Row],[Comments]])=0.1,"N/A",IF(stdProdLT(Main[[#This Row],[Comments]])=0,"",stdProdLT(Main[[#This Row],[Comments]])))</f>
        <v/>
      </c>
      <c r="H648" s="76" t="str">
        <f>IF(AND(Main[[#This Row],[In Stock Date]]&lt;&gt;"",Main[[#This Row],[Revised Due Date]]&lt;&gt;""),Main[[#This Row],[In Stock Date]]-Main[[#This Row],[Revised Due Date]],"")</f>
        <v/>
      </c>
      <c r="I648" s="72" t="s">
        <v>4</v>
      </c>
      <c r="J648" s="72" t="s">
        <v>4</v>
      </c>
      <c r="K648" s="72" t="s">
        <v>4</v>
      </c>
      <c r="L648" s="74"/>
      <c r="M648" s="77" t="str">
        <f>IF(Main[[#This Row],[Tech Start Date]]&lt;1/1/1990,"",IF(Main[[#This Row],[Class]]="C",WORKDAY(Main[[#This Row],[Tech Start Date]],9),IF(Main[[#This Row],[Class]]="B", WORKDAY(Main[[#This Row],[Tech Start Date]],6),IF(Main[[#This Row],[Class]]="A",WORKDAY(Main[[#This Row],[Tech Start Date]],2),""))))</f>
        <v/>
      </c>
      <c r="N648" s="77" t="str">
        <f>IF(Main[[#This Row],[Tech Start Date]]&lt;1/1/1990,"",IF(Main[[#This Row],[Class]]="C",WORKDAY(Main[[#This Row],[Tech Start Date]],19),IF(Main[[#This Row],[Class]]="B", WORKDAY(Main[[#This Row],[Tech Start Date]],12),IF(Main[[#This Row],[Class]]="A",WORKDAY(Main[[#This Row],[Tech Start Date]],4),""))))</f>
        <v/>
      </c>
      <c r="O648" s="77" t="str">
        <f>IF(Main[[#This Row],[Tech Start Date]]&lt;1/1/1990,"",IF(Main[[#This Row],[Class]]="C",WORKDAY(Main[[#This Row],[Tech Start Date]],23),IF(Main[[#This Row],[Class]]="B", WORKDAY(Main[[#This Row],[Tech Start Date]],15),IF(Main[[#This Row],[Class]]="A",WORKDAY(Main[[#This Row],[Tech Start Date]],5),""))))</f>
        <v/>
      </c>
      <c r="P648" s="77" t="str">
        <f>IF(Main[[#This Row],[Tech Start Date]]&lt;1/1/1990,"",IF(Main[[#This Row],[Class]]="C",WORKDAY(Main[[#This Row],[Tech Start Date]],28),IF(Main[[#This Row],[Class]]="B", WORKDAY(Main[[#This Row],[Tech Start Date]],19),IF(Main[[#This Row],[Class]]="A",WORKDAY(Main[[#This Row],[Tech Start Date]],9),""))))</f>
        <v/>
      </c>
      <c r="Q648" s="74">
        <v>40173</v>
      </c>
      <c r="R648" s="74"/>
      <c r="S648" s="72" t="s">
        <v>11</v>
      </c>
      <c r="T648" s="80" t="s">
        <v>4</v>
      </c>
      <c r="U648" s="72" t="s">
        <v>14</v>
      </c>
      <c r="V648" s="72" t="s">
        <v>1932</v>
      </c>
      <c r="W648" s="72" t="s">
        <v>1938</v>
      </c>
      <c r="X648" s="72" t="s">
        <v>2955</v>
      </c>
      <c r="Y648" s="72" t="s">
        <v>4</v>
      </c>
      <c r="Z648" s="72" t="s">
        <v>4</v>
      </c>
      <c r="AA648" s="147" t="s">
        <v>2955</v>
      </c>
    </row>
    <row r="649" spans="1:27" ht="18.600000000000001" customHeight="1">
      <c r="A649" s="141" t="str">
        <f>IF(priority(Main[[#This Row],[Comments]])&lt;&gt;0, priority(Main[[#This Row],[Comments]]),"")</f>
        <v/>
      </c>
      <c r="B649" s="90" t="s">
        <v>1509</v>
      </c>
      <c r="C649" s="83" t="s">
        <v>4</v>
      </c>
      <c r="D649" s="84" t="s">
        <v>97</v>
      </c>
      <c r="E649" s="85"/>
      <c r="F649" s="85"/>
      <c r="G649" s="83" t="str">
        <f>IF(stdProdLT(Main[[#This Row],[Comments]])=0.1,"N/A",IF(stdProdLT(Main[[#This Row],[Comments]])=0,"",stdProdLT(Main[[#This Row],[Comments]])))</f>
        <v/>
      </c>
      <c r="H649" s="86" t="str">
        <f>IF(AND(Main[[#This Row],[In Stock Date]]&lt;&gt;"",Main[[#This Row],[Revised Due Date]]&lt;&gt;""),Main[[#This Row],[In Stock Date]]-Main[[#This Row],[Revised Due Date]],"")</f>
        <v/>
      </c>
      <c r="I649" s="83" t="s">
        <v>4</v>
      </c>
      <c r="J649" s="83" t="s">
        <v>4</v>
      </c>
      <c r="K649" s="83" t="s">
        <v>4</v>
      </c>
      <c r="L649" s="85"/>
      <c r="M649" s="87" t="str">
        <f>IF(Main[[#This Row],[Tech Start Date]]&lt;1/1/1990,"",IF(Main[[#This Row],[Class]]="C",WORKDAY(Main[[#This Row],[Tech Start Date]],9),IF(Main[[#This Row],[Class]]="B", WORKDAY(Main[[#This Row],[Tech Start Date]],6),IF(Main[[#This Row],[Class]]="A",WORKDAY(Main[[#This Row],[Tech Start Date]],2),""))))</f>
        <v/>
      </c>
      <c r="N649" s="87" t="str">
        <f>IF(Main[[#This Row],[Tech Start Date]]&lt;1/1/1990,"",IF(Main[[#This Row],[Class]]="C",WORKDAY(Main[[#This Row],[Tech Start Date]],19),IF(Main[[#This Row],[Class]]="B", WORKDAY(Main[[#This Row],[Tech Start Date]],12),IF(Main[[#This Row],[Class]]="A",WORKDAY(Main[[#This Row],[Tech Start Date]],4),""))))</f>
        <v/>
      </c>
      <c r="O649" s="87" t="str">
        <f>IF(Main[[#This Row],[Tech Start Date]]&lt;1/1/1990,"",IF(Main[[#This Row],[Class]]="C",WORKDAY(Main[[#This Row],[Tech Start Date]],23),IF(Main[[#This Row],[Class]]="B", WORKDAY(Main[[#This Row],[Tech Start Date]],15),IF(Main[[#This Row],[Class]]="A",WORKDAY(Main[[#This Row],[Tech Start Date]],5),""))))</f>
        <v/>
      </c>
      <c r="P649" s="87" t="str">
        <f>IF(Main[[#This Row],[Tech Start Date]]&lt;1/1/1990,"",IF(Main[[#This Row],[Class]]="C",WORKDAY(Main[[#This Row],[Tech Start Date]],28),IF(Main[[#This Row],[Class]]="B", WORKDAY(Main[[#This Row],[Tech Start Date]],19),IF(Main[[#This Row],[Class]]="A",WORKDAY(Main[[#This Row],[Tech Start Date]],9),""))))</f>
        <v/>
      </c>
      <c r="Q649" s="85">
        <v>40858</v>
      </c>
      <c r="R649" s="85"/>
      <c r="S649" s="83" t="s">
        <v>17</v>
      </c>
      <c r="T649" s="88" t="s">
        <v>4</v>
      </c>
      <c r="U649" s="83" t="s">
        <v>14</v>
      </c>
      <c r="V649" s="83" t="s">
        <v>1932</v>
      </c>
      <c r="W649" s="83" t="s">
        <v>1937</v>
      </c>
      <c r="X649" s="83" t="s">
        <v>50</v>
      </c>
      <c r="Y649" s="83" t="s">
        <v>3046</v>
      </c>
      <c r="Z649" s="83" t="s">
        <v>4</v>
      </c>
      <c r="AA649" s="147" t="s">
        <v>2912</v>
      </c>
    </row>
    <row r="650" spans="1:27" ht="18.600000000000001" customHeight="1">
      <c r="A650" s="140" t="str">
        <f>IF(priority(Main[[#This Row],[Comments]])&lt;&gt;0, priority(Main[[#This Row],[Comments]]),"")</f>
        <v/>
      </c>
      <c r="B650" s="90" t="s">
        <v>1510</v>
      </c>
      <c r="C650" s="72" t="s">
        <v>4</v>
      </c>
      <c r="D650" s="73" t="s">
        <v>39</v>
      </c>
      <c r="E650" s="74"/>
      <c r="F650" s="74"/>
      <c r="G650" s="75" t="str">
        <f>IF(stdProdLT(Main[[#This Row],[Comments]])=0.1,"N/A",IF(stdProdLT(Main[[#This Row],[Comments]])=0,"",stdProdLT(Main[[#This Row],[Comments]])))</f>
        <v/>
      </c>
      <c r="H650" s="76" t="str">
        <f>IF(AND(Main[[#This Row],[In Stock Date]]&lt;&gt;"",Main[[#This Row],[Revised Due Date]]&lt;&gt;""),Main[[#This Row],[In Stock Date]]-Main[[#This Row],[Revised Due Date]],"")</f>
        <v/>
      </c>
      <c r="I650" s="72" t="s">
        <v>4</v>
      </c>
      <c r="J650" s="72" t="s">
        <v>4</v>
      </c>
      <c r="K650" s="72" t="s">
        <v>4</v>
      </c>
      <c r="L650" s="74"/>
      <c r="M650" s="77" t="str">
        <f>IF(Main[[#This Row],[Tech Start Date]]&lt;1/1/1990,"",IF(Main[[#This Row],[Class]]="C",WORKDAY(Main[[#This Row],[Tech Start Date]],9),IF(Main[[#This Row],[Class]]="B", WORKDAY(Main[[#This Row],[Tech Start Date]],6),IF(Main[[#This Row],[Class]]="A",WORKDAY(Main[[#This Row],[Tech Start Date]],2),""))))</f>
        <v/>
      </c>
      <c r="N650" s="77" t="str">
        <f>IF(Main[[#This Row],[Tech Start Date]]&lt;1/1/1990,"",IF(Main[[#This Row],[Class]]="C",WORKDAY(Main[[#This Row],[Tech Start Date]],19),IF(Main[[#This Row],[Class]]="B", WORKDAY(Main[[#This Row],[Tech Start Date]],12),IF(Main[[#This Row],[Class]]="A",WORKDAY(Main[[#This Row],[Tech Start Date]],4),""))))</f>
        <v/>
      </c>
      <c r="O650" s="77" t="str">
        <f>IF(Main[[#This Row],[Tech Start Date]]&lt;1/1/1990,"",IF(Main[[#This Row],[Class]]="C",WORKDAY(Main[[#This Row],[Tech Start Date]],23),IF(Main[[#This Row],[Class]]="B", WORKDAY(Main[[#This Row],[Tech Start Date]],15),IF(Main[[#This Row],[Class]]="A",WORKDAY(Main[[#This Row],[Tech Start Date]],5),""))))</f>
        <v/>
      </c>
      <c r="P650" s="77" t="str">
        <f>IF(Main[[#This Row],[Tech Start Date]]&lt;1/1/1990,"",IF(Main[[#This Row],[Class]]="C",WORKDAY(Main[[#This Row],[Tech Start Date]],28),IF(Main[[#This Row],[Class]]="B", WORKDAY(Main[[#This Row],[Tech Start Date]],19),IF(Main[[#This Row],[Class]]="A",WORKDAY(Main[[#This Row],[Tech Start Date]],9),""))))</f>
        <v/>
      </c>
      <c r="Q650" s="74">
        <v>40669</v>
      </c>
      <c r="R650" s="74"/>
      <c r="S650" s="72" t="s">
        <v>6</v>
      </c>
      <c r="T650" s="80" t="s">
        <v>4</v>
      </c>
      <c r="U650" s="72" t="s">
        <v>14</v>
      </c>
      <c r="V650" s="72" t="s">
        <v>1935</v>
      </c>
      <c r="W650" s="72" t="s">
        <v>4</v>
      </c>
      <c r="X650" s="72" t="s">
        <v>2902</v>
      </c>
      <c r="Y650" s="72" t="s">
        <v>3016</v>
      </c>
      <c r="Z650" s="72" t="s">
        <v>4</v>
      </c>
      <c r="AA650" s="147" t="s">
        <v>2902</v>
      </c>
    </row>
    <row r="651" spans="1:27" ht="18.600000000000001" customHeight="1">
      <c r="A651" s="140" t="str">
        <f>IF(priority(Main[[#This Row],[Comments]])&lt;&gt;0, priority(Main[[#This Row],[Comments]]),"")</f>
        <v/>
      </c>
      <c r="B651" s="90" t="s">
        <v>1511</v>
      </c>
      <c r="C651" s="72" t="s">
        <v>4</v>
      </c>
      <c r="D651" s="73" t="s">
        <v>604</v>
      </c>
      <c r="E651" s="74"/>
      <c r="F651" s="74"/>
      <c r="G651" s="75" t="str">
        <f>IF(stdProdLT(Main[[#This Row],[Comments]])=0.1,"N/A",IF(stdProdLT(Main[[#This Row],[Comments]])=0,"",stdProdLT(Main[[#This Row],[Comments]])))</f>
        <v/>
      </c>
      <c r="H651" s="76" t="str">
        <f>IF(AND(Main[[#This Row],[In Stock Date]]&lt;&gt;"",Main[[#This Row],[Revised Due Date]]&lt;&gt;""),Main[[#This Row],[In Stock Date]]-Main[[#This Row],[Revised Due Date]],"")</f>
        <v/>
      </c>
      <c r="I651" s="72" t="s">
        <v>4</v>
      </c>
      <c r="J651" s="72" t="s">
        <v>28</v>
      </c>
      <c r="K651" s="72" t="s">
        <v>4</v>
      </c>
      <c r="L651" s="74"/>
      <c r="M651" s="77" t="str">
        <f>IF(Main[[#This Row],[Tech Start Date]]&lt;1/1/1990,"",IF(Main[[#This Row],[Class]]="C",WORKDAY(Main[[#This Row],[Tech Start Date]],9),IF(Main[[#This Row],[Class]]="B", WORKDAY(Main[[#This Row],[Tech Start Date]],6),IF(Main[[#This Row],[Class]]="A",WORKDAY(Main[[#This Row],[Tech Start Date]],2),""))))</f>
        <v/>
      </c>
      <c r="N651" s="77" t="str">
        <f>IF(Main[[#This Row],[Tech Start Date]]&lt;1/1/1990,"",IF(Main[[#This Row],[Class]]="C",WORKDAY(Main[[#This Row],[Tech Start Date]],19),IF(Main[[#This Row],[Class]]="B", WORKDAY(Main[[#This Row],[Tech Start Date]],12),IF(Main[[#This Row],[Class]]="A",WORKDAY(Main[[#This Row],[Tech Start Date]],4),""))))</f>
        <v/>
      </c>
      <c r="O651" s="77" t="str">
        <f>IF(Main[[#This Row],[Tech Start Date]]&lt;1/1/1990,"",IF(Main[[#This Row],[Class]]="C",WORKDAY(Main[[#This Row],[Tech Start Date]],23),IF(Main[[#This Row],[Class]]="B", WORKDAY(Main[[#This Row],[Tech Start Date]],15),IF(Main[[#This Row],[Class]]="A",WORKDAY(Main[[#This Row],[Tech Start Date]],5),""))))</f>
        <v/>
      </c>
      <c r="P651" s="77" t="str">
        <f>IF(Main[[#This Row],[Tech Start Date]]&lt;1/1/1990,"",IF(Main[[#This Row],[Class]]="C",WORKDAY(Main[[#This Row],[Tech Start Date]],28),IF(Main[[#This Row],[Class]]="B", WORKDAY(Main[[#This Row],[Tech Start Date]],19),IF(Main[[#This Row],[Class]]="A",WORKDAY(Main[[#This Row],[Tech Start Date]],9),""))))</f>
        <v/>
      </c>
      <c r="Q651" s="74">
        <v>40482</v>
      </c>
      <c r="R651" s="74"/>
      <c r="S651" s="72" t="s">
        <v>6</v>
      </c>
      <c r="T651" s="80" t="s">
        <v>4</v>
      </c>
      <c r="U651" s="72" t="s">
        <v>14</v>
      </c>
      <c r="V651" s="72" t="s">
        <v>1935</v>
      </c>
      <c r="W651" s="72" t="s">
        <v>1936</v>
      </c>
      <c r="X651" s="72" t="s">
        <v>2971</v>
      </c>
      <c r="Y651" s="72" t="s">
        <v>3130</v>
      </c>
      <c r="Z651" s="72" t="s">
        <v>535</v>
      </c>
      <c r="AA651" s="147" t="s">
        <v>2971</v>
      </c>
    </row>
    <row r="652" spans="1:27" ht="18.600000000000001" customHeight="1">
      <c r="A652" s="140" t="str">
        <f>IF(priority(Main[[#This Row],[Comments]])&lt;&gt;0, priority(Main[[#This Row],[Comments]]),"")</f>
        <v/>
      </c>
      <c r="B652" s="90" t="s">
        <v>2115</v>
      </c>
      <c r="C652" s="72" t="s">
        <v>4</v>
      </c>
      <c r="D652" s="73" t="s">
        <v>2116</v>
      </c>
      <c r="E652" s="74"/>
      <c r="F652" s="74"/>
      <c r="G652" s="75" t="str">
        <f>IF(stdProdLT(Main[[#This Row],[Comments]])=0.1,"N/A",IF(stdProdLT(Main[[#This Row],[Comments]])=0,"",stdProdLT(Main[[#This Row],[Comments]])))</f>
        <v/>
      </c>
      <c r="H652" s="76" t="str">
        <f>IF(AND(Main[[#This Row],[In Stock Date]]&lt;&gt;"",Main[[#This Row],[Revised Due Date]]&lt;&gt;""),Main[[#This Row],[In Stock Date]]-Main[[#This Row],[Revised Due Date]],"")</f>
        <v/>
      </c>
      <c r="I652" s="72" t="s">
        <v>4</v>
      </c>
      <c r="J652" s="72" t="s">
        <v>4</v>
      </c>
      <c r="K652" s="72" t="s">
        <v>4</v>
      </c>
      <c r="L652" s="74"/>
      <c r="M652" s="77" t="str">
        <f>IF(Main[[#This Row],[Tech Start Date]]&lt;1/1/1990,"",IF(Main[[#This Row],[Class]]="C",WORKDAY(Main[[#This Row],[Tech Start Date]],9),IF(Main[[#This Row],[Class]]="B", WORKDAY(Main[[#This Row],[Tech Start Date]],6),IF(Main[[#This Row],[Class]]="A",WORKDAY(Main[[#This Row],[Tech Start Date]],2),""))))</f>
        <v/>
      </c>
      <c r="N652" s="77" t="str">
        <f>IF(Main[[#This Row],[Tech Start Date]]&lt;1/1/1990,"",IF(Main[[#This Row],[Class]]="C",WORKDAY(Main[[#This Row],[Tech Start Date]],19),IF(Main[[#This Row],[Class]]="B", WORKDAY(Main[[#This Row],[Tech Start Date]],12),IF(Main[[#This Row],[Class]]="A",WORKDAY(Main[[#This Row],[Tech Start Date]],4),""))))</f>
        <v/>
      </c>
      <c r="O652" s="77" t="str">
        <f>IF(Main[[#This Row],[Tech Start Date]]&lt;1/1/1990,"",IF(Main[[#This Row],[Class]]="C",WORKDAY(Main[[#This Row],[Tech Start Date]],23),IF(Main[[#This Row],[Class]]="B", WORKDAY(Main[[#This Row],[Tech Start Date]],15),IF(Main[[#This Row],[Class]]="A",WORKDAY(Main[[#This Row],[Tech Start Date]],5),""))))</f>
        <v/>
      </c>
      <c r="P652" s="77" t="str">
        <f>IF(Main[[#This Row],[Tech Start Date]]&lt;1/1/1990,"",IF(Main[[#This Row],[Class]]="C",WORKDAY(Main[[#This Row],[Tech Start Date]],28),IF(Main[[#This Row],[Class]]="B", WORKDAY(Main[[#This Row],[Tech Start Date]],19),IF(Main[[#This Row],[Class]]="A",WORKDAY(Main[[#This Row],[Tech Start Date]],9),""))))</f>
        <v/>
      </c>
      <c r="Q652" s="74"/>
      <c r="R652" s="74"/>
      <c r="S652" s="72" t="s">
        <v>6</v>
      </c>
      <c r="T652" s="80" t="s">
        <v>4</v>
      </c>
      <c r="U652" s="72" t="s">
        <v>14</v>
      </c>
      <c r="V652" s="72" t="s">
        <v>1935</v>
      </c>
      <c r="W652" s="72" t="s">
        <v>1936</v>
      </c>
      <c r="X652" s="72" t="s">
        <v>310</v>
      </c>
      <c r="Y652" s="72" t="s">
        <v>4</v>
      </c>
      <c r="Z652" s="72" t="s">
        <v>4</v>
      </c>
      <c r="AA652" s="147" t="s">
        <v>4</v>
      </c>
    </row>
    <row r="653" spans="1:27" ht="18.600000000000001" customHeight="1">
      <c r="A653" s="140" t="str">
        <f>IF(priority(Main[[#This Row],[Comments]])&lt;&gt;0, priority(Main[[#This Row],[Comments]]),"")</f>
        <v/>
      </c>
      <c r="B653" s="90" t="s">
        <v>1513</v>
      </c>
      <c r="C653" s="72" t="s">
        <v>606</v>
      </c>
      <c r="D653" s="73" t="s">
        <v>607</v>
      </c>
      <c r="E653" s="74"/>
      <c r="F653" s="74"/>
      <c r="G653" s="75" t="str">
        <f>IF(stdProdLT(Main[[#This Row],[Comments]])=0.1,"N/A",IF(stdProdLT(Main[[#This Row],[Comments]])=0,"",stdProdLT(Main[[#This Row],[Comments]])))</f>
        <v/>
      </c>
      <c r="H653" s="76" t="str">
        <f>IF(AND(Main[[#This Row],[In Stock Date]]&lt;&gt;"",Main[[#This Row],[Revised Due Date]]&lt;&gt;""),Main[[#This Row],[In Stock Date]]-Main[[#This Row],[Revised Due Date]],"")</f>
        <v/>
      </c>
      <c r="I653" s="72" t="s">
        <v>4</v>
      </c>
      <c r="J653" s="72" t="s">
        <v>4</v>
      </c>
      <c r="K653" s="72" t="s">
        <v>4</v>
      </c>
      <c r="L653" s="74"/>
      <c r="M653" s="77" t="str">
        <f>IF(Main[[#This Row],[Tech Start Date]]&lt;1/1/1990,"",IF(Main[[#This Row],[Class]]="C",WORKDAY(Main[[#This Row],[Tech Start Date]],9),IF(Main[[#This Row],[Class]]="B", WORKDAY(Main[[#This Row],[Tech Start Date]],6),IF(Main[[#This Row],[Class]]="A",WORKDAY(Main[[#This Row],[Tech Start Date]],2),""))))</f>
        <v/>
      </c>
      <c r="N653" s="77" t="str">
        <f>IF(Main[[#This Row],[Tech Start Date]]&lt;1/1/1990,"",IF(Main[[#This Row],[Class]]="C",WORKDAY(Main[[#This Row],[Tech Start Date]],19),IF(Main[[#This Row],[Class]]="B", WORKDAY(Main[[#This Row],[Tech Start Date]],12),IF(Main[[#This Row],[Class]]="A",WORKDAY(Main[[#This Row],[Tech Start Date]],4),""))))</f>
        <v/>
      </c>
      <c r="O653" s="77" t="str">
        <f>IF(Main[[#This Row],[Tech Start Date]]&lt;1/1/1990,"",IF(Main[[#This Row],[Class]]="C",WORKDAY(Main[[#This Row],[Tech Start Date]],23),IF(Main[[#This Row],[Class]]="B", WORKDAY(Main[[#This Row],[Tech Start Date]],15),IF(Main[[#This Row],[Class]]="A",WORKDAY(Main[[#This Row],[Tech Start Date]],5),""))))</f>
        <v/>
      </c>
      <c r="P653" s="77" t="str">
        <f>IF(Main[[#This Row],[Tech Start Date]]&lt;1/1/1990,"",IF(Main[[#This Row],[Class]]="C",WORKDAY(Main[[#This Row],[Tech Start Date]],28),IF(Main[[#This Row],[Class]]="B", WORKDAY(Main[[#This Row],[Tech Start Date]],19),IF(Main[[#This Row],[Class]]="A",WORKDAY(Main[[#This Row],[Tech Start Date]],9),""))))</f>
        <v/>
      </c>
      <c r="Q653" s="74">
        <v>40219</v>
      </c>
      <c r="R653" s="74"/>
      <c r="S653" s="72" t="s">
        <v>11</v>
      </c>
      <c r="T653" s="80" t="s">
        <v>4</v>
      </c>
      <c r="U653" s="72" t="s">
        <v>14</v>
      </c>
      <c r="V653" s="72" t="s">
        <v>1935</v>
      </c>
      <c r="W653" s="72" t="s">
        <v>1934</v>
      </c>
      <c r="X653" s="72" t="s">
        <v>2978</v>
      </c>
      <c r="Y653" s="72" t="s">
        <v>4</v>
      </c>
      <c r="Z653" s="72" t="s">
        <v>4</v>
      </c>
      <c r="AA653" s="147" t="s">
        <v>2978</v>
      </c>
    </row>
    <row r="654" spans="1:27" ht="18.600000000000001" customHeight="1">
      <c r="A654" s="140" t="str">
        <f>IF(priority(Main[[#This Row],[Comments]])&lt;&gt;0, priority(Main[[#This Row],[Comments]]),"")</f>
        <v/>
      </c>
      <c r="B654" s="90" t="s">
        <v>1514</v>
      </c>
      <c r="C654" s="72" t="s">
        <v>4</v>
      </c>
      <c r="D654" s="73" t="s">
        <v>608</v>
      </c>
      <c r="E654" s="74"/>
      <c r="F654" s="74"/>
      <c r="G654" s="75" t="str">
        <f>IF(stdProdLT(Main[[#This Row],[Comments]])=0.1,"N/A",IF(stdProdLT(Main[[#This Row],[Comments]])=0,"",stdProdLT(Main[[#This Row],[Comments]])))</f>
        <v/>
      </c>
      <c r="H654" s="76" t="str">
        <f>IF(AND(Main[[#This Row],[In Stock Date]]&lt;&gt;"",Main[[#This Row],[Revised Due Date]]&lt;&gt;""),Main[[#This Row],[In Stock Date]]-Main[[#This Row],[Revised Due Date]],"")</f>
        <v/>
      </c>
      <c r="I654" s="72" t="s">
        <v>81</v>
      </c>
      <c r="J654" s="72" t="s">
        <v>4</v>
      </c>
      <c r="K654" s="72" t="s">
        <v>4</v>
      </c>
      <c r="L654" s="74"/>
      <c r="M654" s="77" t="str">
        <f>IF(Main[[#This Row],[Tech Start Date]]&lt;1/1/1990,"",IF(Main[[#This Row],[Class]]="C",WORKDAY(Main[[#This Row],[Tech Start Date]],9),IF(Main[[#This Row],[Class]]="B", WORKDAY(Main[[#This Row],[Tech Start Date]],6),IF(Main[[#This Row],[Class]]="A",WORKDAY(Main[[#This Row],[Tech Start Date]],2),""))))</f>
        <v/>
      </c>
      <c r="N654" s="77" t="str">
        <f>IF(Main[[#This Row],[Tech Start Date]]&lt;1/1/1990,"",IF(Main[[#This Row],[Class]]="C",WORKDAY(Main[[#This Row],[Tech Start Date]],19),IF(Main[[#This Row],[Class]]="B", WORKDAY(Main[[#This Row],[Tech Start Date]],12),IF(Main[[#This Row],[Class]]="A",WORKDAY(Main[[#This Row],[Tech Start Date]],4),""))))</f>
        <v/>
      </c>
      <c r="O654" s="77" t="str">
        <f>IF(Main[[#This Row],[Tech Start Date]]&lt;1/1/1990,"",IF(Main[[#This Row],[Class]]="C",WORKDAY(Main[[#This Row],[Tech Start Date]],23),IF(Main[[#This Row],[Class]]="B", WORKDAY(Main[[#This Row],[Tech Start Date]],15),IF(Main[[#This Row],[Class]]="A",WORKDAY(Main[[#This Row],[Tech Start Date]],5),""))))</f>
        <v/>
      </c>
      <c r="P654" s="77" t="str">
        <f>IF(Main[[#This Row],[Tech Start Date]]&lt;1/1/1990,"",IF(Main[[#This Row],[Class]]="C",WORKDAY(Main[[#This Row],[Tech Start Date]],28),IF(Main[[#This Row],[Class]]="B", WORKDAY(Main[[#This Row],[Tech Start Date]],19),IF(Main[[#This Row],[Class]]="A",WORKDAY(Main[[#This Row],[Tech Start Date]],9),""))))</f>
        <v/>
      </c>
      <c r="Q654" s="74">
        <v>40390</v>
      </c>
      <c r="R654" s="74"/>
      <c r="S654" s="72" t="s">
        <v>6</v>
      </c>
      <c r="T654" s="80" t="s">
        <v>4</v>
      </c>
      <c r="U654" s="72" t="s">
        <v>14</v>
      </c>
      <c r="V654" s="72" t="s">
        <v>1935</v>
      </c>
      <c r="W654" s="72" t="s">
        <v>4</v>
      </c>
      <c r="X654" s="72" t="s">
        <v>2903</v>
      </c>
      <c r="Y654" s="72" t="s">
        <v>3019</v>
      </c>
      <c r="Z654" s="72" t="s">
        <v>44</v>
      </c>
      <c r="AA654" s="147" t="s">
        <v>2903</v>
      </c>
    </row>
    <row r="655" spans="1:27" ht="18.600000000000001" customHeight="1">
      <c r="A655" s="140" t="str">
        <f>IF(priority(Main[[#This Row],[Comments]])&lt;&gt;0, priority(Main[[#This Row],[Comments]]),"")</f>
        <v/>
      </c>
      <c r="B655" s="90" t="s">
        <v>1515</v>
      </c>
      <c r="C655" s="72" t="s">
        <v>93</v>
      </c>
      <c r="D655" s="73" t="s">
        <v>609</v>
      </c>
      <c r="E655" s="74"/>
      <c r="F655" s="74">
        <v>40299</v>
      </c>
      <c r="G655" s="75" t="str">
        <f>IF(stdProdLT(Main[[#This Row],[Comments]])=0.1,"N/A",IF(stdProdLT(Main[[#This Row],[Comments]])=0,"",stdProdLT(Main[[#This Row],[Comments]])))</f>
        <v/>
      </c>
      <c r="H655" s="76" t="str">
        <f>IF(AND(Main[[#This Row],[In Stock Date]]&lt;&gt;"",Main[[#This Row],[Revised Due Date]]&lt;&gt;""),Main[[#This Row],[In Stock Date]]-Main[[#This Row],[Revised Due Date]],"")</f>
        <v/>
      </c>
      <c r="I655" s="72" t="s">
        <v>4</v>
      </c>
      <c r="J655" s="72" t="s">
        <v>4</v>
      </c>
      <c r="K655" s="72" t="s">
        <v>4</v>
      </c>
      <c r="L655" s="74"/>
      <c r="M655" s="77" t="str">
        <f>IF(Main[[#This Row],[Tech Start Date]]&lt;1/1/1990,"",IF(Main[[#This Row],[Class]]="C",WORKDAY(Main[[#This Row],[Tech Start Date]],9),IF(Main[[#This Row],[Class]]="B", WORKDAY(Main[[#This Row],[Tech Start Date]],6),IF(Main[[#This Row],[Class]]="A",WORKDAY(Main[[#This Row],[Tech Start Date]],2),""))))</f>
        <v/>
      </c>
      <c r="N655" s="77" t="str">
        <f>IF(Main[[#This Row],[Tech Start Date]]&lt;1/1/1990,"",IF(Main[[#This Row],[Class]]="C",WORKDAY(Main[[#This Row],[Tech Start Date]],19),IF(Main[[#This Row],[Class]]="B", WORKDAY(Main[[#This Row],[Tech Start Date]],12),IF(Main[[#This Row],[Class]]="A",WORKDAY(Main[[#This Row],[Tech Start Date]],4),""))))</f>
        <v/>
      </c>
      <c r="O655" s="77" t="str">
        <f>IF(Main[[#This Row],[Tech Start Date]]&lt;1/1/1990,"",IF(Main[[#This Row],[Class]]="C",WORKDAY(Main[[#This Row],[Tech Start Date]],23),IF(Main[[#This Row],[Class]]="B", WORKDAY(Main[[#This Row],[Tech Start Date]],15),IF(Main[[#This Row],[Class]]="A",WORKDAY(Main[[#This Row],[Tech Start Date]],5),""))))</f>
        <v/>
      </c>
      <c r="P655" s="77" t="str">
        <f>IF(Main[[#This Row],[Tech Start Date]]&lt;1/1/1990,"",IF(Main[[#This Row],[Class]]="C",WORKDAY(Main[[#This Row],[Tech Start Date]],28),IF(Main[[#This Row],[Class]]="B", WORKDAY(Main[[#This Row],[Tech Start Date]],19),IF(Main[[#This Row],[Class]]="A",WORKDAY(Main[[#This Row],[Tech Start Date]],9),""))))</f>
        <v/>
      </c>
      <c r="Q655" s="74">
        <v>40214</v>
      </c>
      <c r="R655" s="74"/>
      <c r="S655" s="72" t="s">
        <v>11</v>
      </c>
      <c r="T655" s="80" t="s">
        <v>4</v>
      </c>
      <c r="U655" s="72" t="s">
        <v>12</v>
      </c>
      <c r="V655" s="72" t="s">
        <v>1932</v>
      </c>
      <c r="W655" s="72" t="s">
        <v>1938</v>
      </c>
      <c r="X655" s="72" t="s">
        <v>2929</v>
      </c>
      <c r="Y655" s="72" t="s">
        <v>4</v>
      </c>
      <c r="Z655" s="72" t="s">
        <v>4</v>
      </c>
      <c r="AA655" s="147" t="s">
        <v>2929</v>
      </c>
    </row>
    <row r="656" spans="1:27" ht="18.600000000000001" customHeight="1">
      <c r="A656" s="140" t="str">
        <f>IF(priority(Main[[#This Row],[Comments]])&lt;&gt;0, priority(Main[[#This Row],[Comments]]),"")</f>
        <v/>
      </c>
      <c r="B656" s="90" t="s">
        <v>1200</v>
      </c>
      <c r="C656" s="72" t="s">
        <v>4</v>
      </c>
      <c r="D656" s="73" t="s">
        <v>250</v>
      </c>
      <c r="E656" s="74"/>
      <c r="F656" s="74"/>
      <c r="G656" s="75" t="str">
        <f>IF(stdProdLT(Main[[#This Row],[Comments]])=0.1,"N/A",IF(stdProdLT(Main[[#This Row],[Comments]])=0,"",stdProdLT(Main[[#This Row],[Comments]])))</f>
        <v/>
      </c>
      <c r="H656" s="76" t="str">
        <f>IF(AND(Main[[#This Row],[In Stock Date]]&lt;&gt;"",Main[[#This Row],[Revised Due Date]]&lt;&gt;""),Main[[#This Row],[In Stock Date]]-Main[[#This Row],[Revised Due Date]],"")</f>
        <v/>
      </c>
      <c r="I656" s="72" t="s">
        <v>4</v>
      </c>
      <c r="J656" s="72" t="s">
        <v>28</v>
      </c>
      <c r="K656" s="72" t="s">
        <v>4</v>
      </c>
      <c r="L656" s="74"/>
      <c r="M656" s="77" t="str">
        <f>IF(Main[[#This Row],[Tech Start Date]]&lt;1/1/1990,"",IF(Main[[#This Row],[Class]]="C",WORKDAY(Main[[#This Row],[Tech Start Date]],9),IF(Main[[#This Row],[Class]]="B", WORKDAY(Main[[#This Row],[Tech Start Date]],6),IF(Main[[#This Row],[Class]]="A",WORKDAY(Main[[#This Row],[Tech Start Date]],2),""))))</f>
        <v/>
      </c>
      <c r="N656" s="77" t="str">
        <f>IF(Main[[#This Row],[Tech Start Date]]&lt;1/1/1990,"",IF(Main[[#This Row],[Class]]="C",WORKDAY(Main[[#This Row],[Tech Start Date]],19),IF(Main[[#This Row],[Class]]="B", WORKDAY(Main[[#This Row],[Tech Start Date]],12),IF(Main[[#This Row],[Class]]="A",WORKDAY(Main[[#This Row],[Tech Start Date]],4),""))))</f>
        <v/>
      </c>
      <c r="O656" s="77" t="str">
        <f>IF(Main[[#This Row],[Tech Start Date]]&lt;1/1/1990,"",IF(Main[[#This Row],[Class]]="C",WORKDAY(Main[[#This Row],[Tech Start Date]],23),IF(Main[[#This Row],[Class]]="B", WORKDAY(Main[[#This Row],[Tech Start Date]],15),IF(Main[[#This Row],[Class]]="A",WORKDAY(Main[[#This Row],[Tech Start Date]],5),""))))</f>
        <v/>
      </c>
      <c r="P656" s="77" t="str">
        <f>IF(Main[[#This Row],[Tech Start Date]]&lt;1/1/1990,"",IF(Main[[#This Row],[Class]]="C",WORKDAY(Main[[#This Row],[Tech Start Date]],28),IF(Main[[#This Row],[Class]]="B", WORKDAY(Main[[#This Row],[Tech Start Date]],19),IF(Main[[#This Row],[Class]]="A",WORKDAY(Main[[#This Row],[Tech Start Date]],9),""))))</f>
        <v/>
      </c>
      <c r="Q656" s="74">
        <v>40480</v>
      </c>
      <c r="R656" s="74"/>
      <c r="S656" s="72" t="s">
        <v>6</v>
      </c>
      <c r="T656" s="80" t="s">
        <v>4</v>
      </c>
      <c r="U656" s="72" t="s">
        <v>14</v>
      </c>
      <c r="V656" s="72" t="s">
        <v>1932</v>
      </c>
      <c r="W656" s="72" t="s">
        <v>1940</v>
      </c>
      <c r="X656" s="72" t="s">
        <v>2979</v>
      </c>
      <c r="Y656" s="72" t="s">
        <v>3147</v>
      </c>
      <c r="Z656" s="72" t="s">
        <v>129</v>
      </c>
      <c r="AA656" s="147" t="s">
        <v>2979</v>
      </c>
    </row>
    <row r="657" spans="1:27" ht="18.600000000000001" customHeight="1">
      <c r="A657" s="140" t="str">
        <f>IF(priority(Main[[#This Row],[Comments]])&lt;&gt;0, priority(Main[[#This Row],[Comments]]),"")</f>
        <v/>
      </c>
      <c r="B657" s="90" t="s">
        <v>1516</v>
      </c>
      <c r="C657" s="72" t="s">
        <v>31</v>
      </c>
      <c r="D657" s="73" t="s">
        <v>610</v>
      </c>
      <c r="E657" s="74"/>
      <c r="F657" s="74">
        <v>40330</v>
      </c>
      <c r="G657" s="75" t="str">
        <f>IF(stdProdLT(Main[[#This Row],[Comments]])=0.1,"N/A",IF(stdProdLT(Main[[#This Row],[Comments]])=0,"",stdProdLT(Main[[#This Row],[Comments]])))</f>
        <v/>
      </c>
      <c r="H657" s="76" t="str">
        <f>IF(AND(Main[[#This Row],[In Stock Date]]&lt;&gt;"",Main[[#This Row],[Revised Due Date]]&lt;&gt;""),Main[[#This Row],[In Stock Date]]-Main[[#This Row],[Revised Due Date]],"")</f>
        <v/>
      </c>
      <c r="I657" s="72" t="s">
        <v>422</v>
      </c>
      <c r="J657" s="72" t="s">
        <v>4</v>
      </c>
      <c r="K657" s="72" t="s">
        <v>4</v>
      </c>
      <c r="L657" s="74"/>
      <c r="M657" s="77" t="str">
        <f>IF(Main[[#This Row],[Tech Start Date]]&lt;1/1/1990,"",IF(Main[[#This Row],[Class]]="C",WORKDAY(Main[[#This Row],[Tech Start Date]],9),IF(Main[[#This Row],[Class]]="B", WORKDAY(Main[[#This Row],[Tech Start Date]],6),IF(Main[[#This Row],[Class]]="A",WORKDAY(Main[[#This Row],[Tech Start Date]],2),""))))</f>
        <v/>
      </c>
      <c r="N657" s="77" t="str">
        <f>IF(Main[[#This Row],[Tech Start Date]]&lt;1/1/1990,"",IF(Main[[#This Row],[Class]]="C",WORKDAY(Main[[#This Row],[Tech Start Date]],19),IF(Main[[#This Row],[Class]]="B", WORKDAY(Main[[#This Row],[Tech Start Date]],12),IF(Main[[#This Row],[Class]]="A",WORKDAY(Main[[#This Row],[Tech Start Date]],4),""))))</f>
        <v/>
      </c>
      <c r="O657" s="77" t="str">
        <f>IF(Main[[#This Row],[Tech Start Date]]&lt;1/1/1990,"",IF(Main[[#This Row],[Class]]="C",WORKDAY(Main[[#This Row],[Tech Start Date]],23),IF(Main[[#This Row],[Class]]="B", WORKDAY(Main[[#This Row],[Tech Start Date]],15),IF(Main[[#This Row],[Class]]="A",WORKDAY(Main[[#This Row],[Tech Start Date]],5),""))))</f>
        <v/>
      </c>
      <c r="P657" s="77" t="str">
        <f>IF(Main[[#This Row],[Tech Start Date]]&lt;1/1/1990,"",IF(Main[[#This Row],[Class]]="C",WORKDAY(Main[[#This Row],[Tech Start Date]],28),IF(Main[[#This Row],[Class]]="B", WORKDAY(Main[[#This Row],[Tech Start Date]],19),IF(Main[[#This Row],[Class]]="A",WORKDAY(Main[[#This Row],[Tech Start Date]],9),""))))</f>
        <v/>
      </c>
      <c r="Q657" s="74">
        <v>40210</v>
      </c>
      <c r="R657" s="74"/>
      <c r="S657" s="72" t="s">
        <v>11</v>
      </c>
      <c r="T657" s="80" t="s">
        <v>4</v>
      </c>
      <c r="U657" s="72" t="s">
        <v>14</v>
      </c>
      <c r="V657" s="72" t="s">
        <v>1935</v>
      </c>
      <c r="W657" s="72" t="s">
        <v>1938</v>
      </c>
      <c r="X657" s="72" t="s">
        <v>2908</v>
      </c>
      <c r="Y657" s="72" t="s">
        <v>3030</v>
      </c>
      <c r="Z657" s="72" t="s">
        <v>4</v>
      </c>
      <c r="AA657" s="147" t="s">
        <v>2908</v>
      </c>
    </row>
    <row r="658" spans="1:27" ht="18.600000000000001" customHeight="1">
      <c r="A658" s="140" t="str">
        <f>IF(priority(Main[[#This Row],[Comments]])&lt;&gt;0, priority(Main[[#This Row],[Comments]]),"")</f>
        <v/>
      </c>
      <c r="B658" s="90" t="s">
        <v>2408</v>
      </c>
      <c r="C658" s="72" t="s">
        <v>4</v>
      </c>
      <c r="D658" s="73" t="s">
        <v>2409</v>
      </c>
      <c r="E658" s="74">
        <v>40835.331365740742</v>
      </c>
      <c r="F658" s="74"/>
      <c r="G658" s="75" t="str">
        <f>IF(stdProdLT(Main[[#This Row],[Comments]])=0.1,"N/A",IF(stdProdLT(Main[[#This Row],[Comments]])=0,"",stdProdLT(Main[[#This Row],[Comments]])))</f>
        <v/>
      </c>
      <c r="H658" s="76" t="str">
        <f>IF(AND(Main[[#This Row],[In Stock Date]]&lt;&gt;"",Main[[#This Row],[Revised Due Date]]&lt;&gt;""),Main[[#This Row],[In Stock Date]]-Main[[#This Row],[Revised Due Date]],"")</f>
        <v/>
      </c>
      <c r="I658" s="72" t="s">
        <v>403</v>
      </c>
      <c r="J658" s="72" t="s">
        <v>75</v>
      </c>
      <c r="K658" s="81" t="s">
        <v>1941</v>
      </c>
      <c r="L658" s="74"/>
      <c r="M658" s="77" t="str">
        <f>IF(Main[[#This Row],[Tech Start Date]]&lt;1/1/1990,"",IF(Main[[#This Row],[Class]]="C",WORKDAY(Main[[#This Row],[Tech Start Date]],9),IF(Main[[#This Row],[Class]]="B", WORKDAY(Main[[#This Row],[Tech Start Date]],6),IF(Main[[#This Row],[Class]]="A",WORKDAY(Main[[#This Row],[Tech Start Date]],2),""))))</f>
        <v/>
      </c>
      <c r="N658" s="77" t="str">
        <f>IF(Main[[#This Row],[Tech Start Date]]&lt;1/1/1990,"",IF(Main[[#This Row],[Class]]="C",WORKDAY(Main[[#This Row],[Tech Start Date]],19),IF(Main[[#This Row],[Class]]="B", WORKDAY(Main[[#This Row],[Tech Start Date]],12),IF(Main[[#This Row],[Class]]="A",WORKDAY(Main[[#This Row],[Tech Start Date]],4),""))))</f>
        <v/>
      </c>
      <c r="O658" s="77" t="str">
        <f>IF(Main[[#This Row],[Tech Start Date]]&lt;1/1/1990,"",IF(Main[[#This Row],[Class]]="C",WORKDAY(Main[[#This Row],[Tech Start Date]],23),IF(Main[[#This Row],[Class]]="B", WORKDAY(Main[[#This Row],[Tech Start Date]],15),IF(Main[[#This Row],[Class]]="A",WORKDAY(Main[[#This Row],[Tech Start Date]],5),""))))</f>
        <v/>
      </c>
      <c r="P658" s="77" t="str">
        <f>IF(Main[[#This Row],[Tech Start Date]]&lt;1/1/1990,"",IF(Main[[#This Row],[Class]]="C",WORKDAY(Main[[#This Row],[Tech Start Date]],28),IF(Main[[#This Row],[Class]]="B", WORKDAY(Main[[#This Row],[Tech Start Date]],19),IF(Main[[#This Row],[Class]]="A",WORKDAY(Main[[#This Row],[Tech Start Date]],9),""))))</f>
        <v/>
      </c>
      <c r="Q658" s="74"/>
      <c r="R658" s="74"/>
      <c r="S658" s="72" t="s">
        <v>6</v>
      </c>
      <c r="T658" s="80" t="s">
        <v>4</v>
      </c>
      <c r="U658" s="72" t="s">
        <v>29</v>
      </c>
      <c r="V658" s="72" t="s">
        <v>1935</v>
      </c>
      <c r="W658" s="72" t="s">
        <v>1936</v>
      </c>
      <c r="X658" s="72" t="s">
        <v>403</v>
      </c>
      <c r="Y658" s="72" t="s">
        <v>4</v>
      </c>
      <c r="Z658" s="72" t="s">
        <v>535</v>
      </c>
      <c r="AA658" s="147" t="s">
        <v>3584</v>
      </c>
    </row>
    <row r="659" spans="1:27" ht="18.600000000000001" customHeight="1">
      <c r="A659" s="140" t="str">
        <f>IF(priority(Main[[#This Row],[Comments]])&lt;&gt;0, priority(Main[[#This Row],[Comments]]),"")</f>
        <v/>
      </c>
      <c r="B659" s="90" t="s">
        <v>1517</v>
      </c>
      <c r="C659" s="72" t="s">
        <v>4</v>
      </c>
      <c r="D659" s="73" t="s">
        <v>611</v>
      </c>
      <c r="E659" s="74">
        <v>40312.431608796294</v>
      </c>
      <c r="F659" s="74"/>
      <c r="G659" s="75" t="str">
        <f>IF(stdProdLT(Main[[#This Row],[Comments]])=0.1,"N/A",IF(stdProdLT(Main[[#This Row],[Comments]])=0,"",stdProdLT(Main[[#This Row],[Comments]])))</f>
        <v/>
      </c>
      <c r="H659" s="76" t="str">
        <f>IF(AND(Main[[#This Row],[In Stock Date]]&lt;&gt;"",Main[[#This Row],[Revised Due Date]]&lt;&gt;""),Main[[#This Row],[In Stock Date]]-Main[[#This Row],[Revised Due Date]],"")</f>
        <v/>
      </c>
      <c r="I659" s="72" t="s">
        <v>129</v>
      </c>
      <c r="J659" s="72" t="s">
        <v>4</v>
      </c>
      <c r="K659" s="72" t="s">
        <v>4</v>
      </c>
      <c r="L659" s="74"/>
      <c r="M659" s="77" t="str">
        <f>IF(Main[[#This Row],[Tech Start Date]]&lt;1/1/1990,"",IF(Main[[#This Row],[Class]]="C",WORKDAY(Main[[#This Row],[Tech Start Date]],9),IF(Main[[#This Row],[Class]]="B", WORKDAY(Main[[#This Row],[Tech Start Date]],6),IF(Main[[#This Row],[Class]]="A",WORKDAY(Main[[#This Row],[Tech Start Date]],2),""))))</f>
        <v/>
      </c>
      <c r="N659" s="77" t="str">
        <f>IF(Main[[#This Row],[Tech Start Date]]&lt;1/1/1990,"",IF(Main[[#This Row],[Class]]="C",WORKDAY(Main[[#This Row],[Tech Start Date]],19),IF(Main[[#This Row],[Class]]="B", WORKDAY(Main[[#This Row],[Tech Start Date]],12),IF(Main[[#This Row],[Class]]="A",WORKDAY(Main[[#This Row],[Tech Start Date]],4),""))))</f>
        <v/>
      </c>
      <c r="O659" s="77" t="str">
        <f>IF(Main[[#This Row],[Tech Start Date]]&lt;1/1/1990,"",IF(Main[[#This Row],[Class]]="C",WORKDAY(Main[[#This Row],[Tech Start Date]],23),IF(Main[[#This Row],[Class]]="B", WORKDAY(Main[[#This Row],[Tech Start Date]],15),IF(Main[[#This Row],[Class]]="A",WORKDAY(Main[[#This Row],[Tech Start Date]],5),""))))</f>
        <v/>
      </c>
      <c r="P659" s="77" t="str">
        <f>IF(Main[[#This Row],[Tech Start Date]]&lt;1/1/1990,"",IF(Main[[#This Row],[Class]]="C",WORKDAY(Main[[#This Row],[Tech Start Date]],28),IF(Main[[#This Row],[Class]]="B", WORKDAY(Main[[#This Row],[Tech Start Date]],19),IF(Main[[#This Row],[Class]]="A",WORKDAY(Main[[#This Row],[Tech Start Date]],9),""))))</f>
        <v/>
      </c>
      <c r="Q659" s="74">
        <v>40326</v>
      </c>
      <c r="R659" s="74"/>
      <c r="S659" s="72" t="s">
        <v>6</v>
      </c>
      <c r="T659" s="80" t="s">
        <v>4</v>
      </c>
      <c r="U659" s="72" t="s">
        <v>7</v>
      </c>
      <c r="V659" s="72" t="s">
        <v>1932</v>
      </c>
      <c r="W659" s="72" t="s">
        <v>1936</v>
      </c>
      <c r="X659" s="72" t="s">
        <v>102</v>
      </c>
      <c r="Y659" s="72" t="s">
        <v>3098</v>
      </c>
      <c r="Z659" s="72" t="s">
        <v>4</v>
      </c>
      <c r="AA659" s="147" t="s">
        <v>102</v>
      </c>
    </row>
    <row r="660" spans="1:27" ht="18.600000000000001" customHeight="1">
      <c r="A660" s="140" t="str">
        <f>IF(priority(Main[[#This Row],[Comments]])&lt;&gt;0, priority(Main[[#This Row],[Comments]]),"")</f>
        <v/>
      </c>
      <c r="B660" s="90" t="s">
        <v>1530</v>
      </c>
      <c r="C660" s="72" t="s">
        <v>4</v>
      </c>
      <c r="D660" s="73" t="s">
        <v>596</v>
      </c>
      <c r="E660" s="74"/>
      <c r="F660" s="74"/>
      <c r="G660" s="75" t="str">
        <f>IF(stdProdLT(Main[[#This Row],[Comments]])=0.1,"N/A",IF(stdProdLT(Main[[#This Row],[Comments]])=0,"",stdProdLT(Main[[#This Row],[Comments]])))</f>
        <v/>
      </c>
      <c r="H660" s="76" t="str">
        <f>IF(AND(Main[[#This Row],[In Stock Date]]&lt;&gt;"",Main[[#This Row],[Revised Due Date]]&lt;&gt;""),Main[[#This Row],[In Stock Date]]-Main[[#This Row],[Revised Due Date]],"")</f>
        <v/>
      </c>
      <c r="I660" s="72" t="s">
        <v>4</v>
      </c>
      <c r="J660" s="72" t="s">
        <v>4</v>
      </c>
      <c r="K660" s="72" t="s">
        <v>4</v>
      </c>
      <c r="L660" s="74"/>
      <c r="M660" s="77" t="str">
        <f>IF(Main[[#This Row],[Tech Start Date]]&lt;1/1/1990,"",IF(Main[[#This Row],[Class]]="C",WORKDAY(Main[[#This Row],[Tech Start Date]],9),IF(Main[[#This Row],[Class]]="B", WORKDAY(Main[[#This Row],[Tech Start Date]],6),IF(Main[[#This Row],[Class]]="A",WORKDAY(Main[[#This Row],[Tech Start Date]],2),""))))</f>
        <v/>
      </c>
      <c r="N660" s="77" t="str">
        <f>IF(Main[[#This Row],[Tech Start Date]]&lt;1/1/1990,"",IF(Main[[#This Row],[Class]]="C",WORKDAY(Main[[#This Row],[Tech Start Date]],19),IF(Main[[#This Row],[Class]]="B", WORKDAY(Main[[#This Row],[Tech Start Date]],12),IF(Main[[#This Row],[Class]]="A",WORKDAY(Main[[#This Row],[Tech Start Date]],4),""))))</f>
        <v/>
      </c>
      <c r="O660" s="77" t="str">
        <f>IF(Main[[#This Row],[Tech Start Date]]&lt;1/1/1990,"",IF(Main[[#This Row],[Class]]="C",WORKDAY(Main[[#This Row],[Tech Start Date]],23),IF(Main[[#This Row],[Class]]="B", WORKDAY(Main[[#This Row],[Tech Start Date]],15),IF(Main[[#This Row],[Class]]="A",WORKDAY(Main[[#This Row],[Tech Start Date]],5),""))))</f>
        <v/>
      </c>
      <c r="P660" s="77" t="str">
        <f>IF(Main[[#This Row],[Tech Start Date]]&lt;1/1/1990,"",IF(Main[[#This Row],[Class]]="C",WORKDAY(Main[[#This Row],[Tech Start Date]],28),IF(Main[[#This Row],[Class]]="B", WORKDAY(Main[[#This Row],[Tech Start Date]],19),IF(Main[[#This Row],[Class]]="A",WORKDAY(Main[[#This Row],[Tech Start Date]],9),""))))</f>
        <v/>
      </c>
      <c r="Q660" s="74"/>
      <c r="R660" s="74"/>
      <c r="S660" s="72" t="s">
        <v>23</v>
      </c>
      <c r="T660" s="80" t="s">
        <v>4</v>
      </c>
      <c r="U660" s="72" t="s">
        <v>14</v>
      </c>
      <c r="V660" s="72" t="s">
        <v>1932</v>
      </c>
      <c r="W660" s="72" t="s">
        <v>1936</v>
      </c>
      <c r="X660" s="72" t="s">
        <v>102</v>
      </c>
      <c r="Y660" s="72" t="s">
        <v>3155</v>
      </c>
      <c r="Z660" s="72" t="s">
        <v>4</v>
      </c>
      <c r="AA660" s="147" t="s">
        <v>3609</v>
      </c>
    </row>
    <row r="661" spans="1:27" ht="18.600000000000001" customHeight="1">
      <c r="A661" s="140" t="str">
        <f>IF(priority(Main[[#This Row],[Comments]])&lt;&gt;0, priority(Main[[#This Row],[Comments]]),"")</f>
        <v/>
      </c>
      <c r="B661" s="90" t="s">
        <v>1531</v>
      </c>
      <c r="C661" s="72" t="s">
        <v>4</v>
      </c>
      <c r="D661" s="73" t="s">
        <v>597</v>
      </c>
      <c r="E661" s="74"/>
      <c r="F661" s="74">
        <v>40047</v>
      </c>
      <c r="G661" s="75" t="str">
        <f>IF(stdProdLT(Main[[#This Row],[Comments]])=0.1,"N/A",IF(stdProdLT(Main[[#This Row],[Comments]])=0,"",stdProdLT(Main[[#This Row],[Comments]])))</f>
        <v/>
      </c>
      <c r="H661" s="76" t="str">
        <f>IF(AND(Main[[#This Row],[In Stock Date]]&lt;&gt;"",Main[[#This Row],[Revised Due Date]]&lt;&gt;""),Main[[#This Row],[In Stock Date]]-Main[[#This Row],[Revised Due Date]],"")</f>
        <v/>
      </c>
      <c r="I661" s="72" t="s">
        <v>4</v>
      </c>
      <c r="J661" s="72" t="s">
        <v>4</v>
      </c>
      <c r="K661" s="81" t="s">
        <v>4</v>
      </c>
      <c r="L661" s="74"/>
      <c r="M661" s="77" t="str">
        <f>IF(Main[[#This Row],[Tech Start Date]]&lt;1/1/1990,"",IF(Main[[#This Row],[Class]]="C",WORKDAY(Main[[#This Row],[Tech Start Date]],9),IF(Main[[#This Row],[Class]]="B", WORKDAY(Main[[#This Row],[Tech Start Date]],6),IF(Main[[#This Row],[Class]]="A",WORKDAY(Main[[#This Row],[Tech Start Date]],2),""))))</f>
        <v/>
      </c>
      <c r="N661" s="77" t="str">
        <f>IF(Main[[#This Row],[Tech Start Date]]&lt;1/1/1990,"",IF(Main[[#This Row],[Class]]="C",WORKDAY(Main[[#This Row],[Tech Start Date]],19),IF(Main[[#This Row],[Class]]="B", WORKDAY(Main[[#This Row],[Tech Start Date]],12),IF(Main[[#This Row],[Class]]="A",WORKDAY(Main[[#This Row],[Tech Start Date]],4),""))))</f>
        <v/>
      </c>
      <c r="O661" s="77" t="str">
        <f>IF(Main[[#This Row],[Tech Start Date]]&lt;1/1/1990,"",IF(Main[[#This Row],[Class]]="C",WORKDAY(Main[[#This Row],[Tech Start Date]],23),IF(Main[[#This Row],[Class]]="B", WORKDAY(Main[[#This Row],[Tech Start Date]],15),IF(Main[[#This Row],[Class]]="A",WORKDAY(Main[[#This Row],[Tech Start Date]],5),""))))</f>
        <v/>
      </c>
      <c r="P661" s="77" t="str">
        <f>IF(Main[[#This Row],[Tech Start Date]]&lt;1/1/1990,"",IF(Main[[#This Row],[Class]]="C",WORKDAY(Main[[#This Row],[Tech Start Date]],28),IF(Main[[#This Row],[Class]]="B", WORKDAY(Main[[#This Row],[Tech Start Date]],19),IF(Main[[#This Row],[Class]]="A",WORKDAY(Main[[#This Row],[Tech Start Date]],9),""))))</f>
        <v/>
      </c>
      <c r="Q661" s="74"/>
      <c r="R661" s="74"/>
      <c r="S661" s="72" t="s">
        <v>11</v>
      </c>
      <c r="T661" s="80" t="s">
        <v>4</v>
      </c>
      <c r="U661" s="72" t="s">
        <v>14</v>
      </c>
      <c r="V661" s="72" t="s">
        <v>1935</v>
      </c>
      <c r="W661" s="72" t="s">
        <v>1938</v>
      </c>
      <c r="X661" s="72" t="s">
        <v>2947</v>
      </c>
      <c r="Y661" s="72" t="s">
        <v>3156</v>
      </c>
      <c r="Z661" s="72" t="s">
        <v>4</v>
      </c>
      <c r="AA661" s="147" t="s">
        <v>2947</v>
      </c>
    </row>
    <row r="662" spans="1:27" ht="18.600000000000001" customHeight="1">
      <c r="A662" s="140" t="str">
        <f>IF(priority(Main[[#This Row],[Comments]])&lt;&gt;0, priority(Main[[#This Row],[Comments]]),"")</f>
        <v/>
      </c>
      <c r="B662" s="90" t="s">
        <v>1532</v>
      </c>
      <c r="C662" s="72" t="s">
        <v>4</v>
      </c>
      <c r="D662" s="73" t="s">
        <v>598</v>
      </c>
      <c r="E662" s="74"/>
      <c r="F662" s="74"/>
      <c r="G662" s="75" t="str">
        <f>IF(stdProdLT(Main[[#This Row],[Comments]])=0.1,"N/A",IF(stdProdLT(Main[[#This Row],[Comments]])=0,"",stdProdLT(Main[[#This Row],[Comments]])))</f>
        <v/>
      </c>
      <c r="H662" s="76" t="str">
        <f>IF(AND(Main[[#This Row],[In Stock Date]]&lt;&gt;"",Main[[#This Row],[Revised Due Date]]&lt;&gt;""),Main[[#This Row],[In Stock Date]]-Main[[#This Row],[Revised Due Date]],"")</f>
        <v/>
      </c>
      <c r="I662" s="72" t="s">
        <v>4</v>
      </c>
      <c r="J662" s="72" t="s">
        <v>4</v>
      </c>
      <c r="K662" s="72" t="s">
        <v>4</v>
      </c>
      <c r="L662" s="74"/>
      <c r="M662" s="77" t="str">
        <f>IF(Main[[#This Row],[Tech Start Date]]&lt;1/1/1990,"",IF(Main[[#This Row],[Class]]="C",WORKDAY(Main[[#This Row],[Tech Start Date]],9),IF(Main[[#This Row],[Class]]="B", WORKDAY(Main[[#This Row],[Tech Start Date]],6),IF(Main[[#This Row],[Class]]="A",WORKDAY(Main[[#This Row],[Tech Start Date]],2),""))))</f>
        <v/>
      </c>
      <c r="N662" s="77" t="str">
        <f>IF(Main[[#This Row],[Tech Start Date]]&lt;1/1/1990,"",IF(Main[[#This Row],[Class]]="C",WORKDAY(Main[[#This Row],[Tech Start Date]],19),IF(Main[[#This Row],[Class]]="B", WORKDAY(Main[[#This Row],[Tech Start Date]],12),IF(Main[[#This Row],[Class]]="A",WORKDAY(Main[[#This Row],[Tech Start Date]],4),""))))</f>
        <v/>
      </c>
      <c r="O662" s="77" t="str">
        <f>IF(Main[[#This Row],[Tech Start Date]]&lt;1/1/1990,"",IF(Main[[#This Row],[Class]]="C",WORKDAY(Main[[#This Row],[Tech Start Date]],23),IF(Main[[#This Row],[Class]]="B", WORKDAY(Main[[#This Row],[Tech Start Date]],15),IF(Main[[#This Row],[Class]]="A",WORKDAY(Main[[#This Row],[Tech Start Date]],5),""))))</f>
        <v/>
      </c>
      <c r="P662" s="77" t="str">
        <f>IF(Main[[#This Row],[Tech Start Date]]&lt;1/1/1990,"",IF(Main[[#This Row],[Class]]="C",WORKDAY(Main[[#This Row],[Tech Start Date]],28),IF(Main[[#This Row],[Class]]="B", WORKDAY(Main[[#This Row],[Tech Start Date]],19),IF(Main[[#This Row],[Class]]="A",WORKDAY(Main[[#This Row],[Tech Start Date]],9),""))))</f>
        <v/>
      </c>
      <c r="Q662" s="74"/>
      <c r="R662" s="74"/>
      <c r="S662" s="72" t="s">
        <v>6</v>
      </c>
      <c r="T662" s="80" t="s">
        <v>4</v>
      </c>
      <c r="U662" s="72" t="s">
        <v>12</v>
      </c>
      <c r="V662" s="72" t="s">
        <v>1932</v>
      </c>
      <c r="W662" s="72" t="s">
        <v>1936</v>
      </c>
      <c r="X662" s="72" t="s">
        <v>718</v>
      </c>
      <c r="Y662" s="72" t="s">
        <v>3157</v>
      </c>
      <c r="Z662" s="72" t="s">
        <v>4</v>
      </c>
      <c r="AA662" s="147" t="s">
        <v>718</v>
      </c>
    </row>
    <row r="663" spans="1:27" ht="18.600000000000001" customHeight="1">
      <c r="A663" s="140" t="str">
        <f>IF(priority(Main[[#This Row],[Comments]])&lt;&gt;0, priority(Main[[#This Row],[Comments]]),"")</f>
        <v/>
      </c>
      <c r="B663" s="90" t="s">
        <v>1533</v>
      </c>
      <c r="C663" s="72" t="s">
        <v>47</v>
      </c>
      <c r="D663" s="73" t="s">
        <v>599</v>
      </c>
      <c r="E663" s="74"/>
      <c r="F663" s="74"/>
      <c r="G663" s="75" t="str">
        <f>IF(stdProdLT(Main[[#This Row],[Comments]])=0.1,"N/A",IF(stdProdLT(Main[[#This Row],[Comments]])=0,"",stdProdLT(Main[[#This Row],[Comments]])))</f>
        <v/>
      </c>
      <c r="H663" s="76" t="str">
        <f>IF(AND(Main[[#This Row],[In Stock Date]]&lt;&gt;"",Main[[#This Row],[Revised Due Date]]&lt;&gt;""),Main[[#This Row],[In Stock Date]]-Main[[#This Row],[Revised Due Date]],"")</f>
        <v/>
      </c>
      <c r="I663" s="72" t="s">
        <v>4</v>
      </c>
      <c r="J663" s="72" t="s">
        <v>4</v>
      </c>
      <c r="K663" s="72" t="s">
        <v>4</v>
      </c>
      <c r="L663" s="74"/>
      <c r="M663" s="77" t="str">
        <f>IF(Main[[#This Row],[Tech Start Date]]&lt;1/1/1990,"",IF(Main[[#This Row],[Class]]="C",WORKDAY(Main[[#This Row],[Tech Start Date]],9),IF(Main[[#This Row],[Class]]="B", WORKDAY(Main[[#This Row],[Tech Start Date]],6),IF(Main[[#This Row],[Class]]="A",WORKDAY(Main[[#This Row],[Tech Start Date]],2),""))))</f>
        <v/>
      </c>
      <c r="N663" s="77" t="str">
        <f>IF(Main[[#This Row],[Tech Start Date]]&lt;1/1/1990,"",IF(Main[[#This Row],[Class]]="C",WORKDAY(Main[[#This Row],[Tech Start Date]],19),IF(Main[[#This Row],[Class]]="B", WORKDAY(Main[[#This Row],[Tech Start Date]],12),IF(Main[[#This Row],[Class]]="A",WORKDAY(Main[[#This Row],[Tech Start Date]],4),""))))</f>
        <v/>
      </c>
      <c r="O663" s="77" t="str">
        <f>IF(Main[[#This Row],[Tech Start Date]]&lt;1/1/1990,"",IF(Main[[#This Row],[Class]]="C",WORKDAY(Main[[#This Row],[Tech Start Date]],23),IF(Main[[#This Row],[Class]]="B", WORKDAY(Main[[#This Row],[Tech Start Date]],15),IF(Main[[#This Row],[Class]]="A",WORKDAY(Main[[#This Row],[Tech Start Date]],5),""))))</f>
        <v/>
      </c>
      <c r="P663" s="77" t="str">
        <f>IF(Main[[#This Row],[Tech Start Date]]&lt;1/1/1990,"",IF(Main[[#This Row],[Class]]="C",WORKDAY(Main[[#This Row],[Tech Start Date]],28),IF(Main[[#This Row],[Class]]="B", WORKDAY(Main[[#This Row],[Tech Start Date]],19),IF(Main[[#This Row],[Class]]="A",WORKDAY(Main[[#This Row],[Tech Start Date]],9),""))))</f>
        <v/>
      </c>
      <c r="Q663" s="74"/>
      <c r="R663" s="74"/>
      <c r="S663" s="72" t="s">
        <v>49</v>
      </c>
      <c r="T663" s="80" t="s">
        <v>4</v>
      </c>
      <c r="U663" s="72" t="s">
        <v>14</v>
      </c>
      <c r="V663" s="72" t="s">
        <v>1935</v>
      </c>
      <c r="W663" s="72" t="s">
        <v>1936</v>
      </c>
      <c r="X663" s="72" t="s">
        <v>310</v>
      </c>
      <c r="Y663" s="72" t="s">
        <v>3028</v>
      </c>
      <c r="Z663" s="72" t="s">
        <v>4</v>
      </c>
      <c r="AA663" s="147" t="s">
        <v>3564</v>
      </c>
    </row>
    <row r="664" spans="1:27" ht="18.600000000000001" customHeight="1">
      <c r="A664" s="140" t="str">
        <f>IF(priority(Main[[#This Row],[Comments]])&lt;&gt;0, priority(Main[[#This Row],[Comments]]),"")</f>
        <v/>
      </c>
      <c r="B664" s="90" t="s">
        <v>2016</v>
      </c>
      <c r="C664" s="72" t="s">
        <v>2017</v>
      </c>
      <c r="D664" s="73" t="s">
        <v>2018</v>
      </c>
      <c r="E664" s="74"/>
      <c r="F664" s="74">
        <v>40801</v>
      </c>
      <c r="G664" s="75" t="str">
        <f>IF(stdProdLT(Main[[#This Row],[Comments]])=0.1,"N/A",IF(stdProdLT(Main[[#This Row],[Comments]])=0,"",stdProdLT(Main[[#This Row],[Comments]])))</f>
        <v/>
      </c>
      <c r="H664" s="76" t="str">
        <f>IF(AND(Main[[#This Row],[In Stock Date]]&lt;&gt;"",Main[[#This Row],[Revised Due Date]]&lt;&gt;""),Main[[#This Row],[In Stock Date]]-Main[[#This Row],[Revised Due Date]],"")</f>
        <v/>
      </c>
      <c r="I664" s="72" t="s">
        <v>4</v>
      </c>
      <c r="J664" s="72" t="s">
        <v>4</v>
      </c>
      <c r="K664" s="72" t="s">
        <v>4</v>
      </c>
      <c r="L664" s="74"/>
      <c r="M664" s="77" t="str">
        <f>IF(Main[[#This Row],[Tech Start Date]]&lt;1/1/1990,"",IF(Main[[#This Row],[Class]]="C",WORKDAY(Main[[#This Row],[Tech Start Date]],9),IF(Main[[#This Row],[Class]]="B", WORKDAY(Main[[#This Row],[Tech Start Date]],6),IF(Main[[#This Row],[Class]]="A",WORKDAY(Main[[#This Row],[Tech Start Date]],2),""))))</f>
        <v/>
      </c>
      <c r="N664" s="77" t="str">
        <f>IF(Main[[#This Row],[Tech Start Date]]&lt;1/1/1990,"",IF(Main[[#This Row],[Class]]="C",WORKDAY(Main[[#This Row],[Tech Start Date]],19),IF(Main[[#This Row],[Class]]="B", WORKDAY(Main[[#This Row],[Tech Start Date]],12),IF(Main[[#This Row],[Class]]="A",WORKDAY(Main[[#This Row],[Tech Start Date]],4),""))))</f>
        <v/>
      </c>
      <c r="O664" s="77" t="str">
        <f>IF(Main[[#This Row],[Tech Start Date]]&lt;1/1/1990,"",IF(Main[[#This Row],[Class]]="C",WORKDAY(Main[[#This Row],[Tech Start Date]],23),IF(Main[[#This Row],[Class]]="B", WORKDAY(Main[[#This Row],[Tech Start Date]],15),IF(Main[[#This Row],[Class]]="A",WORKDAY(Main[[#This Row],[Tech Start Date]],5),""))))</f>
        <v/>
      </c>
      <c r="P664" s="77" t="str">
        <f>IF(Main[[#This Row],[Tech Start Date]]&lt;1/1/1990,"",IF(Main[[#This Row],[Class]]="C",WORKDAY(Main[[#This Row],[Tech Start Date]],28),IF(Main[[#This Row],[Class]]="B", WORKDAY(Main[[#This Row],[Tech Start Date]],19),IF(Main[[#This Row],[Class]]="A",WORKDAY(Main[[#This Row],[Tech Start Date]],9),""))))</f>
        <v/>
      </c>
      <c r="Q664" s="74"/>
      <c r="R664" s="74"/>
      <c r="S664" s="72" t="s">
        <v>6</v>
      </c>
      <c r="T664" s="80" t="s">
        <v>4</v>
      </c>
      <c r="U664" s="72" t="s">
        <v>12</v>
      </c>
      <c r="V664" s="72" t="s">
        <v>1935</v>
      </c>
      <c r="W664" s="72" t="s">
        <v>1936</v>
      </c>
      <c r="X664" s="72" t="s">
        <v>2983</v>
      </c>
      <c r="Y664" s="72" t="s">
        <v>3158</v>
      </c>
      <c r="Z664" s="72" t="s">
        <v>4</v>
      </c>
      <c r="AA664" s="147" t="s">
        <v>3610</v>
      </c>
    </row>
    <row r="665" spans="1:27" ht="18.600000000000001" customHeight="1">
      <c r="A665" s="140" t="str">
        <f>IF(priority(Main[[#This Row],[Comments]])&lt;&gt;0, priority(Main[[#This Row],[Comments]]),"")</f>
        <v/>
      </c>
      <c r="B665" s="90" t="s">
        <v>1534</v>
      </c>
      <c r="C665" s="72" t="s">
        <v>4</v>
      </c>
      <c r="D665" s="73" t="s">
        <v>600</v>
      </c>
      <c r="E665" s="74">
        <v>40270.342719907407</v>
      </c>
      <c r="F665" s="74"/>
      <c r="G665" s="75" t="str">
        <f>IF(stdProdLT(Main[[#This Row],[Comments]])=0.1,"N/A",IF(stdProdLT(Main[[#This Row],[Comments]])=0,"",stdProdLT(Main[[#This Row],[Comments]])))</f>
        <v/>
      </c>
      <c r="H665" s="76" t="str">
        <f>IF(AND(Main[[#This Row],[In Stock Date]]&lt;&gt;"",Main[[#This Row],[Revised Due Date]]&lt;&gt;""),Main[[#This Row],[In Stock Date]]-Main[[#This Row],[Revised Due Date]],"")</f>
        <v/>
      </c>
      <c r="I665" s="72" t="s">
        <v>4</v>
      </c>
      <c r="J665" s="72" t="s">
        <v>4</v>
      </c>
      <c r="K665" s="72" t="s">
        <v>4</v>
      </c>
      <c r="L665" s="74"/>
      <c r="M665" s="77" t="str">
        <f>IF(Main[[#This Row],[Tech Start Date]]&lt;1/1/1990,"",IF(Main[[#This Row],[Class]]="C",WORKDAY(Main[[#This Row],[Tech Start Date]],9),IF(Main[[#This Row],[Class]]="B", WORKDAY(Main[[#This Row],[Tech Start Date]],6),IF(Main[[#This Row],[Class]]="A",WORKDAY(Main[[#This Row],[Tech Start Date]],2),""))))</f>
        <v/>
      </c>
      <c r="N665" s="77" t="str">
        <f>IF(Main[[#This Row],[Tech Start Date]]&lt;1/1/1990,"",IF(Main[[#This Row],[Class]]="C",WORKDAY(Main[[#This Row],[Tech Start Date]],19),IF(Main[[#This Row],[Class]]="B", WORKDAY(Main[[#This Row],[Tech Start Date]],12),IF(Main[[#This Row],[Class]]="A",WORKDAY(Main[[#This Row],[Tech Start Date]],4),""))))</f>
        <v/>
      </c>
      <c r="O665" s="77" t="str">
        <f>IF(Main[[#This Row],[Tech Start Date]]&lt;1/1/1990,"",IF(Main[[#This Row],[Class]]="C",WORKDAY(Main[[#This Row],[Tech Start Date]],23),IF(Main[[#This Row],[Class]]="B", WORKDAY(Main[[#This Row],[Tech Start Date]],15),IF(Main[[#This Row],[Class]]="A",WORKDAY(Main[[#This Row],[Tech Start Date]],5),""))))</f>
        <v/>
      </c>
      <c r="P665" s="77" t="str">
        <f>IF(Main[[#This Row],[Tech Start Date]]&lt;1/1/1990,"",IF(Main[[#This Row],[Class]]="C",WORKDAY(Main[[#This Row],[Tech Start Date]],28),IF(Main[[#This Row],[Class]]="B", WORKDAY(Main[[#This Row],[Tech Start Date]],19),IF(Main[[#This Row],[Class]]="A",WORKDAY(Main[[#This Row],[Tech Start Date]],9),""))))</f>
        <v/>
      </c>
      <c r="Q665" s="74">
        <v>40359</v>
      </c>
      <c r="R665" s="74"/>
      <c r="S665" s="72" t="s">
        <v>6</v>
      </c>
      <c r="T665" s="80" t="s">
        <v>4</v>
      </c>
      <c r="U665" s="72" t="s">
        <v>7</v>
      </c>
      <c r="V665" s="72" t="s">
        <v>1932</v>
      </c>
      <c r="W665" s="72" t="s">
        <v>4</v>
      </c>
      <c r="X665" s="72" t="s">
        <v>2971</v>
      </c>
      <c r="Y665" s="72" t="s">
        <v>3130</v>
      </c>
      <c r="Z665" s="72" t="s">
        <v>4</v>
      </c>
      <c r="AA665" s="147" t="s">
        <v>2971</v>
      </c>
    </row>
    <row r="666" spans="1:27" ht="18.600000000000001" customHeight="1">
      <c r="A666" s="140" t="str">
        <f>IF(priority(Main[[#This Row],[Comments]])&lt;&gt;0, priority(Main[[#This Row],[Comments]]),"")</f>
        <v/>
      </c>
      <c r="B666" s="90" t="s">
        <v>1535</v>
      </c>
      <c r="C666" s="72" t="s">
        <v>355</v>
      </c>
      <c r="D666" s="73" t="s">
        <v>601</v>
      </c>
      <c r="E666" s="74"/>
      <c r="F666" s="74">
        <v>40452</v>
      </c>
      <c r="G666" s="75" t="str">
        <f>IF(stdProdLT(Main[[#This Row],[Comments]])=0.1,"N/A",IF(stdProdLT(Main[[#This Row],[Comments]])=0,"",stdProdLT(Main[[#This Row],[Comments]])))</f>
        <v/>
      </c>
      <c r="H666" s="76" t="str">
        <f>IF(AND(Main[[#This Row],[In Stock Date]]&lt;&gt;"",Main[[#This Row],[Revised Due Date]]&lt;&gt;""),Main[[#This Row],[In Stock Date]]-Main[[#This Row],[Revised Due Date]],"")</f>
        <v/>
      </c>
      <c r="I666" s="72" t="s">
        <v>4</v>
      </c>
      <c r="J666" s="72" t="s">
        <v>4</v>
      </c>
      <c r="K666" s="72" t="s">
        <v>4</v>
      </c>
      <c r="L666" s="74"/>
      <c r="M666" s="77" t="str">
        <f>IF(Main[[#This Row],[Tech Start Date]]&lt;1/1/1990,"",IF(Main[[#This Row],[Class]]="C",WORKDAY(Main[[#This Row],[Tech Start Date]],9),IF(Main[[#This Row],[Class]]="B", WORKDAY(Main[[#This Row],[Tech Start Date]],6),IF(Main[[#This Row],[Class]]="A",WORKDAY(Main[[#This Row],[Tech Start Date]],2),""))))</f>
        <v/>
      </c>
      <c r="N666" s="77" t="str">
        <f>IF(Main[[#This Row],[Tech Start Date]]&lt;1/1/1990,"",IF(Main[[#This Row],[Class]]="C",WORKDAY(Main[[#This Row],[Tech Start Date]],19),IF(Main[[#This Row],[Class]]="B", WORKDAY(Main[[#This Row],[Tech Start Date]],12),IF(Main[[#This Row],[Class]]="A",WORKDAY(Main[[#This Row],[Tech Start Date]],4),""))))</f>
        <v/>
      </c>
      <c r="O666" s="77" t="str">
        <f>IF(Main[[#This Row],[Tech Start Date]]&lt;1/1/1990,"",IF(Main[[#This Row],[Class]]="C",WORKDAY(Main[[#This Row],[Tech Start Date]],23),IF(Main[[#This Row],[Class]]="B", WORKDAY(Main[[#This Row],[Tech Start Date]],15),IF(Main[[#This Row],[Class]]="A",WORKDAY(Main[[#This Row],[Tech Start Date]],5),""))))</f>
        <v/>
      </c>
      <c r="P666" s="77" t="str">
        <f>IF(Main[[#This Row],[Tech Start Date]]&lt;1/1/1990,"",IF(Main[[#This Row],[Class]]="C",WORKDAY(Main[[#This Row],[Tech Start Date]],28),IF(Main[[#This Row],[Class]]="B", WORKDAY(Main[[#This Row],[Tech Start Date]],19),IF(Main[[#This Row],[Class]]="A",WORKDAY(Main[[#This Row],[Tech Start Date]],9),""))))</f>
        <v/>
      </c>
      <c r="Q666" s="74">
        <v>40344</v>
      </c>
      <c r="R666" s="74"/>
      <c r="S666" s="72" t="s">
        <v>11</v>
      </c>
      <c r="T666" s="80" t="s">
        <v>4</v>
      </c>
      <c r="U666" s="72" t="s">
        <v>14</v>
      </c>
      <c r="V666" s="72" t="s">
        <v>1935</v>
      </c>
      <c r="W666" s="72" t="s">
        <v>1938</v>
      </c>
      <c r="X666" s="72" t="s">
        <v>2956</v>
      </c>
      <c r="Y666" s="72" t="s">
        <v>3083</v>
      </c>
      <c r="Z666" s="72" t="s">
        <v>535</v>
      </c>
      <c r="AA666" s="147" t="s">
        <v>2956</v>
      </c>
    </row>
    <row r="667" spans="1:27" ht="18.600000000000001" customHeight="1">
      <c r="A667" s="140" t="str">
        <f>IF(priority(Main[[#This Row],[Comments]])&lt;&gt;0, priority(Main[[#This Row],[Comments]]),"")</f>
        <v/>
      </c>
      <c r="B667" s="90" t="s">
        <v>1536</v>
      </c>
      <c r="C667" s="72" t="s">
        <v>4</v>
      </c>
      <c r="D667" s="73" t="s">
        <v>602</v>
      </c>
      <c r="E667" s="74">
        <v>40645.435763888891</v>
      </c>
      <c r="F667" s="74"/>
      <c r="G667" s="75" t="str">
        <f>IF(stdProdLT(Main[[#This Row],[Comments]])=0.1,"N/A",IF(stdProdLT(Main[[#This Row],[Comments]])=0,"",stdProdLT(Main[[#This Row],[Comments]])))</f>
        <v/>
      </c>
      <c r="H667" s="76" t="str">
        <f>IF(AND(Main[[#This Row],[In Stock Date]]&lt;&gt;"",Main[[#This Row],[Revised Due Date]]&lt;&gt;""),Main[[#This Row],[In Stock Date]]-Main[[#This Row],[Revised Due Date]],"")</f>
        <v/>
      </c>
      <c r="I667" s="72" t="s">
        <v>567</v>
      </c>
      <c r="J667" s="72" t="s">
        <v>70</v>
      </c>
      <c r="K667" s="72" t="s">
        <v>4</v>
      </c>
      <c r="L667" s="74"/>
      <c r="M667" s="77" t="str">
        <f>IF(Main[[#This Row],[Tech Start Date]]&lt;1/1/1990,"",IF(Main[[#This Row],[Class]]="C",WORKDAY(Main[[#This Row],[Tech Start Date]],9),IF(Main[[#This Row],[Class]]="B", WORKDAY(Main[[#This Row],[Tech Start Date]],6),IF(Main[[#This Row],[Class]]="A",WORKDAY(Main[[#This Row],[Tech Start Date]],2),""))))</f>
        <v/>
      </c>
      <c r="N667" s="77" t="str">
        <f>IF(Main[[#This Row],[Tech Start Date]]&lt;1/1/1990,"",IF(Main[[#This Row],[Class]]="C",WORKDAY(Main[[#This Row],[Tech Start Date]],19),IF(Main[[#This Row],[Class]]="B", WORKDAY(Main[[#This Row],[Tech Start Date]],12),IF(Main[[#This Row],[Class]]="A",WORKDAY(Main[[#This Row],[Tech Start Date]],4),""))))</f>
        <v/>
      </c>
      <c r="O667" s="77" t="str">
        <f>IF(Main[[#This Row],[Tech Start Date]]&lt;1/1/1990,"",IF(Main[[#This Row],[Class]]="C",WORKDAY(Main[[#This Row],[Tech Start Date]],23),IF(Main[[#This Row],[Class]]="B", WORKDAY(Main[[#This Row],[Tech Start Date]],15),IF(Main[[#This Row],[Class]]="A",WORKDAY(Main[[#This Row],[Tech Start Date]],5),""))))</f>
        <v/>
      </c>
      <c r="P667" s="77" t="str">
        <f>IF(Main[[#This Row],[Tech Start Date]]&lt;1/1/1990,"",IF(Main[[#This Row],[Class]]="C",WORKDAY(Main[[#This Row],[Tech Start Date]],28),IF(Main[[#This Row],[Class]]="B", WORKDAY(Main[[#This Row],[Tech Start Date]],19),IF(Main[[#This Row],[Class]]="A",WORKDAY(Main[[#This Row],[Tech Start Date]],9),""))))</f>
        <v/>
      </c>
      <c r="Q667" s="74">
        <v>40669</v>
      </c>
      <c r="R667" s="74"/>
      <c r="S667" s="72" t="s">
        <v>6</v>
      </c>
      <c r="T667" s="80" t="s">
        <v>4</v>
      </c>
      <c r="U667" s="72" t="s">
        <v>29</v>
      </c>
      <c r="V667" s="72" t="s">
        <v>1932</v>
      </c>
      <c r="W667" s="72" t="s">
        <v>4</v>
      </c>
      <c r="X667" s="72" t="s">
        <v>126</v>
      </c>
      <c r="Y667" s="72" t="s">
        <v>3120</v>
      </c>
      <c r="Z667" s="72" t="s">
        <v>4</v>
      </c>
      <c r="AA667" s="147" t="s">
        <v>126</v>
      </c>
    </row>
    <row r="668" spans="1:27" ht="18.600000000000001" customHeight="1">
      <c r="A668" s="140" t="str">
        <f>IF(priority(Main[[#This Row],[Comments]])&lt;&gt;0, priority(Main[[#This Row],[Comments]]),"")</f>
        <v/>
      </c>
      <c r="B668" s="90" t="s">
        <v>1538</v>
      </c>
      <c r="C668" s="72" t="s">
        <v>405</v>
      </c>
      <c r="D668" s="73" t="s">
        <v>603</v>
      </c>
      <c r="E668" s="74"/>
      <c r="F668" s="74">
        <v>40447</v>
      </c>
      <c r="G668" s="75" t="str">
        <f>IF(stdProdLT(Main[[#This Row],[Comments]])=0.1,"N/A",IF(stdProdLT(Main[[#This Row],[Comments]])=0,"",stdProdLT(Main[[#This Row],[Comments]])))</f>
        <v/>
      </c>
      <c r="H668" s="76" t="str">
        <f>IF(AND(Main[[#This Row],[In Stock Date]]&lt;&gt;"",Main[[#This Row],[Revised Due Date]]&lt;&gt;""),Main[[#This Row],[In Stock Date]]-Main[[#This Row],[Revised Due Date]],"")</f>
        <v/>
      </c>
      <c r="I668" s="72" t="s">
        <v>4</v>
      </c>
      <c r="J668" s="72" t="s">
        <v>4</v>
      </c>
      <c r="K668" s="72" t="s">
        <v>4</v>
      </c>
      <c r="L668" s="74"/>
      <c r="M668" s="77" t="str">
        <f>IF(Main[[#This Row],[Tech Start Date]]&lt;1/1/1990,"",IF(Main[[#This Row],[Class]]="C",WORKDAY(Main[[#This Row],[Tech Start Date]],9),IF(Main[[#This Row],[Class]]="B", WORKDAY(Main[[#This Row],[Tech Start Date]],6),IF(Main[[#This Row],[Class]]="A",WORKDAY(Main[[#This Row],[Tech Start Date]],2),""))))</f>
        <v/>
      </c>
      <c r="N668" s="77" t="str">
        <f>IF(Main[[#This Row],[Tech Start Date]]&lt;1/1/1990,"",IF(Main[[#This Row],[Class]]="C",WORKDAY(Main[[#This Row],[Tech Start Date]],19),IF(Main[[#This Row],[Class]]="B", WORKDAY(Main[[#This Row],[Tech Start Date]],12),IF(Main[[#This Row],[Class]]="A",WORKDAY(Main[[#This Row],[Tech Start Date]],4),""))))</f>
        <v/>
      </c>
      <c r="O668" s="77" t="str">
        <f>IF(Main[[#This Row],[Tech Start Date]]&lt;1/1/1990,"",IF(Main[[#This Row],[Class]]="C",WORKDAY(Main[[#This Row],[Tech Start Date]],23),IF(Main[[#This Row],[Class]]="B", WORKDAY(Main[[#This Row],[Tech Start Date]],15),IF(Main[[#This Row],[Class]]="A",WORKDAY(Main[[#This Row],[Tech Start Date]],5),""))))</f>
        <v/>
      </c>
      <c r="P668" s="77" t="str">
        <f>IF(Main[[#This Row],[Tech Start Date]]&lt;1/1/1990,"",IF(Main[[#This Row],[Class]]="C",WORKDAY(Main[[#This Row],[Tech Start Date]],28),IF(Main[[#This Row],[Class]]="B", WORKDAY(Main[[#This Row],[Tech Start Date]],19),IF(Main[[#This Row],[Class]]="A",WORKDAY(Main[[#This Row],[Tech Start Date]],9),""))))</f>
        <v/>
      </c>
      <c r="Q668" s="74">
        <v>40349</v>
      </c>
      <c r="R668" s="74"/>
      <c r="S668" s="72" t="s">
        <v>11</v>
      </c>
      <c r="T668" s="80" t="s">
        <v>4</v>
      </c>
      <c r="U668" s="72" t="s">
        <v>14</v>
      </c>
      <c r="V668" s="72" t="s">
        <v>1942</v>
      </c>
      <c r="W668" s="72" t="s">
        <v>1937</v>
      </c>
      <c r="X668" s="72" t="s">
        <v>2934</v>
      </c>
      <c r="Y668" s="72" t="s">
        <v>4</v>
      </c>
      <c r="Z668" s="72" t="s">
        <v>4</v>
      </c>
      <c r="AA668" s="147" t="s">
        <v>2934</v>
      </c>
    </row>
    <row r="669" spans="1:27" ht="18.600000000000001" customHeight="1">
      <c r="A669" s="140" t="str">
        <f>IF(priority(Main[[#This Row],[Comments]])&lt;&gt;0, priority(Main[[#This Row],[Comments]]),"")</f>
        <v/>
      </c>
      <c r="B669" s="90" t="s">
        <v>1558</v>
      </c>
      <c r="C669" s="72" t="s">
        <v>441</v>
      </c>
      <c r="D669" s="73" t="s">
        <v>631</v>
      </c>
      <c r="E669" s="74"/>
      <c r="F669" s="74">
        <v>40056</v>
      </c>
      <c r="G669" s="75" t="str">
        <f>IF(stdProdLT(Main[[#This Row],[Comments]])=0.1,"N/A",IF(stdProdLT(Main[[#This Row],[Comments]])=0,"",stdProdLT(Main[[#This Row],[Comments]])))</f>
        <v/>
      </c>
      <c r="H669" s="76" t="str">
        <f>IF(AND(Main[[#This Row],[In Stock Date]]&lt;&gt;"",Main[[#This Row],[Revised Due Date]]&lt;&gt;""),Main[[#This Row],[In Stock Date]]-Main[[#This Row],[Revised Due Date]],"")</f>
        <v/>
      </c>
      <c r="I669" s="72" t="s">
        <v>4</v>
      </c>
      <c r="J669" s="72" t="s">
        <v>4</v>
      </c>
      <c r="K669" s="72" t="s">
        <v>4</v>
      </c>
      <c r="L669" s="74"/>
      <c r="M669" s="77" t="str">
        <f>IF(Main[[#This Row],[Tech Start Date]]&lt;1/1/1990,"",IF(Main[[#This Row],[Class]]="C",WORKDAY(Main[[#This Row],[Tech Start Date]],9),IF(Main[[#This Row],[Class]]="B", WORKDAY(Main[[#This Row],[Tech Start Date]],6),IF(Main[[#This Row],[Class]]="A",WORKDAY(Main[[#This Row],[Tech Start Date]],2),""))))</f>
        <v/>
      </c>
      <c r="N669" s="77" t="str">
        <f>IF(Main[[#This Row],[Tech Start Date]]&lt;1/1/1990,"",IF(Main[[#This Row],[Class]]="C",WORKDAY(Main[[#This Row],[Tech Start Date]],19),IF(Main[[#This Row],[Class]]="B", WORKDAY(Main[[#This Row],[Tech Start Date]],12),IF(Main[[#This Row],[Class]]="A",WORKDAY(Main[[#This Row],[Tech Start Date]],4),""))))</f>
        <v/>
      </c>
      <c r="O669" s="77" t="str">
        <f>IF(Main[[#This Row],[Tech Start Date]]&lt;1/1/1990,"",IF(Main[[#This Row],[Class]]="C",WORKDAY(Main[[#This Row],[Tech Start Date]],23),IF(Main[[#This Row],[Class]]="B", WORKDAY(Main[[#This Row],[Tech Start Date]],15),IF(Main[[#This Row],[Class]]="A",WORKDAY(Main[[#This Row],[Tech Start Date]],5),""))))</f>
        <v/>
      </c>
      <c r="P669" s="77" t="str">
        <f>IF(Main[[#This Row],[Tech Start Date]]&lt;1/1/1990,"",IF(Main[[#This Row],[Class]]="C",WORKDAY(Main[[#This Row],[Tech Start Date]],28),IF(Main[[#This Row],[Class]]="B", WORKDAY(Main[[#This Row],[Tech Start Date]],19),IF(Main[[#This Row],[Class]]="A",WORKDAY(Main[[#This Row],[Tech Start Date]],9),""))))</f>
        <v/>
      </c>
      <c r="Q669" s="74"/>
      <c r="R669" s="74"/>
      <c r="S669" s="72" t="s">
        <v>11</v>
      </c>
      <c r="T669" s="80" t="s">
        <v>4</v>
      </c>
      <c r="U669" s="72" t="s">
        <v>14</v>
      </c>
      <c r="V669" s="72" t="s">
        <v>1932</v>
      </c>
      <c r="W669" s="72" t="s">
        <v>1940</v>
      </c>
      <c r="X669" s="72" t="s">
        <v>2937</v>
      </c>
      <c r="Y669" s="72" t="s">
        <v>3078</v>
      </c>
      <c r="Z669" s="72" t="s">
        <v>4</v>
      </c>
      <c r="AA669" s="147" t="s">
        <v>2937</v>
      </c>
    </row>
    <row r="670" spans="1:27" ht="18.600000000000001" customHeight="1">
      <c r="A670" s="140" t="str">
        <f>IF(priority(Main[[#This Row],[Comments]])&lt;&gt;0, priority(Main[[#This Row],[Comments]]),"")</f>
        <v/>
      </c>
      <c r="B670" s="90" t="s">
        <v>1559</v>
      </c>
      <c r="C670" s="72" t="s">
        <v>4</v>
      </c>
      <c r="D670" s="73" t="s">
        <v>632</v>
      </c>
      <c r="E670" s="74"/>
      <c r="F670" s="74"/>
      <c r="G670" s="75" t="str">
        <f>IF(stdProdLT(Main[[#This Row],[Comments]])=0.1,"N/A",IF(stdProdLT(Main[[#This Row],[Comments]])=0,"",stdProdLT(Main[[#This Row],[Comments]])))</f>
        <v/>
      </c>
      <c r="H670" s="76" t="str">
        <f>IF(AND(Main[[#This Row],[In Stock Date]]&lt;&gt;"",Main[[#This Row],[Revised Due Date]]&lt;&gt;""),Main[[#This Row],[In Stock Date]]-Main[[#This Row],[Revised Due Date]],"")</f>
        <v/>
      </c>
      <c r="I670" s="72" t="s">
        <v>4</v>
      </c>
      <c r="J670" s="72" t="s">
        <v>4</v>
      </c>
      <c r="K670" s="72" t="s">
        <v>4</v>
      </c>
      <c r="L670" s="74"/>
      <c r="M670" s="77" t="str">
        <f>IF(Main[[#This Row],[Tech Start Date]]&lt;1/1/1990,"",IF(Main[[#This Row],[Class]]="C",WORKDAY(Main[[#This Row],[Tech Start Date]],9),IF(Main[[#This Row],[Class]]="B", WORKDAY(Main[[#This Row],[Tech Start Date]],6),IF(Main[[#This Row],[Class]]="A",WORKDAY(Main[[#This Row],[Tech Start Date]],2),""))))</f>
        <v/>
      </c>
      <c r="N670" s="77" t="str">
        <f>IF(Main[[#This Row],[Tech Start Date]]&lt;1/1/1990,"",IF(Main[[#This Row],[Class]]="C",WORKDAY(Main[[#This Row],[Tech Start Date]],19),IF(Main[[#This Row],[Class]]="B", WORKDAY(Main[[#This Row],[Tech Start Date]],12),IF(Main[[#This Row],[Class]]="A",WORKDAY(Main[[#This Row],[Tech Start Date]],4),""))))</f>
        <v/>
      </c>
      <c r="O670" s="77" t="str">
        <f>IF(Main[[#This Row],[Tech Start Date]]&lt;1/1/1990,"",IF(Main[[#This Row],[Class]]="C",WORKDAY(Main[[#This Row],[Tech Start Date]],23),IF(Main[[#This Row],[Class]]="B", WORKDAY(Main[[#This Row],[Tech Start Date]],15),IF(Main[[#This Row],[Class]]="A",WORKDAY(Main[[#This Row],[Tech Start Date]],5),""))))</f>
        <v/>
      </c>
      <c r="P670" s="77" t="str">
        <f>IF(Main[[#This Row],[Tech Start Date]]&lt;1/1/1990,"",IF(Main[[#This Row],[Class]]="C",WORKDAY(Main[[#This Row],[Tech Start Date]],28),IF(Main[[#This Row],[Class]]="B", WORKDAY(Main[[#This Row],[Tech Start Date]],19),IF(Main[[#This Row],[Class]]="A",WORKDAY(Main[[#This Row],[Tech Start Date]],9),""))))</f>
        <v/>
      </c>
      <c r="Q670" s="74"/>
      <c r="R670" s="74"/>
      <c r="S670" s="72" t="s">
        <v>17</v>
      </c>
      <c r="T670" s="80" t="s">
        <v>4</v>
      </c>
      <c r="U670" s="72" t="s">
        <v>12</v>
      </c>
      <c r="V670" s="72" t="s">
        <v>1932</v>
      </c>
      <c r="W670" s="72" t="s">
        <v>1934</v>
      </c>
      <c r="X670" s="72" t="s">
        <v>900</v>
      </c>
      <c r="Y670" s="72" t="s">
        <v>3160</v>
      </c>
      <c r="Z670" s="72" t="s">
        <v>4</v>
      </c>
      <c r="AA670" s="147" t="s">
        <v>900</v>
      </c>
    </row>
    <row r="671" spans="1:27" ht="18.600000000000001" customHeight="1">
      <c r="A671" s="140" t="str">
        <f>IF(priority(Main[[#This Row],[Comments]])&lt;&gt;0, priority(Main[[#This Row],[Comments]]),"")</f>
        <v/>
      </c>
      <c r="B671" s="90" t="s">
        <v>1856</v>
      </c>
      <c r="C671" s="72" t="s">
        <v>500</v>
      </c>
      <c r="D671" s="73" t="s">
        <v>904</v>
      </c>
      <c r="E671" s="74"/>
      <c r="F671" s="74"/>
      <c r="G671" s="75" t="str">
        <f>IF(stdProdLT(Main[[#This Row],[Comments]])=0.1,"N/A",IF(stdProdLT(Main[[#This Row],[Comments]])=0,"",stdProdLT(Main[[#This Row],[Comments]])))</f>
        <v/>
      </c>
      <c r="H671" s="76" t="str">
        <f>IF(AND(Main[[#This Row],[In Stock Date]]&lt;&gt;"",Main[[#This Row],[Revised Due Date]]&lt;&gt;""),Main[[#This Row],[In Stock Date]]-Main[[#This Row],[Revised Due Date]],"")</f>
        <v/>
      </c>
      <c r="I671" s="72" t="s">
        <v>126</v>
      </c>
      <c r="J671" s="72" t="s">
        <v>28</v>
      </c>
      <c r="K671" s="72" t="s">
        <v>1945</v>
      </c>
      <c r="L671" s="74"/>
      <c r="M671" s="77" t="str">
        <f>IF(Main[[#This Row],[Tech Start Date]]&lt;1/1/1990,"",IF(Main[[#This Row],[Class]]="C",WORKDAY(Main[[#This Row],[Tech Start Date]],9),IF(Main[[#This Row],[Class]]="B", WORKDAY(Main[[#This Row],[Tech Start Date]],6),IF(Main[[#This Row],[Class]]="A",WORKDAY(Main[[#This Row],[Tech Start Date]],2),""))))</f>
        <v/>
      </c>
      <c r="N671" s="77" t="str">
        <f>IF(Main[[#This Row],[Tech Start Date]]&lt;1/1/1990,"",IF(Main[[#This Row],[Class]]="C",WORKDAY(Main[[#This Row],[Tech Start Date]],19),IF(Main[[#This Row],[Class]]="B", WORKDAY(Main[[#This Row],[Tech Start Date]],12),IF(Main[[#This Row],[Class]]="A",WORKDAY(Main[[#This Row],[Tech Start Date]],4),""))))</f>
        <v/>
      </c>
      <c r="O671" s="77" t="str">
        <f>IF(Main[[#This Row],[Tech Start Date]]&lt;1/1/1990,"",IF(Main[[#This Row],[Class]]="C",WORKDAY(Main[[#This Row],[Tech Start Date]],23),IF(Main[[#This Row],[Class]]="B", WORKDAY(Main[[#This Row],[Tech Start Date]],15),IF(Main[[#This Row],[Class]]="A",WORKDAY(Main[[#This Row],[Tech Start Date]],5),""))))</f>
        <v/>
      </c>
      <c r="P671" s="77" t="str">
        <f>IF(Main[[#This Row],[Tech Start Date]]&lt;1/1/1990,"",IF(Main[[#This Row],[Class]]="C",WORKDAY(Main[[#This Row],[Tech Start Date]],28),IF(Main[[#This Row],[Class]]="B", WORKDAY(Main[[#This Row],[Tech Start Date]],19),IF(Main[[#This Row],[Class]]="A",WORKDAY(Main[[#This Row],[Tech Start Date]],9),""))))</f>
        <v/>
      </c>
      <c r="Q671" s="74">
        <v>40469</v>
      </c>
      <c r="R671" s="74">
        <v>40469</v>
      </c>
      <c r="S671" s="72" t="s">
        <v>11</v>
      </c>
      <c r="T671" s="80" t="s">
        <v>4</v>
      </c>
      <c r="U671" s="72" t="s">
        <v>14</v>
      </c>
      <c r="V671" s="72" t="s">
        <v>1932</v>
      </c>
      <c r="W671" s="72" t="s">
        <v>1940</v>
      </c>
      <c r="X671" s="72" t="s">
        <v>50</v>
      </c>
      <c r="Y671" s="72" t="s">
        <v>3149</v>
      </c>
      <c r="Z671" s="72" t="s">
        <v>129</v>
      </c>
      <c r="AA671" s="147" t="s">
        <v>2944</v>
      </c>
    </row>
    <row r="672" spans="1:27" ht="18.600000000000001" customHeight="1">
      <c r="A672" s="140" t="str">
        <f>IF(priority(Main[[#This Row],[Comments]])&lt;&gt;0, priority(Main[[#This Row],[Comments]]),"")</f>
        <v/>
      </c>
      <c r="B672" s="90" t="s">
        <v>1539</v>
      </c>
      <c r="C672" s="72" t="s">
        <v>612</v>
      </c>
      <c r="D672" s="73" t="s">
        <v>613</v>
      </c>
      <c r="E672" s="74"/>
      <c r="F672" s="74">
        <v>41275</v>
      </c>
      <c r="G672" s="75" t="str">
        <f>IF(stdProdLT(Main[[#This Row],[Comments]])=0.1,"N/A",IF(stdProdLT(Main[[#This Row],[Comments]])=0,"",stdProdLT(Main[[#This Row],[Comments]])))</f>
        <v/>
      </c>
      <c r="H672" s="76" t="str">
        <f>IF(AND(Main[[#This Row],[In Stock Date]]&lt;&gt;"",Main[[#This Row],[Revised Due Date]]&lt;&gt;""),Main[[#This Row],[In Stock Date]]-Main[[#This Row],[Revised Due Date]],"")</f>
        <v/>
      </c>
      <c r="I672" s="72" t="s">
        <v>4</v>
      </c>
      <c r="J672" s="72" t="s">
        <v>4</v>
      </c>
      <c r="K672" s="72" t="s">
        <v>4</v>
      </c>
      <c r="L672" s="74"/>
      <c r="M672" s="77" t="str">
        <f>IF(Main[[#This Row],[Tech Start Date]]&lt;1/1/1990,"",IF(Main[[#This Row],[Class]]="C",WORKDAY(Main[[#This Row],[Tech Start Date]],9),IF(Main[[#This Row],[Class]]="B", WORKDAY(Main[[#This Row],[Tech Start Date]],6),IF(Main[[#This Row],[Class]]="A",WORKDAY(Main[[#This Row],[Tech Start Date]],2),""))))</f>
        <v/>
      </c>
      <c r="N672" s="77" t="str">
        <f>IF(Main[[#This Row],[Tech Start Date]]&lt;1/1/1990,"",IF(Main[[#This Row],[Class]]="C",WORKDAY(Main[[#This Row],[Tech Start Date]],19),IF(Main[[#This Row],[Class]]="B", WORKDAY(Main[[#This Row],[Tech Start Date]],12),IF(Main[[#This Row],[Class]]="A",WORKDAY(Main[[#This Row],[Tech Start Date]],4),""))))</f>
        <v/>
      </c>
      <c r="O672" s="77" t="str">
        <f>IF(Main[[#This Row],[Tech Start Date]]&lt;1/1/1990,"",IF(Main[[#This Row],[Class]]="C",WORKDAY(Main[[#This Row],[Tech Start Date]],23),IF(Main[[#This Row],[Class]]="B", WORKDAY(Main[[#This Row],[Tech Start Date]],15),IF(Main[[#This Row],[Class]]="A",WORKDAY(Main[[#This Row],[Tech Start Date]],5),""))))</f>
        <v/>
      </c>
      <c r="P672" s="77" t="str">
        <f>IF(Main[[#This Row],[Tech Start Date]]&lt;1/1/1990,"",IF(Main[[#This Row],[Class]]="C",WORKDAY(Main[[#This Row],[Tech Start Date]],28),IF(Main[[#This Row],[Class]]="B", WORKDAY(Main[[#This Row],[Tech Start Date]],19),IF(Main[[#This Row],[Class]]="A",WORKDAY(Main[[#This Row],[Tech Start Date]],9),""))))</f>
        <v/>
      </c>
      <c r="Q672" s="74">
        <v>40387</v>
      </c>
      <c r="R672" s="74"/>
      <c r="S672" s="72" t="s">
        <v>11</v>
      </c>
      <c r="T672" s="80" t="s">
        <v>4</v>
      </c>
      <c r="U672" s="72" t="s">
        <v>14</v>
      </c>
      <c r="V672" s="72" t="s">
        <v>1942</v>
      </c>
      <c r="W672" s="72" t="s">
        <v>1937</v>
      </c>
      <c r="X672" s="72" t="s">
        <v>2908</v>
      </c>
      <c r="Y672" s="72" t="s">
        <v>3162</v>
      </c>
      <c r="Z672" s="72" t="s">
        <v>81</v>
      </c>
      <c r="AA672" s="147" t="s">
        <v>3440</v>
      </c>
    </row>
    <row r="673" spans="1:27" ht="18.600000000000001" customHeight="1">
      <c r="A673" s="140" t="str">
        <f>IF(priority(Main[[#This Row],[Comments]])&lt;&gt;0, priority(Main[[#This Row],[Comments]]),"")</f>
        <v/>
      </c>
      <c r="B673" s="90" t="s">
        <v>1540</v>
      </c>
      <c r="C673" s="72" t="s">
        <v>612</v>
      </c>
      <c r="D673" s="73" t="s">
        <v>614</v>
      </c>
      <c r="E673" s="74"/>
      <c r="F673" s="74">
        <v>41275</v>
      </c>
      <c r="G673" s="75" t="str">
        <f>IF(stdProdLT(Main[[#This Row],[Comments]])=0.1,"N/A",IF(stdProdLT(Main[[#This Row],[Comments]])=0,"",stdProdLT(Main[[#This Row],[Comments]])))</f>
        <v/>
      </c>
      <c r="H673" s="76" t="str">
        <f>IF(AND(Main[[#This Row],[In Stock Date]]&lt;&gt;"",Main[[#This Row],[Revised Due Date]]&lt;&gt;""),Main[[#This Row],[In Stock Date]]-Main[[#This Row],[Revised Due Date]],"")</f>
        <v/>
      </c>
      <c r="I673" s="72" t="s">
        <v>4</v>
      </c>
      <c r="J673" s="72" t="s">
        <v>4</v>
      </c>
      <c r="K673" s="72" t="s">
        <v>4</v>
      </c>
      <c r="L673" s="74"/>
      <c r="M673" s="77" t="str">
        <f>IF(Main[[#This Row],[Tech Start Date]]&lt;1/1/1990,"",IF(Main[[#This Row],[Class]]="C",WORKDAY(Main[[#This Row],[Tech Start Date]],9),IF(Main[[#This Row],[Class]]="B", WORKDAY(Main[[#This Row],[Tech Start Date]],6),IF(Main[[#This Row],[Class]]="A",WORKDAY(Main[[#This Row],[Tech Start Date]],2),""))))</f>
        <v/>
      </c>
      <c r="N673" s="77" t="str">
        <f>IF(Main[[#This Row],[Tech Start Date]]&lt;1/1/1990,"",IF(Main[[#This Row],[Class]]="C",WORKDAY(Main[[#This Row],[Tech Start Date]],19),IF(Main[[#This Row],[Class]]="B", WORKDAY(Main[[#This Row],[Tech Start Date]],12),IF(Main[[#This Row],[Class]]="A",WORKDAY(Main[[#This Row],[Tech Start Date]],4),""))))</f>
        <v/>
      </c>
      <c r="O673" s="77" t="str">
        <f>IF(Main[[#This Row],[Tech Start Date]]&lt;1/1/1990,"",IF(Main[[#This Row],[Class]]="C",WORKDAY(Main[[#This Row],[Tech Start Date]],23),IF(Main[[#This Row],[Class]]="B", WORKDAY(Main[[#This Row],[Tech Start Date]],15),IF(Main[[#This Row],[Class]]="A",WORKDAY(Main[[#This Row],[Tech Start Date]],5),""))))</f>
        <v/>
      </c>
      <c r="P673" s="77" t="str">
        <f>IF(Main[[#This Row],[Tech Start Date]]&lt;1/1/1990,"",IF(Main[[#This Row],[Class]]="C",WORKDAY(Main[[#This Row],[Tech Start Date]],28),IF(Main[[#This Row],[Class]]="B", WORKDAY(Main[[#This Row],[Tech Start Date]],19),IF(Main[[#This Row],[Class]]="A",WORKDAY(Main[[#This Row],[Tech Start Date]],9),""))))</f>
        <v/>
      </c>
      <c r="Q673" s="74">
        <v>40387</v>
      </c>
      <c r="R673" s="74"/>
      <c r="S673" s="72" t="s">
        <v>11</v>
      </c>
      <c r="T673" s="80" t="s">
        <v>4</v>
      </c>
      <c r="U673" s="72" t="s">
        <v>14</v>
      </c>
      <c r="V673" s="72" t="s">
        <v>1942</v>
      </c>
      <c r="W673" s="72" t="s">
        <v>1937</v>
      </c>
      <c r="X673" s="72" t="s">
        <v>2908</v>
      </c>
      <c r="Y673" s="72" t="s">
        <v>3162</v>
      </c>
      <c r="Z673" s="72" t="s">
        <v>4</v>
      </c>
      <c r="AA673" s="147" t="s">
        <v>3440</v>
      </c>
    </row>
    <row r="674" spans="1:27" ht="18.600000000000001" customHeight="1">
      <c r="A674" s="140" t="str">
        <f>IF(priority(Main[[#This Row],[Comments]])&lt;&gt;0, priority(Main[[#This Row],[Comments]]),"")</f>
        <v/>
      </c>
      <c r="B674" s="90" t="s">
        <v>1541</v>
      </c>
      <c r="C674" s="72" t="s">
        <v>294</v>
      </c>
      <c r="D674" s="73" t="s">
        <v>295</v>
      </c>
      <c r="E674" s="74"/>
      <c r="F674" s="74"/>
      <c r="G674" s="75" t="str">
        <f>IF(stdProdLT(Main[[#This Row],[Comments]])=0.1,"N/A",IF(stdProdLT(Main[[#This Row],[Comments]])=0,"",stdProdLT(Main[[#This Row],[Comments]])))</f>
        <v/>
      </c>
      <c r="H674" s="76" t="str">
        <f>IF(AND(Main[[#This Row],[In Stock Date]]&lt;&gt;"",Main[[#This Row],[Revised Due Date]]&lt;&gt;""),Main[[#This Row],[In Stock Date]]-Main[[#This Row],[Revised Due Date]],"")</f>
        <v/>
      </c>
      <c r="I674" s="72" t="s">
        <v>4</v>
      </c>
      <c r="J674" s="72" t="s">
        <v>4</v>
      </c>
      <c r="K674" s="72" t="s">
        <v>4</v>
      </c>
      <c r="L674" s="74"/>
      <c r="M674" s="77" t="str">
        <f>IF(Main[[#This Row],[Tech Start Date]]&lt;1/1/1990,"",IF(Main[[#This Row],[Class]]="C",WORKDAY(Main[[#This Row],[Tech Start Date]],9),IF(Main[[#This Row],[Class]]="B", WORKDAY(Main[[#This Row],[Tech Start Date]],6),IF(Main[[#This Row],[Class]]="A",WORKDAY(Main[[#This Row],[Tech Start Date]],2),""))))</f>
        <v/>
      </c>
      <c r="N674" s="77" t="str">
        <f>IF(Main[[#This Row],[Tech Start Date]]&lt;1/1/1990,"",IF(Main[[#This Row],[Class]]="C",WORKDAY(Main[[#This Row],[Tech Start Date]],19),IF(Main[[#This Row],[Class]]="B", WORKDAY(Main[[#This Row],[Tech Start Date]],12),IF(Main[[#This Row],[Class]]="A",WORKDAY(Main[[#This Row],[Tech Start Date]],4),""))))</f>
        <v/>
      </c>
      <c r="O674" s="77" t="str">
        <f>IF(Main[[#This Row],[Tech Start Date]]&lt;1/1/1990,"",IF(Main[[#This Row],[Class]]="C",WORKDAY(Main[[#This Row],[Tech Start Date]],23),IF(Main[[#This Row],[Class]]="B", WORKDAY(Main[[#This Row],[Tech Start Date]],15),IF(Main[[#This Row],[Class]]="A",WORKDAY(Main[[#This Row],[Tech Start Date]],5),""))))</f>
        <v/>
      </c>
      <c r="P674" s="77" t="str">
        <f>IF(Main[[#This Row],[Tech Start Date]]&lt;1/1/1990,"",IF(Main[[#This Row],[Class]]="C",WORKDAY(Main[[#This Row],[Tech Start Date]],28),IF(Main[[#This Row],[Class]]="B", WORKDAY(Main[[#This Row],[Tech Start Date]],19),IF(Main[[#This Row],[Class]]="A",WORKDAY(Main[[#This Row],[Tech Start Date]],9),""))))</f>
        <v/>
      </c>
      <c r="Q674" s="74">
        <v>40052</v>
      </c>
      <c r="R674" s="74"/>
      <c r="S674" s="72" t="s">
        <v>11</v>
      </c>
      <c r="T674" s="80" t="s">
        <v>4</v>
      </c>
      <c r="U674" s="72" t="s">
        <v>14</v>
      </c>
      <c r="V674" s="72" t="s">
        <v>1935</v>
      </c>
      <c r="W674" s="72" t="s">
        <v>1934</v>
      </c>
      <c r="X674" s="72" t="s">
        <v>2918</v>
      </c>
      <c r="Y674" s="72" t="s">
        <v>4</v>
      </c>
      <c r="Z674" s="72" t="s">
        <v>4</v>
      </c>
      <c r="AA674" s="147" t="s">
        <v>2918</v>
      </c>
    </row>
    <row r="675" spans="1:27" ht="18.600000000000001" customHeight="1">
      <c r="A675" s="140" t="str">
        <f>IF(priority(Main[[#This Row],[Comments]])&lt;&gt;0, priority(Main[[#This Row],[Comments]]),"")</f>
        <v/>
      </c>
      <c r="B675" s="90" t="s">
        <v>1542</v>
      </c>
      <c r="C675" s="72" t="s">
        <v>4</v>
      </c>
      <c r="D675" s="73" t="s">
        <v>615</v>
      </c>
      <c r="E675" s="74">
        <v>40533.617372685185</v>
      </c>
      <c r="F675" s="74">
        <v>40602</v>
      </c>
      <c r="G675" s="75" t="str">
        <f>IF(stdProdLT(Main[[#This Row],[Comments]])=0.1,"N/A",IF(stdProdLT(Main[[#This Row],[Comments]])=0,"",stdProdLT(Main[[#This Row],[Comments]])))</f>
        <v/>
      </c>
      <c r="H675" s="76" t="str">
        <f>IF(AND(Main[[#This Row],[In Stock Date]]&lt;&gt;"",Main[[#This Row],[Revised Due Date]]&lt;&gt;""),Main[[#This Row],[In Stock Date]]-Main[[#This Row],[Revised Due Date]],"")</f>
        <v/>
      </c>
      <c r="I675" s="72" t="s">
        <v>4</v>
      </c>
      <c r="J675" s="72" t="s">
        <v>28</v>
      </c>
      <c r="K675" s="72" t="s">
        <v>1941</v>
      </c>
      <c r="L675" s="74"/>
      <c r="M675" s="77" t="str">
        <f>IF(Main[[#This Row],[Tech Start Date]]&lt;1/1/1990,"",IF(Main[[#This Row],[Class]]="C",WORKDAY(Main[[#This Row],[Tech Start Date]],9),IF(Main[[#This Row],[Class]]="B", WORKDAY(Main[[#This Row],[Tech Start Date]],6),IF(Main[[#This Row],[Class]]="A",WORKDAY(Main[[#This Row],[Tech Start Date]],2),""))))</f>
        <v/>
      </c>
      <c r="N675" s="77" t="str">
        <f>IF(Main[[#This Row],[Tech Start Date]]&lt;1/1/1990,"",IF(Main[[#This Row],[Class]]="C",WORKDAY(Main[[#This Row],[Tech Start Date]],19),IF(Main[[#This Row],[Class]]="B", WORKDAY(Main[[#This Row],[Tech Start Date]],12),IF(Main[[#This Row],[Class]]="A",WORKDAY(Main[[#This Row],[Tech Start Date]],4),""))))</f>
        <v/>
      </c>
      <c r="O675" s="77" t="str">
        <f>IF(Main[[#This Row],[Tech Start Date]]&lt;1/1/1990,"",IF(Main[[#This Row],[Class]]="C",WORKDAY(Main[[#This Row],[Tech Start Date]],23),IF(Main[[#This Row],[Class]]="B", WORKDAY(Main[[#This Row],[Tech Start Date]],15),IF(Main[[#This Row],[Class]]="A",WORKDAY(Main[[#This Row],[Tech Start Date]],5),""))))</f>
        <v/>
      </c>
      <c r="P675" s="77" t="str">
        <f>IF(Main[[#This Row],[Tech Start Date]]&lt;1/1/1990,"",IF(Main[[#This Row],[Class]]="C",WORKDAY(Main[[#This Row],[Tech Start Date]],28),IF(Main[[#This Row],[Class]]="B", WORKDAY(Main[[#This Row],[Tech Start Date]],19),IF(Main[[#This Row],[Class]]="A",WORKDAY(Main[[#This Row],[Tech Start Date]],9),""))))</f>
        <v/>
      </c>
      <c r="Q675" s="74">
        <v>40602</v>
      </c>
      <c r="R675" s="74"/>
      <c r="S675" s="72" t="s">
        <v>6</v>
      </c>
      <c r="T675" s="80" t="s">
        <v>4</v>
      </c>
      <c r="U675" s="72" t="s">
        <v>7</v>
      </c>
      <c r="V675" s="72" t="s">
        <v>1932</v>
      </c>
      <c r="W675" s="72" t="s">
        <v>1934</v>
      </c>
      <c r="X675" s="72" t="s">
        <v>2971</v>
      </c>
      <c r="Y675" s="72" t="s">
        <v>3130</v>
      </c>
      <c r="Z675" s="72" t="s">
        <v>129</v>
      </c>
      <c r="AA675" s="147" t="s">
        <v>2971</v>
      </c>
    </row>
    <row r="676" spans="1:27" ht="18.600000000000001" customHeight="1">
      <c r="A676" s="140" t="str">
        <f>IF(priority(Main[[#This Row],[Comments]])&lt;&gt;0, priority(Main[[#This Row],[Comments]]),"")</f>
        <v/>
      </c>
      <c r="B676" s="90" t="s">
        <v>1543</v>
      </c>
      <c r="C676" s="72" t="s">
        <v>4</v>
      </c>
      <c r="D676" s="73" t="s">
        <v>616</v>
      </c>
      <c r="E676" s="74">
        <v>40387.693402777775</v>
      </c>
      <c r="F676" s="74"/>
      <c r="G676" s="75" t="str">
        <f>IF(stdProdLT(Main[[#This Row],[Comments]])=0.1,"N/A",IF(stdProdLT(Main[[#This Row],[Comments]])=0,"",stdProdLT(Main[[#This Row],[Comments]])))</f>
        <v/>
      </c>
      <c r="H676" s="76" t="str">
        <f>IF(AND(Main[[#This Row],[In Stock Date]]&lt;&gt;"",Main[[#This Row],[Revised Due Date]]&lt;&gt;""),Main[[#This Row],[In Stock Date]]-Main[[#This Row],[Revised Due Date]],"")</f>
        <v/>
      </c>
      <c r="I676" s="72" t="s">
        <v>4</v>
      </c>
      <c r="J676" s="72" t="s">
        <v>28</v>
      </c>
      <c r="K676" s="72" t="s">
        <v>4</v>
      </c>
      <c r="L676" s="74"/>
      <c r="M676" s="77" t="str">
        <f>IF(Main[[#This Row],[Tech Start Date]]&lt;1/1/1990,"",IF(Main[[#This Row],[Class]]="C",WORKDAY(Main[[#This Row],[Tech Start Date]],9),IF(Main[[#This Row],[Class]]="B", WORKDAY(Main[[#This Row],[Tech Start Date]],6),IF(Main[[#This Row],[Class]]="A",WORKDAY(Main[[#This Row],[Tech Start Date]],2),""))))</f>
        <v/>
      </c>
      <c r="N676" s="77" t="str">
        <f>IF(Main[[#This Row],[Tech Start Date]]&lt;1/1/1990,"",IF(Main[[#This Row],[Class]]="C",WORKDAY(Main[[#This Row],[Tech Start Date]],19),IF(Main[[#This Row],[Class]]="B", WORKDAY(Main[[#This Row],[Tech Start Date]],12),IF(Main[[#This Row],[Class]]="A",WORKDAY(Main[[#This Row],[Tech Start Date]],4),""))))</f>
        <v/>
      </c>
      <c r="O676" s="77" t="str">
        <f>IF(Main[[#This Row],[Tech Start Date]]&lt;1/1/1990,"",IF(Main[[#This Row],[Class]]="C",WORKDAY(Main[[#This Row],[Tech Start Date]],23),IF(Main[[#This Row],[Class]]="B", WORKDAY(Main[[#This Row],[Tech Start Date]],15),IF(Main[[#This Row],[Class]]="A",WORKDAY(Main[[#This Row],[Tech Start Date]],5),""))))</f>
        <v/>
      </c>
      <c r="P676" s="77" t="str">
        <f>IF(Main[[#This Row],[Tech Start Date]]&lt;1/1/1990,"",IF(Main[[#This Row],[Class]]="C",WORKDAY(Main[[#This Row],[Tech Start Date]],28),IF(Main[[#This Row],[Class]]="B", WORKDAY(Main[[#This Row],[Tech Start Date]],19),IF(Main[[#This Row],[Class]]="A",WORKDAY(Main[[#This Row],[Tech Start Date]],9),""))))</f>
        <v/>
      </c>
      <c r="Q676" s="74">
        <v>40400</v>
      </c>
      <c r="R676" s="74"/>
      <c r="S676" s="72" t="s">
        <v>6</v>
      </c>
      <c r="T676" s="80" t="s">
        <v>4</v>
      </c>
      <c r="U676" s="72" t="s">
        <v>7</v>
      </c>
      <c r="V676" s="72" t="s">
        <v>1932</v>
      </c>
      <c r="W676" s="72" t="s">
        <v>1934</v>
      </c>
      <c r="X676" s="72" t="s">
        <v>102</v>
      </c>
      <c r="Y676" s="72" t="s">
        <v>3119</v>
      </c>
      <c r="Z676" s="72" t="s">
        <v>129</v>
      </c>
      <c r="AA676" s="147" t="s">
        <v>3584</v>
      </c>
    </row>
    <row r="677" spans="1:27" ht="18.600000000000001" customHeight="1">
      <c r="A677" s="140" t="str">
        <f>IF(priority(Main[[#This Row],[Comments]])&lt;&gt;0, priority(Main[[#This Row],[Comments]]),"")</f>
        <v/>
      </c>
      <c r="B677" s="90" t="s">
        <v>1544</v>
      </c>
      <c r="C677" s="72" t="s">
        <v>4</v>
      </c>
      <c r="D677" s="73" t="s">
        <v>617</v>
      </c>
      <c r="E677" s="74">
        <v>40506.643229166664</v>
      </c>
      <c r="F677" s="74"/>
      <c r="G677" s="75" t="str">
        <f>IF(stdProdLT(Main[[#This Row],[Comments]])=0.1,"N/A",IF(stdProdLT(Main[[#This Row],[Comments]])=0,"",stdProdLT(Main[[#This Row],[Comments]])))</f>
        <v/>
      </c>
      <c r="H677" s="76" t="str">
        <f>IF(AND(Main[[#This Row],[In Stock Date]]&lt;&gt;"",Main[[#This Row],[Revised Due Date]]&lt;&gt;""),Main[[#This Row],[In Stock Date]]-Main[[#This Row],[Revised Due Date]],"")</f>
        <v/>
      </c>
      <c r="I677" s="72" t="s">
        <v>4</v>
      </c>
      <c r="J677" s="72" t="s">
        <v>28</v>
      </c>
      <c r="K677" s="72" t="s">
        <v>1939</v>
      </c>
      <c r="L677" s="74"/>
      <c r="M677" s="77" t="str">
        <f>IF(Main[[#This Row],[Tech Start Date]]&lt;1/1/1990,"",IF(Main[[#This Row],[Class]]="C",WORKDAY(Main[[#This Row],[Tech Start Date]],9),IF(Main[[#This Row],[Class]]="B", WORKDAY(Main[[#This Row],[Tech Start Date]],6),IF(Main[[#This Row],[Class]]="A",WORKDAY(Main[[#This Row],[Tech Start Date]],2),""))))</f>
        <v/>
      </c>
      <c r="N677" s="77" t="str">
        <f>IF(Main[[#This Row],[Tech Start Date]]&lt;1/1/1990,"",IF(Main[[#This Row],[Class]]="C",WORKDAY(Main[[#This Row],[Tech Start Date]],19),IF(Main[[#This Row],[Class]]="B", WORKDAY(Main[[#This Row],[Tech Start Date]],12),IF(Main[[#This Row],[Class]]="A",WORKDAY(Main[[#This Row],[Tech Start Date]],4),""))))</f>
        <v/>
      </c>
      <c r="O677" s="77" t="str">
        <f>IF(Main[[#This Row],[Tech Start Date]]&lt;1/1/1990,"",IF(Main[[#This Row],[Class]]="C",WORKDAY(Main[[#This Row],[Tech Start Date]],23),IF(Main[[#This Row],[Class]]="B", WORKDAY(Main[[#This Row],[Tech Start Date]],15),IF(Main[[#This Row],[Class]]="A",WORKDAY(Main[[#This Row],[Tech Start Date]],5),""))))</f>
        <v/>
      </c>
      <c r="P677" s="77" t="str">
        <f>IF(Main[[#This Row],[Tech Start Date]]&lt;1/1/1990,"",IF(Main[[#This Row],[Class]]="C",WORKDAY(Main[[#This Row],[Tech Start Date]],28),IF(Main[[#This Row],[Class]]="B", WORKDAY(Main[[#This Row],[Tech Start Date]],19),IF(Main[[#This Row],[Class]]="A",WORKDAY(Main[[#This Row],[Tech Start Date]],9),""))))</f>
        <v/>
      </c>
      <c r="Q677" s="74">
        <v>40548</v>
      </c>
      <c r="R677" s="74"/>
      <c r="S677" s="72" t="s">
        <v>6</v>
      </c>
      <c r="T677" s="80" t="s">
        <v>4</v>
      </c>
      <c r="U677" s="72" t="s">
        <v>7</v>
      </c>
      <c r="V677" s="72" t="s">
        <v>1932</v>
      </c>
      <c r="W677" s="72" t="s">
        <v>1936</v>
      </c>
      <c r="X677" s="72" t="s">
        <v>2905</v>
      </c>
      <c r="Y677" s="72" t="s">
        <v>3023</v>
      </c>
      <c r="Z677" s="72" t="s">
        <v>129</v>
      </c>
      <c r="AA677" s="147" t="s">
        <v>2905</v>
      </c>
    </row>
    <row r="678" spans="1:27" ht="18.600000000000001" customHeight="1">
      <c r="A678" s="140" t="str">
        <f>IF(priority(Main[[#This Row],[Comments]])&lt;&gt;0, priority(Main[[#This Row],[Comments]]),"")</f>
        <v/>
      </c>
      <c r="B678" s="90" t="s">
        <v>1545</v>
      </c>
      <c r="C678" s="72" t="s">
        <v>4</v>
      </c>
      <c r="D678" s="73" t="s">
        <v>618</v>
      </c>
      <c r="E678" s="74">
        <v>40371.390138888892</v>
      </c>
      <c r="F678" s="74"/>
      <c r="G678" s="75" t="str">
        <f>IF(stdProdLT(Main[[#This Row],[Comments]])=0.1,"N/A",IF(stdProdLT(Main[[#This Row],[Comments]])=0,"",stdProdLT(Main[[#This Row],[Comments]])))</f>
        <v/>
      </c>
      <c r="H678" s="76" t="str">
        <f>IF(AND(Main[[#This Row],[In Stock Date]]&lt;&gt;"",Main[[#This Row],[Revised Due Date]]&lt;&gt;""),Main[[#This Row],[In Stock Date]]-Main[[#This Row],[Revised Due Date]],"")</f>
        <v/>
      </c>
      <c r="I678" s="72" t="s">
        <v>4</v>
      </c>
      <c r="J678" s="72" t="s">
        <v>4</v>
      </c>
      <c r="K678" s="72" t="s">
        <v>4</v>
      </c>
      <c r="L678" s="74"/>
      <c r="M678" s="77" t="str">
        <f>IF(Main[[#This Row],[Tech Start Date]]&lt;1/1/1990,"",IF(Main[[#This Row],[Class]]="C",WORKDAY(Main[[#This Row],[Tech Start Date]],9),IF(Main[[#This Row],[Class]]="B", WORKDAY(Main[[#This Row],[Tech Start Date]],6),IF(Main[[#This Row],[Class]]="A",WORKDAY(Main[[#This Row],[Tech Start Date]],2),""))))</f>
        <v/>
      </c>
      <c r="N678" s="77" t="str">
        <f>IF(Main[[#This Row],[Tech Start Date]]&lt;1/1/1990,"",IF(Main[[#This Row],[Class]]="C",WORKDAY(Main[[#This Row],[Tech Start Date]],19),IF(Main[[#This Row],[Class]]="B", WORKDAY(Main[[#This Row],[Tech Start Date]],12),IF(Main[[#This Row],[Class]]="A",WORKDAY(Main[[#This Row],[Tech Start Date]],4),""))))</f>
        <v/>
      </c>
      <c r="O678" s="77" t="str">
        <f>IF(Main[[#This Row],[Tech Start Date]]&lt;1/1/1990,"",IF(Main[[#This Row],[Class]]="C",WORKDAY(Main[[#This Row],[Tech Start Date]],23),IF(Main[[#This Row],[Class]]="B", WORKDAY(Main[[#This Row],[Tech Start Date]],15),IF(Main[[#This Row],[Class]]="A",WORKDAY(Main[[#This Row],[Tech Start Date]],5),""))))</f>
        <v/>
      </c>
      <c r="P678" s="77" t="str">
        <f>IF(Main[[#This Row],[Tech Start Date]]&lt;1/1/1990,"",IF(Main[[#This Row],[Class]]="C",WORKDAY(Main[[#This Row],[Tech Start Date]],28),IF(Main[[#This Row],[Class]]="B", WORKDAY(Main[[#This Row],[Tech Start Date]],19),IF(Main[[#This Row],[Class]]="A",WORKDAY(Main[[#This Row],[Tech Start Date]],9),""))))</f>
        <v/>
      </c>
      <c r="Q678" s="74">
        <v>40385</v>
      </c>
      <c r="R678" s="74"/>
      <c r="S678" s="72" t="s">
        <v>6</v>
      </c>
      <c r="T678" s="80" t="s">
        <v>4</v>
      </c>
      <c r="U678" s="72" t="s">
        <v>7</v>
      </c>
      <c r="V678" s="72" t="s">
        <v>1932</v>
      </c>
      <c r="W678" s="72" t="s">
        <v>1934</v>
      </c>
      <c r="X678" s="72" t="s">
        <v>102</v>
      </c>
      <c r="Y678" s="72" t="s">
        <v>3079</v>
      </c>
      <c r="Z678" s="72" t="s">
        <v>4</v>
      </c>
      <c r="AA678" s="147" t="s">
        <v>129</v>
      </c>
    </row>
    <row r="679" spans="1:27" ht="18.600000000000001" customHeight="1">
      <c r="A679" s="140" t="str">
        <f>IF(priority(Main[[#This Row],[Comments]])&lt;&gt;0, priority(Main[[#This Row],[Comments]]),"")</f>
        <v/>
      </c>
      <c r="B679" s="90" t="s">
        <v>1682</v>
      </c>
      <c r="C679" s="72" t="s">
        <v>4</v>
      </c>
      <c r="D679" s="73" t="s">
        <v>738</v>
      </c>
      <c r="E679" s="74"/>
      <c r="F679" s="74"/>
      <c r="G679" s="75" t="str">
        <f>IF(stdProdLT(Main[[#This Row],[Comments]])=0.1,"N/A",IF(stdProdLT(Main[[#This Row],[Comments]])=0,"",stdProdLT(Main[[#This Row],[Comments]])))</f>
        <v/>
      </c>
      <c r="H679" s="76" t="str">
        <f>IF(AND(Main[[#This Row],[In Stock Date]]&lt;&gt;"",Main[[#This Row],[Revised Due Date]]&lt;&gt;""),Main[[#This Row],[In Stock Date]]-Main[[#This Row],[Revised Due Date]],"")</f>
        <v/>
      </c>
      <c r="I679" s="72" t="s">
        <v>4</v>
      </c>
      <c r="J679" s="72" t="s">
        <v>4</v>
      </c>
      <c r="K679" s="72" t="s">
        <v>4</v>
      </c>
      <c r="L679" s="74"/>
      <c r="M679" s="77" t="str">
        <f>IF(Main[[#This Row],[Tech Start Date]]&lt;1/1/1990,"",IF(Main[[#This Row],[Class]]="C",WORKDAY(Main[[#This Row],[Tech Start Date]],9),IF(Main[[#This Row],[Class]]="B", WORKDAY(Main[[#This Row],[Tech Start Date]],6),IF(Main[[#This Row],[Class]]="A",WORKDAY(Main[[#This Row],[Tech Start Date]],2),""))))</f>
        <v/>
      </c>
      <c r="N679" s="77" t="str">
        <f>IF(Main[[#This Row],[Tech Start Date]]&lt;1/1/1990,"",IF(Main[[#This Row],[Class]]="C",WORKDAY(Main[[#This Row],[Tech Start Date]],19),IF(Main[[#This Row],[Class]]="B", WORKDAY(Main[[#This Row],[Tech Start Date]],12),IF(Main[[#This Row],[Class]]="A",WORKDAY(Main[[#This Row],[Tech Start Date]],4),""))))</f>
        <v/>
      </c>
      <c r="O679" s="77" t="str">
        <f>IF(Main[[#This Row],[Tech Start Date]]&lt;1/1/1990,"",IF(Main[[#This Row],[Class]]="C",WORKDAY(Main[[#This Row],[Tech Start Date]],23),IF(Main[[#This Row],[Class]]="B", WORKDAY(Main[[#This Row],[Tech Start Date]],15),IF(Main[[#This Row],[Class]]="A",WORKDAY(Main[[#This Row],[Tech Start Date]],5),""))))</f>
        <v/>
      </c>
      <c r="P679" s="77" t="str">
        <f>IF(Main[[#This Row],[Tech Start Date]]&lt;1/1/1990,"",IF(Main[[#This Row],[Class]]="C",WORKDAY(Main[[#This Row],[Tech Start Date]],28),IF(Main[[#This Row],[Class]]="B", WORKDAY(Main[[#This Row],[Tech Start Date]],19),IF(Main[[#This Row],[Class]]="A",WORKDAY(Main[[#This Row],[Tech Start Date]],9),""))))</f>
        <v/>
      </c>
      <c r="Q679" s="74"/>
      <c r="R679" s="74"/>
      <c r="S679" s="72" t="s">
        <v>23</v>
      </c>
      <c r="T679" s="80" t="s">
        <v>4</v>
      </c>
      <c r="U679" s="72" t="s">
        <v>14</v>
      </c>
      <c r="V679" s="72" t="s">
        <v>1932</v>
      </c>
      <c r="W679" s="72" t="s">
        <v>1936</v>
      </c>
      <c r="X679" s="72" t="s">
        <v>102</v>
      </c>
      <c r="Y679" s="72" t="s">
        <v>3163</v>
      </c>
      <c r="Z679" s="72" t="s">
        <v>4</v>
      </c>
      <c r="AA679" s="147" t="s">
        <v>3611</v>
      </c>
    </row>
    <row r="680" spans="1:27" ht="18.600000000000001" customHeight="1">
      <c r="A680" s="140" t="str">
        <f>IF(priority(Main[[#This Row],[Comments]])&lt;&gt;0, priority(Main[[#This Row],[Comments]]),"")</f>
        <v/>
      </c>
      <c r="B680" s="90" t="s">
        <v>1546</v>
      </c>
      <c r="C680" s="72" t="s">
        <v>33</v>
      </c>
      <c r="D680" s="73" t="s">
        <v>619</v>
      </c>
      <c r="E680" s="74"/>
      <c r="F680" s="74">
        <v>40252</v>
      </c>
      <c r="G680" s="75" t="str">
        <f>IF(stdProdLT(Main[[#This Row],[Comments]])=0.1,"N/A",IF(stdProdLT(Main[[#This Row],[Comments]])=0,"",stdProdLT(Main[[#This Row],[Comments]])))</f>
        <v/>
      </c>
      <c r="H680" s="76" t="str">
        <f>IF(AND(Main[[#This Row],[In Stock Date]]&lt;&gt;"",Main[[#This Row],[Revised Due Date]]&lt;&gt;""),Main[[#This Row],[In Stock Date]]-Main[[#This Row],[Revised Due Date]],"")</f>
        <v/>
      </c>
      <c r="I680" s="72" t="s">
        <v>4</v>
      </c>
      <c r="J680" s="72" t="s">
        <v>4</v>
      </c>
      <c r="K680" s="72" t="s">
        <v>4</v>
      </c>
      <c r="L680" s="74"/>
      <c r="M680" s="77" t="str">
        <f>IF(Main[[#This Row],[Tech Start Date]]&lt;1/1/1990,"",IF(Main[[#This Row],[Class]]="C",WORKDAY(Main[[#This Row],[Tech Start Date]],9),IF(Main[[#This Row],[Class]]="B", WORKDAY(Main[[#This Row],[Tech Start Date]],6),IF(Main[[#This Row],[Class]]="A",WORKDAY(Main[[#This Row],[Tech Start Date]],2),""))))</f>
        <v/>
      </c>
      <c r="N680" s="77" t="str">
        <f>IF(Main[[#This Row],[Tech Start Date]]&lt;1/1/1990,"",IF(Main[[#This Row],[Class]]="C",WORKDAY(Main[[#This Row],[Tech Start Date]],19),IF(Main[[#This Row],[Class]]="B", WORKDAY(Main[[#This Row],[Tech Start Date]],12),IF(Main[[#This Row],[Class]]="A",WORKDAY(Main[[#This Row],[Tech Start Date]],4),""))))</f>
        <v/>
      </c>
      <c r="O680" s="77" t="str">
        <f>IF(Main[[#This Row],[Tech Start Date]]&lt;1/1/1990,"",IF(Main[[#This Row],[Class]]="C",WORKDAY(Main[[#This Row],[Tech Start Date]],23),IF(Main[[#This Row],[Class]]="B", WORKDAY(Main[[#This Row],[Tech Start Date]],15),IF(Main[[#This Row],[Class]]="A",WORKDAY(Main[[#This Row],[Tech Start Date]],5),""))))</f>
        <v/>
      </c>
      <c r="P680" s="77" t="str">
        <f>IF(Main[[#This Row],[Tech Start Date]]&lt;1/1/1990,"",IF(Main[[#This Row],[Class]]="C",WORKDAY(Main[[#This Row],[Tech Start Date]],28),IF(Main[[#This Row],[Class]]="B", WORKDAY(Main[[#This Row],[Tech Start Date]],19),IF(Main[[#This Row],[Class]]="A",WORKDAY(Main[[#This Row],[Tech Start Date]],9),""))))</f>
        <v/>
      </c>
      <c r="Q680" s="74">
        <v>40227</v>
      </c>
      <c r="R680" s="74"/>
      <c r="S680" s="72" t="s">
        <v>11</v>
      </c>
      <c r="T680" s="80" t="s">
        <v>4</v>
      </c>
      <c r="U680" s="72" t="s">
        <v>14</v>
      </c>
      <c r="V680" s="72" t="s">
        <v>1935</v>
      </c>
      <c r="W680" s="72" t="s">
        <v>1937</v>
      </c>
      <c r="X680" s="72" t="s">
        <v>2934</v>
      </c>
      <c r="Y680" s="72" t="s">
        <v>4</v>
      </c>
      <c r="Z680" s="72" t="s">
        <v>4</v>
      </c>
      <c r="AA680" s="147" t="s">
        <v>2934</v>
      </c>
    </row>
    <row r="681" spans="1:27" ht="18.600000000000001" customHeight="1">
      <c r="A681" s="140" t="str">
        <f>IF(priority(Main[[#This Row],[Comments]])&lt;&gt;0, priority(Main[[#This Row],[Comments]]),"")</f>
        <v/>
      </c>
      <c r="B681" s="90" t="s">
        <v>1547</v>
      </c>
      <c r="C681" s="72" t="s">
        <v>4</v>
      </c>
      <c r="D681" s="73" t="s">
        <v>620</v>
      </c>
      <c r="E681" s="74"/>
      <c r="F681" s="74"/>
      <c r="G681" s="75" t="str">
        <f>IF(stdProdLT(Main[[#This Row],[Comments]])=0.1,"N/A",IF(stdProdLT(Main[[#This Row],[Comments]])=0,"",stdProdLT(Main[[#This Row],[Comments]])))</f>
        <v/>
      </c>
      <c r="H681" s="76" t="str">
        <f>IF(AND(Main[[#This Row],[In Stock Date]]&lt;&gt;"",Main[[#This Row],[Revised Due Date]]&lt;&gt;""),Main[[#This Row],[In Stock Date]]-Main[[#This Row],[Revised Due Date]],"")</f>
        <v/>
      </c>
      <c r="I681" s="72" t="s">
        <v>4</v>
      </c>
      <c r="J681" s="72" t="s">
        <v>28</v>
      </c>
      <c r="K681" s="81" t="s">
        <v>1941</v>
      </c>
      <c r="L681" s="74"/>
      <c r="M681" s="77" t="str">
        <f>IF(Main[[#This Row],[Tech Start Date]]&lt;1/1/1990,"",IF(Main[[#This Row],[Class]]="C",WORKDAY(Main[[#This Row],[Tech Start Date]],9),IF(Main[[#This Row],[Class]]="B", WORKDAY(Main[[#This Row],[Tech Start Date]],6),IF(Main[[#This Row],[Class]]="A",WORKDAY(Main[[#This Row],[Tech Start Date]],2),""))))</f>
        <v/>
      </c>
      <c r="N681" s="77" t="str">
        <f>IF(Main[[#This Row],[Tech Start Date]]&lt;1/1/1990,"",IF(Main[[#This Row],[Class]]="C",WORKDAY(Main[[#This Row],[Tech Start Date]],19),IF(Main[[#This Row],[Class]]="B", WORKDAY(Main[[#This Row],[Tech Start Date]],12),IF(Main[[#This Row],[Class]]="A",WORKDAY(Main[[#This Row],[Tech Start Date]],4),""))))</f>
        <v/>
      </c>
      <c r="O681" s="77" t="str">
        <f>IF(Main[[#This Row],[Tech Start Date]]&lt;1/1/1990,"",IF(Main[[#This Row],[Class]]="C",WORKDAY(Main[[#This Row],[Tech Start Date]],23),IF(Main[[#This Row],[Class]]="B", WORKDAY(Main[[#This Row],[Tech Start Date]],15),IF(Main[[#This Row],[Class]]="A",WORKDAY(Main[[#This Row],[Tech Start Date]],5),""))))</f>
        <v/>
      </c>
      <c r="P681" s="77" t="str">
        <f>IF(Main[[#This Row],[Tech Start Date]]&lt;1/1/1990,"",IF(Main[[#This Row],[Class]]="C",WORKDAY(Main[[#This Row],[Tech Start Date]],28),IF(Main[[#This Row],[Class]]="B", WORKDAY(Main[[#This Row],[Tech Start Date]],19),IF(Main[[#This Row],[Class]]="A",WORKDAY(Main[[#This Row],[Tech Start Date]],9),""))))</f>
        <v/>
      </c>
      <c r="Q681" s="74">
        <v>40387</v>
      </c>
      <c r="R681" s="74"/>
      <c r="S681" s="72" t="s">
        <v>6</v>
      </c>
      <c r="T681" s="80" t="s">
        <v>4</v>
      </c>
      <c r="U681" s="72" t="s">
        <v>14</v>
      </c>
      <c r="V681" s="72" t="s">
        <v>1932</v>
      </c>
      <c r="W681" s="72" t="s">
        <v>1937</v>
      </c>
      <c r="X681" s="72" t="s">
        <v>129</v>
      </c>
      <c r="Y681" s="72" t="s">
        <v>3164</v>
      </c>
      <c r="Z681" s="72" t="s">
        <v>129</v>
      </c>
      <c r="AA681" s="147" t="s">
        <v>129</v>
      </c>
    </row>
    <row r="682" spans="1:27" ht="18.600000000000001" customHeight="1">
      <c r="A682" s="140" t="str">
        <f>IF(priority(Main[[#This Row],[Comments]])&lt;&gt;0, priority(Main[[#This Row],[Comments]]),"")</f>
        <v/>
      </c>
      <c r="B682" s="90" t="s">
        <v>1548</v>
      </c>
      <c r="C682" s="72" t="s">
        <v>214</v>
      </c>
      <c r="D682" s="73" t="s">
        <v>418</v>
      </c>
      <c r="E682" s="74"/>
      <c r="F682" s="74">
        <v>40391</v>
      </c>
      <c r="G682" s="75" t="str">
        <f>IF(stdProdLT(Main[[#This Row],[Comments]])=0.1,"N/A",IF(stdProdLT(Main[[#This Row],[Comments]])=0,"",stdProdLT(Main[[#This Row],[Comments]])))</f>
        <v/>
      </c>
      <c r="H682" s="76" t="str">
        <f>IF(AND(Main[[#This Row],[In Stock Date]]&lt;&gt;"",Main[[#This Row],[Revised Due Date]]&lt;&gt;""),Main[[#This Row],[In Stock Date]]-Main[[#This Row],[Revised Due Date]],"")</f>
        <v/>
      </c>
      <c r="I682" s="72" t="s">
        <v>4</v>
      </c>
      <c r="J682" s="72" t="s">
        <v>4</v>
      </c>
      <c r="K682" s="72" t="s">
        <v>4</v>
      </c>
      <c r="L682" s="74"/>
      <c r="M682" s="77" t="str">
        <f>IF(Main[[#This Row],[Tech Start Date]]&lt;1/1/1990,"",IF(Main[[#This Row],[Class]]="C",WORKDAY(Main[[#This Row],[Tech Start Date]],9),IF(Main[[#This Row],[Class]]="B", WORKDAY(Main[[#This Row],[Tech Start Date]],6),IF(Main[[#This Row],[Class]]="A",WORKDAY(Main[[#This Row],[Tech Start Date]],2),""))))</f>
        <v/>
      </c>
      <c r="N682" s="77" t="str">
        <f>IF(Main[[#This Row],[Tech Start Date]]&lt;1/1/1990,"",IF(Main[[#This Row],[Class]]="C",WORKDAY(Main[[#This Row],[Tech Start Date]],19),IF(Main[[#This Row],[Class]]="B", WORKDAY(Main[[#This Row],[Tech Start Date]],12),IF(Main[[#This Row],[Class]]="A",WORKDAY(Main[[#This Row],[Tech Start Date]],4),""))))</f>
        <v/>
      </c>
      <c r="O682" s="77" t="str">
        <f>IF(Main[[#This Row],[Tech Start Date]]&lt;1/1/1990,"",IF(Main[[#This Row],[Class]]="C",WORKDAY(Main[[#This Row],[Tech Start Date]],23),IF(Main[[#This Row],[Class]]="B", WORKDAY(Main[[#This Row],[Tech Start Date]],15),IF(Main[[#This Row],[Class]]="A",WORKDAY(Main[[#This Row],[Tech Start Date]],5),""))))</f>
        <v/>
      </c>
      <c r="P682" s="77" t="str">
        <f>IF(Main[[#This Row],[Tech Start Date]]&lt;1/1/1990,"",IF(Main[[#This Row],[Class]]="C",WORKDAY(Main[[#This Row],[Tech Start Date]],28),IF(Main[[#This Row],[Class]]="B", WORKDAY(Main[[#This Row],[Tech Start Date]],19),IF(Main[[#This Row],[Class]]="A",WORKDAY(Main[[#This Row],[Tech Start Date]],9),""))))</f>
        <v/>
      </c>
      <c r="Q682" s="74">
        <v>40296</v>
      </c>
      <c r="R682" s="74"/>
      <c r="S682" s="72" t="s">
        <v>11</v>
      </c>
      <c r="T682" s="80" t="s">
        <v>4</v>
      </c>
      <c r="U682" s="72" t="s">
        <v>12</v>
      </c>
      <c r="V682" s="72" t="s">
        <v>1932</v>
      </c>
      <c r="W682" s="72" t="s">
        <v>1940</v>
      </c>
      <c r="X682" s="72" t="s">
        <v>2917</v>
      </c>
      <c r="Y682" s="72" t="s">
        <v>4</v>
      </c>
      <c r="Z682" s="72" t="s">
        <v>4</v>
      </c>
      <c r="AA682" s="147" t="s">
        <v>2917</v>
      </c>
    </row>
    <row r="683" spans="1:27" ht="18.600000000000001" customHeight="1">
      <c r="A683" s="140" t="str">
        <f>IF(priority(Main[[#This Row],[Comments]])&lt;&gt;0, priority(Main[[#This Row],[Comments]]),"")</f>
        <v/>
      </c>
      <c r="B683" s="90" t="s">
        <v>1549</v>
      </c>
      <c r="C683" s="72" t="s">
        <v>214</v>
      </c>
      <c r="D683" s="73" t="s">
        <v>418</v>
      </c>
      <c r="E683" s="74"/>
      <c r="F683" s="74">
        <v>40452</v>
      </c>
      <c r="G683" s="75" t="str">
        <f>IF(stdProdLT(Main[[#This Row],[Comments]])=0.1,"N/A",IF(stdProdLT(Main[[#This Row],[Comments]])=0,"",stdProdLT(Main[[#This Row],[Comments]])))</f>
        <v/>
      </c>
      <c r="H683" s="76" t="str">
        <f>IF(AND(Main[[#This Row],[In Stock Date]]&lt;&gt;"",Main[[#This Row],[Revised Due Date]]&lt;&gt;""),Main[[#This Row],[In Stock Date]]-Main[[#This Row],[Revised Due Date]],"")</f>
        <v/>
      </c>
      <c r="I683" s="72" t="s">
        <v>4</v>
      </c>
      <c r="J683" s="72" t="s">
        <v>4</v>
      </c>
      <c r="K683" s="72" t="s">
        <v>4</v>
      </c>
      <c r="L683" s="74"/>
      <c r="M683" s="77" t="str">
        <f>IF(Main[[#This Row],[Tech Start Date]]&lt;1/1/1990,"",IF(Main[[#This Row],[Class]]="C",WORKDAY(Main[[#This Row],[Tech Start Date]],9),IF(Main[[#This Row],[Class]]="B", WORKDAY(Main[[#This Row],[Tech Start Date]],6),IF(Main[[#This Row],[Class]]="A",WORKDAY(Main[[#This Row],[Tech Start Date]],2),""))))</f>
        <v/>
      </c>
      <c r="N683" s="77" t="str">
        <f>IF(Main[[#This Row],[Tech Start Date]]&lt;1/1/1990,"",IF(Main[[#This Row],[Class]]="C",WORKDAY(Main[[#This Row],[Tech Start Date]],19),IF(Main[[#This Row],[Class]]="B", WORKDAY(Main[[#This Row],[Tech Start Date]],12),IF(Main[[#This Row],[Class]]="A",WORKDAY(Main[[#This Row],[Tech Start Date]],4),""))))</f>
        <v/>
      </c>
      <c r="O683" s="77" t="str">
        <f>IF(Main[[#This Row],[Tech Start Date]]&lt;1/1/1990,"",IF(Main[[#This Row],[Class]]="C",WORKDAY(Main[[#This Row],[Tech Start Date]],23),IF(Main[[#This Row],[Class]]="B", WORKDAY(Main[[#This Row],[Tech Start Date]],15),IF(Main[[#This Row],[Class]]="A",WORKDAY(Main[[#This Row],[Tech Start Date]],5),""))))</f>
        <v/>
      </c>
      <c r="P683" s="77" t="str">
        <f>IF(Main[[#This Row],[Tech Start Date]]&lt;1/1/1990,"",IF(Main[[#This Row],[Class]]="C",WORKDAY(Main[[#This Row],[Tech Start Date]],28),IF(Main[[#This Row],[Class]]="B", WORKDAY(Main[[#This Row],[Tech Start Date]],19),IF(Main[[#This Row],[Class]]="A",WORKDAY(Main[[#This Row],[Tech Start Date]],9),""))))</f>
        <v/>
      </c>
      <c r="Q683" s="74">
        <v>40357</v>
      </c>
      <c r="R683" s="74"/>
      <c r="S683" s="72" t="s">
        <v>11</v>
      </c>
      <c r="T683" s="80" t="s">
        <v>4</v>
      </c>
      <c r="U683" s="72" t="s">
        <v>12</v>
      </c>
      <c r="V683" s="72" t="s">
        <v>1932</v>
      </c>
      <c r="W683" s="72" t="s">
        <v>1940</v>
      </c>
      <c r="X683" s="72" t="s">
        <v>2917</v>
      </c>
      <c r="Y683" s="72" t="s">
        <v>4</v>
      </c>
      <c r="Z683" s="72" t="s">
        <v>4</v>
      </c>
      <c r="AA683" s="147" t="s">
        <v>2917</v>
      </c>
    </row>
    <row r="684" spans="1:27" ht="18.600000000000001" customHeight="1">
      <c r="A684" s="140" t="str">
        <f>IF(priority(Main[[#This Row],[Comments]])&lt;&gt;0, priority(Main[[#This Row],[Comments]]),"")</f>
        <v/>
      </c>
      <c r="B684" s="90" t="s">
        <v>1550</v>
      </c>
      <c r="C684" s="72" t="s">
        <v>214</v>
      </c>
      <c r="D684" s="73" t="s">
        <v>215</v>
      </c>
      <c r="E684" s="74"/>
      <c r="F684" s="74">
        <v>40452</v>
      </c>
      <c r="G684" s="75" t="str">
        <f>IF(stdProdLT(Main[[#This Row],[Comments]])=0.1,"N/A",IF(stdProdLT(Main[[#This Row],[Comments]])=0,"",stdProdLT(Main[[#This Row],[Comments]])))</f>
        <v/>
      </c>
      <c r="H684" s="76" t="str">
        <f>IF(AND(Main[[#This Row],[In Stock Date]]&lt;&gt;"",Main[[#This Row],[Revised Due Date]]&lt;&gt;""),Main[[#This Row],[In Stock Date]]-Main[[#This Row],[Revised Due Date]],"")</f>
        <v/>
      </c>
      <c r="I684" s="72" t="s">
        <v>4</v>
      </c>
      <c r="J684" s="72" t="s">
        <v>4</v>
      </c>
      <c r="K684" s="72" t="s">
        <v>4</v>
      </c>
      <c r="L684" s="74"/>
      <c r="M684" s="77" t="str">
        <f>IF(Main[[#This Row],[Tech Start Date]]&lt;1/1/1990,"",IF(Main[[#This Row],[Class]]="C",WORKDAY(Main[[#This Row],[Tech Start Date]],9),IF(Main[[#This Row],[Class]]="B", WORKDAY(Main[[#This Row],[Tech Start Date]],6),IF(Main[[#This Row],[Class]]="A",WORKDAY(Main[[#This Row],[Tech Start Date]],2),""))))</f>
        <v/>
      </c>
      <c r="N684" s="77" t="str">
        <f>IF(Main[[#This Row],[Tech Start Date]]&lt;1/1/1990,"",IF(Main[[#This Row],[Class]]="C",WORKDAY(Main[[#This Row],[Tech Start Date]],19),IF(Main[[#This Row],[Class]]="B", WORKDAY(Main[[#This Row],[Tech Start Date]],12),IF(Main[[#This Row],[Class]]="A",WORKDAY(Main[[#This Row],[Tech Start Date]],4),""))))</f>
        <v/>
      </c>
      <c r="O684" s="77" t="str">
        <f>IF(Main[[#This Row],[Tech Start Date]]&lt;1/1/1990,"",IF(Main[[#This Row],[Class]]="C",WORKDAY(Main[[#This Row],[Tech Start Date]],23),IF(Main[[#This Row],[Class]]="B", WORKDAY(Main[[#This Row],[Tech Start Date]],15),IF(Main[[#This Row],[Class]]="A",WORKDAY(Main[[#This Row],[Tech Start Date]],5),""))))</f>
        <v/>
      </c>
      <c r="P684" s="77" t="str">
        <f>IF(Main[[#This Row],[Tech Start Date]]&lt;1/1/1990,"",IF(Main[[#This Row],[Class]]="C",WORKDAY(Main[[#This Row],[Tech Start Date]],28),IF(Main[[#This Row],[Class]]="B", WORKDAY(Main[[#This Row],[Tech Start Date]],19),IF(Main[[#This Row],[Class]]="A",WORKDAY(Main[[#This Row],[Tech Start Date]],9),""))))</f>
        <v/>
      </c>
      <c r="Q684" s="74">
        <v>40357</v>
      </c>
      <c r="R684" s="74"/>
      <c r="S684" s="72" t="s">
        <v>11</v>
      </c>
      <c r="T684" s="80" t="s">
        <v>4</v>
      </c>
      <c r="U684" s="72" t="s">
        <v>12</v>
      </c>
      <c r="V684" s="72" t="s">
        <v>1932</v>
      </c>
      <c r="W684" s="72" t="s">
        <v>1940</v>
      </c>
      <c r="X684" s="72" t="s">
        <v>2917</v>
      </c>
      <c r="Y684" s="72" t="s">
        <v>4</v>
      </c>
      <c r="Z684" s="72" t="s">
        <v>4</v>
      </c>
      <c r="AA684" s="147" t="s">
        <v>2917</v>
      </c>
    </row>
    <row r="685" spans="1:27" ht="18.600000000000001" customHeight="1">
      <c r="A685" s="140" t="str">
        <f>IF(priority(Main[[#This Row],[Comments]])&lt;&gt;0, priority(Main[[#This Row],[Comments]]),"")</f>
        <v/>
      </c>
      <c r="B685" s="90" t="s">
        <v>1551</v>
      </c>
      <c r="C685" s="72" t="s">
        <v>214</v>
      </c>
      <c r="D685" s="73" t="s">
        <v>215</v>
      </c>
      <c r="E685" s="74"/>
      <c r="F685" s="74">
        <v>40452</v>
      </c>
      <c r="G685" s="75" t="str">
        <f>IF(stdProdLT(Main[[#This Row],[Comments]])=0.1,"N/A",IF(stdProdLT(Main[[#This Row],[Comments]])=0,"",stdProdLT(Main[[#This Row],[Comments]])))</f>
        <v/>
      </c>
      <c r="H685" s="76" t="str">
        <f>IF(AND(Main[[#This Row],[In Stock Date]]&lt;&gt;"",Main[[#This Row],[Revised Due Date]]&lt;&gt;""),Main[[#This Row],[In Stock Date]]-Main[[#This Row],[Revised Due Date]],"")</f>
        <v/>
      </c>
      <c r="I685" s="72" t="s">
        <v>4</v>
      </c>
      <c r="J685" s="72" t="s">
        <v>4</v>
      </c>
      <c r="K685" s="72" t="s">
        <v>4</v>
      </c>
      <c r="L685" s="74"/>
      <c r="M685" s="77" t="str">
        <f>IF(Main[[#This Row],[Tech Start Date]]&lt;1/1/1990,"",IF(Main[[#This Row],[Class]]="C",WORKDAY(Main[[#This Row],[Tech Start Date]],9),IF(Main[[#This Row],[Class]]="B", WORKDAY(Main[[#This Row],[Tech Start Date]],6),IF(Main[[#This Row],[Class]]="A",WORKDAY(Main[[#This Row],[Tech Start Date]],2),""))))</f>
        <v/>
      </c>
      <c r="N685" s="77" t="str">
        <f>IF(Main[[#This Row],[Tech Start Date]]&lt;1/1/1990,"",IF(Main[[#This Row],[Class]]="C",WORKDAY(Main[[#This Row],[Tech Start Date]],19),IF(Main[[#This Row],[Class]]="B", WORKDAY(Main[[#This Row],[Tech Start Date]],12),IF(Main[[#This Row],[Class]]="A",WORKDAY(Main[[#This Row],[Tech Start Date]],4),""))))</f>
        <v/>
      </c>
      <c r="O685" s="77" t="str">
        <f>IF(Main[[#This Row],[Tech Start Date]]&lt;1/1/1990,"",IF(Main[[#This Row],[Class]]="C",WORKDAY(Main[[#This Row],[Tech Start Date]],23),IF(Main[[#This Row],[Class]]="B", WORKDAY(Main[[#This Row],[Tech Start Date]],15),IF(Main[[#This Row],[Class]]="A",WORKDAY(Main[[#This Row],[Tech Start Date]],5),""))))</f>
        <v/>
      </c>
      <c r="P685" s="77" t="str">
        <f>IF(Main[[#This Row],[Tech Start Date]]&lt;1/1/1990,"",IF(Main[[#This Row],[Class]]="C",WORKDAY(Main[[#This Row],[Tech Start Date]],28),IF(Main[[#This Row],[Class]]="B", WORKDAY(Main[[#This Row],[Tech Start Date]],19),IF(Main[[#This Row],[Class]]="A",WORKDAY(Main[[#This Row],[Tech Start Date]],9),""))))</f>
        <v/>
      </c>
      <c r="Q685" s="74">
        <v>40357</v>
      </c>
      <c r="R685" s="74"/>
      <c r="S685" s="72" t="s">
        <v>11</v>
      </c>
      <c r="T685" s="80" t="s">
        <v>4</v>
      </c>
      <c r="U685" s="72" t="s">
        <v>12</v>
      </c>
      <c r="V685" s="72" t="s">
        <v>1932</v>
      </c>
      <c r="W685" s="72" t="s">
        <v>1940</v>
      </c>
      <c r="X685" s="72" t="s">
        <v>2917</v>
      </c>
      <c r="Y685" s="72" t="s">
        <v>4</v>
      </c>
      <c r="Z685" s="72" t="s">
        <v>4</v>
      </c>
      <c r="AA685" s="147" t="s">
        <v>2917</v>
      </c>
    </row>
    <row r="686" spans="1:27" ht="18.600000000000001" customHeight="1">
      <c r="A686" s="140" t="str">
        <f>IF(priority(Main[[#This Row],[Comments]])&lt;&gt;0, priority(Main[[#This Row],[Comments]]),"")</f>
        <v/>
      </c>
      <c r="B686" s="90" t="s">
        <v>1552</v>
      </c>
      <c r="C686" s="72" t="s">
        <v>72</v>
      </c>
      <c r="D686" s="73" t="s">
        <v>621</v>
      </c>
      <c r="E686" s="74"/>
      <c r="F686" s="74"/>
      <c r="G686" s="75" t="str">
        <f>IF(stdProdLT(Main[[#This Row],[Comments]])=0.1,"N/A",IF(stdProdLT(Main[[#This Row],[Comments]])=0,"",stdProdLT(Main[[#This Row],[Comments]])))</f>
        <v/>
      </c>
      <c r="H686" s="76" t="str">
        <f>IF(AND(Main[[#This Row],[In Stock Date]]&lt;&gt;"",Main[[#This Row],[Revised Due Date]]&lt;&gt;""),Main[[#This Row],[In Stock Date]]-Main[[#This Row],[Revised Due Date]],"")</f>
        <v/>
      </c>
      <c r="I686" s="72" t="s">
        <v>4</v>
      </c>
      <c r="J686" s="72" t="s">
        <v>4</v>
      </c>
      <c r="K686" s="72" t="s">
        <v>4</v>
      </c>
      <c r="L686" s="74"/>
      <c r="M686" s="77" t="str">
        <f>IF(Main[[#This Row],[Tech Start Date]]&lt;1/1/1990,"",IF(Main[[#This Row],[Class]]="C",WORKDAY(Main[[#This Row],[Tech Start Date]],9),IF(Main[[#This Row],[Class]]="B", WORKDAY(Main[[#This Row],[Tech Start Date]],6),IF(Main[[#This Row],[Class]]="A",WORKDAY(Main[[#This Row],[Tech Start Date]],2),""))))</f>
        <v/>
      </c>
      <c r="N686" s="77" t="str">
        <f>IF(Main[[#This Row],[Tech Start Date]]&lt;1/1/1990,"",IF(Main[[#This Row],[Class]]="C",WORKDAY(Main[[#This Row],[Tech Start Date]],19),IF(Main[[#This Row],[Class]]="B", WORKDAY(Main[[#This Row],[Tech Start Date]],12),IF(Main[[#This Row],[Class]]="A",WORKDAY(Main[[#This Row],[Tech Start Date]],4),""))))</f>
        <v/>
      </c>
      <c r="O686" s="77" t="str">
        <f>IF(Main[[#This Row],[Tech Start Date]]&lt;1/1/1990,"",IF(Main[[#This Row],[Class]]="C",WORKDAY(Main[[#This Row],[Tech Start Date]],23),IF(Main[[#This Row],[Class]]="B", WORKDAY(Main[[#This Row],[Tech Start Date]],15),IF(Main[[#This Row],[Class]]="A",WORKDAY(Main[[#This Row],[Tech Start Date]],5),""))))</f>
        <v/>
      </c>
      <c r="P686" s="77" t="str">
        <f>IF(Main[[#This Row],[Tech Start Date]]&lt;1/1/1990,"",IF(Main[[#This Row],[Class]]="C",WORKDAY(Main[[#This Row],[Tech Start Date]],28),IF(Main[[#This Row],[Class]]="B", WORKDAY(Main[[#This Row],[Tech Start Date]],19),IF(Main[[#This Row],[Class]]="A",WORKDAY(Main[[#This Row],[Tech Start Date]],9),""))))</f>
        <v/>
      </c>
      <c r="Q686" s="74"/>
      <c r="R686" s="74"/>
      <c r="S686" s="72" t="s">
        <v>11</v>
      </c>
      <c r="T686" s="80" t="s">
        <v>4</v>
      </c>
      <c r="U686" s="72" t="s">
        <v>14</v>
      </c>
      <c r="V686" s="72" t="s">
        <v>1933</v>
      </c>
      <c r="W686" s="72" t="s">
        <v>1940</v>
      </c>
      <c r="X686" s="72" t="s">
        <v>2911</v>
      </c>
      <c r="Y686" s="72" t="s">
        <v>3035</v>
      </c>
      <c r="Z686" s="72" t="s">
        <v>4</v>
      </c>
      <c r="AA686" s="147" t="s">
        <v>2911</v>
      </c>
    </row>
    <row r="687" spans="1:27" ht="18.600000000000001" customHeight="1">
      <c r="A687" s="140" t="str">
        <f>IF(priority(Main[[#This Row],[Comments]])&lt;&gt;0, priority(Main[[#This Row],[Comments]]),"")</f>
        <v/>
      </c>
      <c r="B687" s="90" t="s">
        <v>1553</v>
      </c>
      <c r="C687" s="72" t="s">
        <v>33</v>
      </c>
      <c r="D687" s="73" t="s">
        <v>622</v>
      </c>
      <c r="E687" s="74"/>
      <c r="F687" s="74"/>
      <c r="G687" s="75" t="str">
        <f>IF(stdProdLT(Main[[#This Row],[Comments]])=0.1,"N/A",IF(stdProdLT(Main[[#This Row],[Comments]])=0,"",stdProdLT(Main[[#This Row],[Comments]])))</f>
        <v/>
      </c>
      <c r="H687" s="76" t="str">
        <f>IF(AND(Main[[#This Row],[In Stock Date]]&lt;&gt;"",Main[[#This Row],[Revised Due Date]]&lt;&gt;""),Main[[#This Row],[In Stock Date]]-Main[[#This Row],[Revised Due Date]],"")</f>
        <v/>
      </c>
      <c r="I687" s="72" t="s">
        <v>4</v>
      </c>
      <c r="J687" s="72" t="s">
        <v>4</v>
      </c>
      <c r="K687" s="72" t="s">
        <v>4</v>
      </c>
      <c r="L687" s="74"/>
      <c r="M687" s="77" t="str">
        <f>IF(Main[[#This Row],[Tech Start Date]]&lt;1/1/1990,"",IF(Main[[#This Row],[Class]]="C",WORKDAY(Main[[#This Row],[Tech Start Date]],9),IF(Main[[#This Row],[Class]]="B", WORKDAY(Main[[#This Row],[Tech Start Date]],6),IF(Main[[#This Row],[Class]]="A",WORKDAY(Main[[#This Row],[Tech Start Date]],2),""))))</f>
        <v/>
      </c>
      <c r="N687" s="77" t="str">
        <f>IF(Main[[#This Row],[Tech Start Date]]&lt;1/1/1990,"",IF(Main[[#This Row],[Class]]="C",WORKDAY(Main[[#This Row],[Tech Start Date]],19),IF(Main[[#This Row],[Class]]="B", WORKDAY(Main[[#This Row],[Tech Start Date]],12),IF(Main[[#This Row],[Class]]="A",WORKDAY(Main[[#This Row],[Tech Start Date]],4),""))))</f>
        <v/>
      </c>
      <c r="O687" s="77" t="str">
        <f>IF(Main[[#This Row],[Tech Start Date]]&lt;1/1/1990,"",IF(Main[[#This Row],[Class]]="C",WORKDAY(Main[[#This Row],[Tech Start Date]],23),IF(Main[[#This Row],[Class]]="B", WORKDAY(Main[[#This Row],[Tech Start Date]],15),IF(Main[[#This Row],[Class]]="A",WORKDAY(Main[[#This Row],[Tech Start Date]],5),""))))</f>
        <v/>
      </c>
      <c r="P687" s="77" t="str">
        <f>IF(Main[[#This Row],[Tech Start Date]]&lt;1/1/1990,"",IF(Main[[#This Row],[Class]]="C",WORKDAY(Main[[#This Row],[Tech Start Date]],28),IF(Main[[#This Row],[Class]]="B", WORKDAY(Main[[#This Row],[Tech Start Date]],19),IF(Main[[#This Row],[Class]]="A",WORKDAY(Main[[#This Row],[Tech Start Date]],9),""))))</f>
        <v/>
      </c>
      <c r="Q687" s="74"/>
      <c r="R687" s="74"/>
      <c r="S687" s="72" t="s">
        <v>11</v>
      </c>
      <c r="T687" s="80" t="s">
        <v>4</v>
      </c>
      <c r="U687" s="72" t="s">
        <v>14</v>
      </c>
      <c r="V687" s="72" t="s">
        <v>1933</v>
      </c>
      <c r="W687" s="72" t="s">
        <v>1940</v>
      </c>
      <c r="X687" s="72" t="s">
        <v>2911</v>
      </c>
      <c r="Y687" s="72" t="s">
        <v>3035</v>
      </c>
      <c r="Z687" s="72" t="s">
        <v>4</v>
      </c>
      <c r="AA687" s="147" t="s">
        <v>2911</v>
      </c>
    </row>
    <row r="688" spans="1:27" ht="18.600000000000001" customHeight="1">
      <c r="A688" s="140" t="str">
        <f>IF(priority(Main[[#This Row],[Comments]])&lt;&gt;0, priority(Main[[#This Row],[Comments]]),"")</f>
        <v/>
      </c>
      <c r="B688" s="90" t="s">
        <v>1554</v>
      </c>
      <c r="C688" s="72" t="s">
        <v>33</v>
      </c>
      <c r="D688" s="73" t="s">
        <v>623</v>
      </c>
      <c r="E688" s="74"/>
      <c r="F688" s="74"/>
      <c r="G688" s="75" t="str">
        <f>IF(stdProdLT(Main[[#This Row],[Comments]])=0.1,"N/A",IF(stdProdLT(Main[[#This Row],[Comments]])=0,"",stdProdLT(Main[[#This Row],[Comments]])))</f>
        <v/>
      </c>
      <c r="H688" s="76" t="str">
        <f>IF(AND(Main[[#This Row],[In Stock Date]]&lt;&gt;"",Main[[#This Row],[Revised Due Date]]&lt;&gt;""),Main[[#This Row],[In Stock Date]]-Main[[#This Row],[Revised Due Date]],"")</f>
        <v/>
      </c>
      <c r="I688" s="72" t="s">
        <v>4</v>
      </c>
      <c r="J688" s="72" t="s">
        <v>4</v>
      </c>
      <c r="K688" s="72" t="s">
        <v>4</v>
      </c>
      <c r="L688" s="74"/>
      <c r="M688" s="77" t="str">
        <f>IF(Main[[#This Row],[Tech Start Date]]&lt;1/1/1990,"",IF(Main[[#This Row],[Class]]="C",WORKDAY(Main[[#This Row],[Tech Start Date]],9),IF(Main[[#This Row],[Class]]="B", WORKDAY(Main[[#This Row],[Tech Start Date]],6),IF(Main[[#This Row],[Class]]="A",WORKDAY(Main[[#This Row],[Tech Start Date]],2),""))))</f>
        <v/>
      </c>
      <c r="N688" s="77" t="str">
        <f>IF(Main[[#This Row],[Tech Start Date]]&lt;1/1/1990,"",IF(Main[[#This Row],[Class]]="C",WORKDAY(Main[[#This Row],[Tech Start Date]],19),IF(Main[[#This Row],[Class]]="B", WORKDAY(Main[[#This Row],[Tech Start Date]],12),IF(Main[[#This Row],[Class]]="A",WORKDAY(Main[[#This Row],[Tech Start Date]],4),""))))</f>
        <v/>
      </c>
      <c r="O688" s="77" t="str">
        <f>IF(Main[[#This Row],[Tech Start Date]]&lt;1/1/1990,"",IF(Main[[#This Row],[Class]]="C",WORKDAY(Main[[#This Row],[Tech Start Date]],23),IF(Main[[#This Row],[Class]]="B", WORKDAY(Main[[#This Row],[Tech Start Date]],15),IF(Main[[#This Row],[Class]]="A",WORKDAY(Main[[#This Row],[Tech Start Date]],5),""))))</f>
        <v/>
      </c>
      <c r="P688" s="77" t="str">
        <f>IF(Main[[#This Row],[Tech Start Date]]&lt;1/1/1990,"",IF(Main[[#This Row],[Class]]="C",WORKDAY(Main[[#This Row],[Tech Start Date]],28),IF(Main[[#This Row],[Class]]="B", WORKDAY(Main[[#This Row],[Tech Start Date]],19),IF(Main[[#This Row],[Class]]="A",WORKDAY(Main[[#This Row],[Tech Start Date]],9),""))))</f>
        <v/>
      </c>
      <c r="Q688" s="74"/>
      <c r="R688" s="74"/>
      <c r="S688" s="72" t="s">
        <v>11</v>
      </c>
      <c r="T688" s="80" t="s">
        <v>4</v>
      </c>
      <c r="U688" s="72" t="s">
        <v>14</v>
      </c>
      <c r="V688" s="72" t="s">
        <v>1933</v>
      </c>
      <c r="W688" s="72" t="s">
        <v>1940</v>
      </c>
      <c r="X688" s="72" t="s">
        <v>2911</v>
      </c>
      <c r="Y688" s="72" t="s">
        <v>3035</v>
      </c>
      <c r="Z688" s="72" t="s">
        <v>4</v>
      </c>
      <c r="AA688" s="147" t="s">
        <v>2911</v>
      </c>
    </row>
    <row r="689" spans="1:27" ht="18.600000000000001" customHeight="1">
      <c r="A689" s="140" t="str">
        <f>IF(priority(Main[[#This Row],[Comments]])&lt;&gt;0, priority(Main[[#This Row],[Comments]]),"")</f>
        <v/>
      </c>
      <c r="B689" s="90" t="s">
        <v>1555</v>
      </c>
      <c r="C689" s="72" t="s">
        <v>4</v>
      </c>
      <c r="D689" s="73" t="s">
        <v>624</v>
      </c>
      <c r="E689" s="74">
        <v>40294.429988425924</v>
      </c>
      <c r="F689" s="74"/>
      <c r="G689" s="75" t="str">
        <f>IF(stdProdLT(Main[[#This Row],[Comments]])=0.1,"N/A",IF(stdProdLT(Main[[#This Row],[Comments]])=0,"",stdProdLT(Main[[#This Row],[Comments]])))</f>
        <v/>
      </c>
      <c r="H689" s="76" t="str">
        <f>IF(AND(Main[[#This Row],[In Stock Date]]&lt;&gt;"",Main[[#This Row],[Revised Due Date]]&lt;&gt;""),Main[[#This Row],[In Stock Date]]-Main[[#This Row],[Revised Due Date]],"")</f>
        <v/>
      </c>
      <c r="I689" s="72" t="s">
        <v>4</v>
      </c>
      <c r="J689" s="72" t="s">
        <v>4</v>
      </c>
      <c r="K689" s="81" t="s">
        <v>4</v>
      </c>
      <c r="L689" s="74"/>
      <c r="M689" s="77" t="str">
        <f>IF(Main[[#This Row],[Tech Start Date]]&lt;1/1/1990,"",IF(Main[[#This Row],[Class]]="C",WORKDAY(Main[[#This Row],[Tech Start Date]],9),IF(Main[[#This Row],[Class]]="B", WORKDAY(Main[[#This Row],[Tech Start Date]],6),IF(Main[[#This Row],[Class]]="A",WORKDAY(Main[[#This Row],[Tech Start Date]],2),""))))</f>
        <v/>
      </c>
      <c r="N689" s="77" t="str">
        <f>IF(Main[[#This Row],[Tech Start Date]]&lt;1/1/1990,"",IF(Main[[#This Row],[Class]]="C",WORKDAY(Main[[#This Row],[Tech Start Date]],19),IF(Main[[#This Row],[Class]]="B", WORKDAY(Main[[#This Row],[Tech Start Date]],12),IF(Main[[#This Row],[Class]]="A",WORKDAY(Main[[#This Row],[Tech Start Date]],4),""))))</f>
        <v/>
      </c>
      <c r="O689" s="77" t="str">
        <f>IF(Main[[#This Row],[Tech Start Date]]&lt;1/1/1990,"",IF(Main[[#This Row],[Class]]="C",WORKDAY(Main[[#This Row],[Tech Start Date]],23),IF(Main[[#This Row],[Class]]="B", WORKDAY(Main[[#This Row],[Tech Start Date]],15),IF(Main[[#This Row],[Class]]="A",WORKDAY(Main[[#This Row],[Tech Start Date]],5),""))))</f>
        <v/>
      </c>
      <c r="P689" s="77" t="str">
        <f>IF(Main[[#This Row],[Tech Start Date]]&lt;1/1/1990,"",IF(Main[[#This Row],[Class]]="C",WORKDAY(Main[[#This Row],[Tech Start Date]],28),IF(Main[[#This Row],[Class]]="B", WORKDAY(Main[[#This Row],[Tech Start Date]],19),IF(Main[[#This Row],[Class]]="A",WORKDAY(Main[[#This Row],[Tech Start Date]],9),""))))</f>
        <v/>
      </c>
      <c r="Q689" s="74">
        <v>40390</v>
      </c>
      <c r="R689" s="74"/>
      <c r="S689" s="72" t="s">
        <v>6</v>
      </c>
      <c r="T689" s="80" t="s">
        <v>4</v>
      </c>
      <c r="U689" s="72" t="s">
        <v>7</v>
      </c>
      <c r="V689" s="72" t="s">
        <v>1932</v>
      </c>
      <c r="W689" s="72" t="s">
        <v>4</v>
      </c>
      <c r="X689" s="72" t="s">
        <v>2903</v>
      </c>
      <c r="Y689" s="72" t="s">
        <v>3019</v>
      </c>
      <c r="Z689" s="72" t="s">
        <v>4</v>
      </c>
      <c r="AA689" s="147" t="s">
        <v>2903</v>
      </c>
    </row>
    <row r="690" spans="1:27" ht="18.600000000000001" customHeight="1">
      <c r="A690" s="140" t="str">
        <f>IF(priority(Main[[#This Row],[Comments]])&lt;&gt;0, priority(Main[[#This Row],[Comments]]),"")</f>
        <v/>
      </c>
      <c r="B690" s="90" t="s">
        <v>1556</v>
      </c>
      <c r="C690" s="72" t="s">
        <v>4</v>
      </c>
      <c r="D690" s="73" t="s">
        <v>625</v>
      </c>
      <c r="E690" s="74"/>
      <c r="F690" s="74"/>
      <c r="G690" s="75" t="str">
        <f>IF(stdProdLT(Main[[#This Row],[Comments]])=0.1,"N/A",IF(stdProdLT(Main[[#This Row],[Comments]])=0,"",stdProdLT(Main[[#This Row],[Comments]])))</f>
        <v/>
      </c>
      <c r="H690" s="76" t="str">
        <f>IF(AND(Main[[#This Row],[In Stock Date]]&lt;&gt;"",Main[[#This Row],[Revised Due Date]]&lt;&gt;""),Main[[#This Row],[In Stock Date]]-Main[[#This Row],[Revised Due Date]],"")</f>
        <v/>
      </c>
      <c r="I690" s="72" t="s">
        <v>4</v>
      </c>
      <c r="J690" s="72" t="s">
        <v>4</v>
      </c>
      <c r="K690" s="72" t="s">
        <v>4</v>
      </c>
      <c r="L690" s="74"/>
      <c r="M690" s="77" t="str">
        <f>IF(Main[[#This Row],[Tech Start Date]]&lt;1/1/1990,"",IF(Main[[#This Row],[Class]]="C",WORKDAY(Main[[#This Row],[Tech Start Date]],9),IF(Main[[#This Row],[Class]]="B", WORKDAY(Main[[#This Row],[Tech Start Date]],6),IF(Main[[#This Row],[Class]]="A",WORKDAY(Main[[#This Row],[Tech Start Date]],2),""))))</f>
        <v/>
      </c>
      <c r="N690" s="77" t="str">
        <f>IF(Main[[#This Row],[Tech Start Date]]&lt;1/1/1990,"",IF(Main[[#This Row],[Class]]="C",WORKDAY(Main[[#This Row],[Tech Start Date]],19),IF(Main[[#This Row],[Class]]="B", WORKDAY(Main[[#This Row],[Tech Start Date]],12),IF(Main[[#This Row],[Class]]="A",WORKDAY(Main[[#This Row],[Tech Start Date]],4),""))))</f>
        <v/>
      </c>
      <c r="O690" s="77" t="str">
        <f>IF(Main[[#This Row],[Tech Start Date]]&lt;1/1/1990,"",IF(Main[[#This Row],[Class]]="C",WORKDAY(Main[[#This Row],[Tech Start Date]],23),IF(Main[[#This Row],[Class]]="B", WORKDAY(Main[[#This Row],[Tech Start Date]],15),IF(Main[[#This Row],[Class]]="A",WORKDAY(Main[[#This Row],[Tech Start Date]],5),""))))</f>
        <v/>
      </c>
      <c r="P690" s="77" t="str">
        <f>IF(Main[[#This Row],[Tech Start Date]]&lt;1/1/1990,"",IF(Main[[#This Row],[Class]]="C",WORKDAY(Main[[#This Row],[Tech Start Date]],28),IF(Main[[#This Row],[Class]]="B", WORKDAY(Main[[#This Row],[Tech Start Date]],19),IF(Main[[#This Row],[Class]]="A",WORKDAY(Main[[#This Row],[Tech Start Date]],9),""))))</f>
        <v/>
      </c>
      <c r="Q690" s="74"/>
      <c r="R690" s="74"/>
      <c r="S690" s="72" t="s">
        <v>11</v>
      </c>
      <c r="T690" s="80" t="s">
        <v>4</v>
      </c>
      <c r="U690" s="72" t="s">
        <v>14</v>
      </c>
      <c r="V690" s="72" t="s">
        <v>1932</v>
      </c>
      <c r="W690" s="72" t="s">
        <v>1936</v>
      </c>
      <c r="X690" s="72" t="s">
        <v>933</v>
      </c>
      <c r="Y690" s="72" t="s">
        <v>3069</v>
      </c>
      <c r="Z690" s="72" t="s">
        <v>4</v>
      </c>
      <c r="AA690" s="147" t="s">
        <v>933</v>
      </c>
    </row>
    <row r="691" spans="1:27" ht="18.600000000000001" customHeight="1">
      <c r="A691" s="140" t="str">
        <f>IF(priority(Main[[#This Row],[Comments]])&lt;&gt;0, priority(Main[[#This Row],[Comments]]),"")</f>
        <v/>
      </c>
      <c r="B691" s="90" t="s">
        <v>1736</v>
      </c>
      <c r="C691" s="72" t="s">
        <v>281</v>
      </c>
      <c r="D691" s="73" t="s">
        <v>783</v>
      </c>
      <c r="E691" s="74"/>
      <c r="F691" s="74">
        <v>40680</v>
      </c>
      <c r="G691" s="75" t="str">
        <f>IF(stdProdLT(Main[[#This Row],[Comments]])=0.1,"N/A",IF(stdProdLT(Main[[#This Row],[Comments]])=0,"",stdProdLT(Main[[#This Row],[Comments]])))</f>
        <v/>
      </c>
      <c r="H691" s="76" t="str">
        <f>IF(AND(Main[[#This Row],[In Stock Date]]&lt;&gt;"",Main[[#This Row],[Revised Due Date]]&lt;&gt;""),Main[[#This Row],[In Stock Date]]-Main[[#This Row],[Revised Due Date]],"")</f>
        <v/>
      </c>
      <c r="I691" s="72" t="s">
        <v>4</v>
      </c>
      <c r="J691" s="72" t="s">
        <v>28</v>
      </c>
      <c r="K691" s="72" t="s">
        <v>4</v>
      </c>
      <c r="L691" s="74"/>
      <c r="M691" s="77" t="str">
        <f>IF(Main[[#This Row],[Tech Start Date]]&lt;1/1/1990,"",IF(Main[[#This Row],[Class]]="C",WORKDAY(Main[[#This Row],[Tech Start Date]],9),IF(Main[[#This Row],[Class]]="B", WORKDAY(Main[[#This Row],[Tech Start Date]],6),IF(Main[[#This Row],[Class]]="A",WORKDAY(Main[[#This Row],[Tech Start Date]],2),""))))</f>
        <v/>
      </c>
      <c r="N691" s="77" t="str">
        <f>IF(Main[[#This Row],[Tech Start Date]]&lt;1/1/1990,"",IF(Main[[#This Row],[Class]]="C",WORKDAY(Main[[#This Row],[Tech Start Date]],19),IF(Main[[#This Row],[Class]]="B", WORKDAY(Main[[#This Row],[Tech Start Date]],12),IF(Main[[#This Row],[Class]]="A",WORKDAY(Main[[#This Row],[Tech Start Date]],4),""))))</f>
        <v/>
      </c>
      <c r="O691" s="77" t="str">
        <f>IF(Main[[#This Row],[Tech Start Date]]&lt;1/1/1990,"",IF(Main[[#This Row],[Class]]="C",WORKDAY(Main[[#This Row],[Tech Start Date]],23),IF(Main[[#This Row],[Class]]="B", WORKDAY(Main[[#This Row],[Tech Start Date]],15),IF(Main[[#This Row],[Class]]="A",WORKDAY(Main[[#This Row],[Tech Start Date]],5),""))))</f>
        <v/>
      </c>
      <c r="P691" s="77" t="str">
        <f>IF(Main[[#This Row],[Tech Start Date]]&lt;1/1/1990,"",IF(Main[[#This Row],[Class]]="C",WORKDAY(Main[[#This Row],[Tech Start Date]],28),IF(Main[[#This Row],[Class]]="B", WORKDAY(Main[[#This Row],[Tech Start Date]],19),IF(Main[[#This Row],[Class]]="A",WORKDAY(Main[[#This Row],[Tech Start Date]],9),""))))</f>
        <v/>
      </c>
      <c r="Q691" s="74">
        <v>40568</v>
      </c>
      <c r="R691" s="74"/>
      <c r="S691" s="72" t="s">
        <v>11</v>
      </c>
      <c r="T691" s="80" t="s">
        <v>784</v>
      </c>
      <c r="U691" s="72" t="s">
        <v>14</v>
      </c>
      <c r="V691" s="72" t="s">
        <v>1933</v>
      </c>
      <c r="W691" s="72" t="s">
        <v>1937</v>
      </c>
      <c r="X691" s="72" t="s">
        <v>2944</v>
      </c>
      <c r="Y691" s="72" t="s">
        <v>3091</v>
      </c>
      <c r="Z691" s="72" t="s">
        <v>4</v>
      </c>
      <c r="AA691" s="147" t="s">
        <v>2944</v>
      </c>
    </row>
    <row r="692" spans="1:27" ht="18.600000000000001" customHeight="1">
      <c r="A692" s="140" t="str">
        <f>IF(priority(Main[[#This Row],[Comments]])&lt;&gt;0, priority(Main[[#This Row],[Comments]]),"")</f>
        <v/>
      </c>
      <c r="B692" s="90" t="s">
        <v>1351</v>
      </c>
      <c r="C692" s="72" t="s">
        <v>33</v>
      </c>
      <c r="D692" s="73" t="s">
        <v>424</v>
      </c>
      <c r="E692" s="74"/>
      <c r="F692" s="74">
        <v>40266</v>
      </c>
      <c r="G692" s="75" t="str">
        <f>IF(stdProdLT(Main[[#This Row],[Comments]])=0.1,"N/A",IF(stdProdLT(Main[[#This Row],[Comments]])=0,"",stdProdLT(Main[[#This Row],[Comments]])))</f>
        <v/>
      </c>
      <c r="H692" s="76" t="str">
        <f>IF(AND(Main[[#This Row],[In Stock Date]]&lt;&gt;"",Main[[#This Row],[Revised Due Date]]&lt;&gt;""),Main[[#This Row],[In Stock Date]]-Main[[#This Row],[Revised Due Date]],"")</f>
        <v/>
      </c>
      <c r="I692" s="72" t="s">
        <v>4</v>
      </c>
      <c r="J692" s="72" t="s">
        <v>4</v>
      </c>
      <c r="K692" s="72" t="s">
        <v>4</v>
      </c>
      <c r="L692" s="74"/>
      <c r="M692" s="77" t="str">
        <f>IF(Main[[#This Row],[Tech Start Date]]&lt;1/1/1990,"",IF(Main[[#This Row],[Class]]="C",WORKDAY(Main[[#This Row],[Tech Start Date]],9),IF(Main[[#This Row],[Class]]="B", WORKDAY(Main[[#This Row],[Tech Start Date]],6),IF(Main[[#This Row],[Class]]="A",WORKDAY(Main[[#This Row],[Tech Start Date]],2),""))))</f>
        <v/>
      </c>
      <c r="N692" s="77" t="str">
        <f>IF(Main[[#This Row],[Tech Start Date]]&lt;1/1/1990,"",IF(Main[[#This Row],[Class]]="C",WORKDAY(Main[[#This Row],[Tech Start Date]],19),IF(Main[[#This Row],[Class]]="B", WORKDAY(Main[[#This Row],[Tech Start Date]],12),IF(Main[[#This Row],[Class]]="A",WORKDAY(Main[[#This Row],[Tech Start Date]],4),""))))</f>
        <v/>
      </c>
      <c r="O692" s="77" t="str">
        <f>IF(Main[[#This Row],[Tech Start Date]]&lt;1/1/1990,"",IF(Main[[#This Row],[Class]]="C",WORKDAY(Main[[#This Row],[Tech Start Date]],23),IF(Main[[#This Row],[Class]]="B", WORKDAY(Main[[#This Row],[Tech Start Date]],15),IF(Main[[#This Row],[Class]]="A",WORKDAY(Main[[#This Row],[Tech Start Date]],5),""))))</f>
        <v/>
      </c>
      <c r="P692" s="77" t="str">
        <f>IF(Main[[#This Row],[Tech Start Date]]&lt;1/1/1990,"",IF(Main[[#This Row],[Class]]="C",WORKDAY(Main[[#This Row],[Tech Start Date]],28),IF(Main[[#This Row],[Class]]="B", WORKDAY(Main[[#This Row],[Tech Start Date]],19),IF(Main[[#This Row],[Class]]="A",WORKDAY(Main[[#This Row],[Tech Start Date]],9),""))))</f>
        <v/>
      </c>
      <c r="Q692" s="74">
        <v>40266</v>
      </c>
      <c r="R692" s="74"/>
      <c r="S692" s="72" t="s">
        <v>11</v>
      </c>
      <c r="T692" s="80" t="s">
        <v>4</v>
      </c>
      <c r="U692" s="72" t="s">
        <v>14</v>
      </c>
      <c r="V692" s="72" t="s">
        <v>1935</v>
      </c>
      <c r="W692" s="72" t="s">
        <v>1937</v>
      </c>
      <c r="X692" s="72" t="s">
        <v>2934</v>
      </c>
      <c r="Y692" s="72" t="s">
        <v>4</v>
      </c>
      <c r="Z692" s="72" t="s">
        <v>4</v>
      </c>
      <c r="AA692" s="147" t="s">
        <v>2934</v>
      </c>
    </row>
    <row r="693" spans="1:27" ht="18.600000000000001" customHeight="1">
      <c r="A693" s="140" t="str">
        <f>IF(priority(Main[[#This Row],[Comments]])&lt;&gt;0, priority(Main[[#This Row],[Comments]]),"")</f>
        <v/>
      </c>
      <c r="B693" s="90" t="s">
        <v>2011</v>
      </c>
      <c r="C693" s="72" t="s">
        <v>4</v>
      </c>
      <c r="D693" s="73" t="s">
        <v>2012</v>
      </c>
      <c r="E693" s="74">
        <v>40737.450219907405</v>
      </c>
      <c r="F693" s="74"/>
      <c r="G693" s="75" t="str">
        <f>IF(stdProdLT(Main[[#This Row],[Comments]])=0.1,"N/A",IF(stdProdLT(Main[[#This Row],[Comments]])=0,"",stdProdLT(Main[[#This Row],[Comments]])))</f>
        <v/>
      </c>
      <c r="H693" s="76" t="str">
        <f>IF(AND(Main[[#This Row],[In Stock Date]]&lt;&gt;"",Main[[#This Row],[Revised Due Date]]&lt;&gt;""),Main[[#This Row],[In Stock Date]]-Main[[#This Row],[Revised Due Date]],"")</f>
        <v/>
      </c>
      <c r="I693" s="72" t="s">
        <v>4</v>
      </c>
      <c r="J693" s="72" t="s">
        <v>4</v>
      </c>
      <c r="K693" s="81" t="s">
        <v>4</v>
      </c>
      <c r="L693" s="74"/>
      <c r="M693" s="77" t="str">
        <f>IF(Main[[#This Row],[Tech Start Date]]&lt;1/1/1990,"",IF(Main[[#This Row],[Class]]="C",WORKDAY(Main[[#This Row],[Tech Start Date]],9),IF(Main[[#This Row],[Class]]="B", WORKDAY(Main[[#This Row],[Tech Start Date]],6),IF(Main[[#This Row],[Class]]="A",WORKDAY(Main[[#This Row],[Tech Start Date]],2),""))))</f>
        <v/>
      </c>
      <c r="N693" s="77" t="str">
        <f>IF(Main[[#This Row],[Tech Start Date]]&lt;1/1/1990,"",IF(Main[[#This Row],[Class]]="C",WORKDAY(Main[[#This Row],[Tech Start Date]],19),IF(Main[[#This Row],[Class]]="B", WORKDAY(Main[[#This Row],[Tech Start Date]],12),IF(Main[[#This Row],[Class]]="A",WORKDAY(Main[[#This Row],[Tech Start Date]],4),""))))</f>
        <v/>
      </c>
      <c r="O693" s="77" t="str">
        <f>IF(Main[[#This Row],[Tech Start Date]]&lt;1/1/1990,"",IF(Main[[#This Row],[Class]]="C",WORKDAY(Main[[#This Row],[Tech Start Date]],23),IF(Main[[#This Row],[Class]]="B", WORKDAY(Main[[#This Row],[Tech Start Date]],15),IF(Main[[#This Row],[Class]]="A",WORKDAY(Main[[#This Row],[Tech Start Date]],5),""))))</f>
        <v/>
      </c>
      <c r="P693" s="77" t="str">
        <f>IF(Main[[#This Row],[Tech Start Date]]&lt;1/1/1990,"",IF(Main[[#This Row],[Class]]="C",WORKDAY(Main[[#This Row],[Tech Start Date]],28),IF(Main[[#This Row],[Class]]="B", WORKDAY(Main[[#This Row],[Tech Start Date]],19),IF(Main[[#This Row],[Class]]="A",WORKDAY(Main[[#This Row],[Tech Start Date]],9),""))))</f>
        <v/>
      </c>
      <c r="Q693" s="74">
        <v>40759</v>
      </c>
      <c r="R693" s="74"/>
      <c r="S693" s="72" t="s">
        <v>6</v>
      </c>
      <c r="T693" s="80" t="s">
        <v>4</v>
      </c>
      <c r="U693" s="72" t="s">
        <v>7</v>
      </c>
      <c r="V693" s="72" t="s">
        <v>1932</v>
      </c>
      <c r="W693" s="72" t="s">
        <v>1940</v>
      </c>
      <c r="X693" s="72" t="s">
        <v>2905</v>
      </c>
      <c r="Y693" s="72" t="s">
        <v>3023</v>
      </c>
      <c r="Z693" s="72" t="s">
        <v>4</v>
      </c>
      <c r="AA693" s="147" t="s">
        <v>2905</v>
      </c>
    </row>
    <row r="694" spans="1:27" ht="18.600000000000001" customHeight="1">
      <c r="A694" s="140" t="str">
        <f>IF(priority(Main[[#This Row],[Comments]])&lt;&gt;0, priority(Main[[#This Row],[Comments]]),"")</f>
        <v/>
      </c>
      <c r="B694" s="90" t="s">
        <v>1452</v>
      </c>
      <c r="C694" s="72" t="s">
        <v>183</v>
      </c>
      <c r="D694" s="73" t="s">
        <v>520</v>
      </c>
      <c r="E694" s="74"/>
      <c r="F694" s="74">
        <v>40374</v>
      </c>
      <c r="G694" s="75" t="str">
        <f>IF(stdProdLT(Main[[#This Row],[Comments]])=0.1,"N/A",IF(stdProdLT(Main[[#This Row],[Comments]])=0,"",stdProdLT(Main[[#This Row],[Comments]])))</f>
        <v/>
      </c>
      <c r="H694" s="76" t="str">
        <f>IF(AND(Main[[#This Row],[In Stock Date]]&lt;&gt;"",Main[[#This Row],[Revised Due Date]]&lt;&gt;""),Main[[#This Row],[In Stock Date]]-Main[[#This Row],[Revised Due Date]],"")</f>
        <v/>
      </c>
      <c r="I694" s="72" t="s">
        <v>4</v>
      </c>
      <c r="J694" s="72" t="s">
        <v>4</v>
      </c>
      <c r="K694" s="81" t="s">
        <v>4</v>
      </c>
      <c r="L694" s="74"/>
      <c r="M694" s="77" t="str">
        <f>IF(Main[[#This Row],[Tech Start Date]]&lt;1/1/1990,"",IF(Main[[#This Row],[Class]]="C",WORKDAY(Main[[#This Row],[Tech Start Date]],9),IF(Main[[#This Row],[Class]]="B", WORKDAY(Main[[#This Row],[Tech Start Date]],6),IF(Main[[#This Row],[Class]]="A",WORKDAY(Main[[#This Row],[Tech Start Date]],2),""))))</f>
        <v/>
      </c>
      <c r="N694" s="77" t="str">
        <f>IF(Main[[#This Row],[Tech Start Date]]&lt;1/1/1990,"",IF(Main[[#This Row],[Class]]="C",WORKDAY(Main[[#This Row],[Tech Start Date]],19),IF(Main[[#This Row],[Class]]="B", WORKDAY(Main[[#This Row],[Tech Start Date]],12),IF(Main[[#This Row],[Class]]="A",WORKDAY(Main[[#This Row],[Tech Start Date]],4),""))))</f>
        <v/>
      </c>
      <c r="O694" s="77" t="str">
        <f>IF(Main[[#This Row],[Tech Start Date]]&lt;1/1/1990,"",IF(Main[[#This Row],[Class]]="C",WORKDAY(Main[[#This Row],[Tech Start Date]],23),IF(Main[[#This Row],[Class]]="B", WORKDAY(Main[[#This Row],[Tech Start Date]],15),IF(Main[[#This Row],[Class]]="A",WORKDAY(Main[[#This Row],[Tech Start Date]],5),""))))</f>
        <v/>
      </c>
      <c r="P694" s="77" t="str">
        <f>IF(Main[[#This Row],[Tech Start Date]]&lt;1/1/1990,"",IF(Main[[#This Row],[Class]]="C",WORKDAY(Main[[#This Row],[Tech Start Date]],28),IF(Main[[#This Row],[Class]]="B", WORKDAY(Main[[#This Row],[Tech Start Date]],19),IF(Main[[#This Row],[Class]]="A",WORKDAY(Main[[#This Row],[Tech Start Date]],9),""))))</f>
        <v/>
      </c>
      <c r="Q694" s="74">
        <v>40298</v>
      </c>
      <c r="R694" s="74"/>
      <c r="S694" s="72" t="s">
        <v>11</v>
      </c>
      <c r="T694" s="80" t="s">
        <v>4</v>
      </c>
      <c r="U694" s="72" t="s">
        <v>14</v>
      </c>
      <c r="V694" s="72" t="s">
        <v>1932</v>
      </c>
      <c r="W694" s="72" t="s">
        <v>1938</v>
      </c>
      <c r="X694" s="72" t="s">
        <v>2908</v>
      </c>
      <c r="Y694" s="72" t="s">
        <v>3030</v>
      </c>
      <c r="Z694" s="72" t="s">
        <v>4</v>
      </c>
      <c r="AA694" s="147" t="s">
        <v>2908</v>
      </c>
    </row>
    <row r="695" spans="1:27" ht="18.600000000000001" customHeight="1">
      <c r="A695" s="140" t="str">
        <f>IF(priority(Main[[#This Row],[Comments]])&lt;&gt;0, priority(Main[[#This Row],[Comments]]),"")</f>
        <v/>
      </c>
      <c r="B695" s="90" t="s">
        <v>1518</v>
      </c>
      <c r="C695" s="72" t="s">
        <v>58</v>
      </c>
      <c r="D695" s="73" t="s">
        <v>582</v>
      </c>
      <c r="E695" s="74"/>
      <c r="F695" s="74">
        <v>40697</v>
      </c>
      <c r="G695" s="75" t="str">
        <f>IF(stdProdLT(Main[[#This Row],[Comments]])=0.1,"N/A",IF(stdProdLT(Main[[#This Row],[Comments]])=0,"",stdProdLT(Main[[#This Row],[Comments]])))</f>
        <v/>
      </c>
      <c r="H695" s="76" t="str">
        <f>IF(AND(Main[[#This Row],[In Stock Date]]&lt;&gt;"",Main[[#This Row],[Revised Due Date]]&lt;&gt;""),Main[[#This Row],[In Stock Date]]-Main[[#This Row],[Revised Due Date]],"")</f>
        <v/>
      </c>
      <c r="I695" s="72" t="s">
        <v>422</v>
      </c>
      <c r="J695" s="72" t="s">
        <v>75</v>
      </c>
      <c r="K695" s="72" t="s">
        <v>1939</v>
      </c>
      <c r="L695" s="74"/>
      <c r="M695" s="77" t="str">
        <f>IF(Main[[#This Row],[Tech Start Date]]&lt;1/1/1990,"",IF(Main[[#This Row],[Class]]="C",WORKDAY(Main[[#This Row],[Tech Start Date]],9),IF(Main[[#This Row],[Class]]="B", WORKDAY(Main[[#This Row],[Tech Start Date]],6),IF(Main[[#This Row],[Class]]="A",WORKDAY(Main[[#This Row],[Tech Start Date]],2),""))))</f>
        <v/>
      </c>
      <c r="N695" s="77" t="str">
        <f>IF(Main[[#This Row],[Tech Start Date]]&lt;1/1/1990,"",IF(Main[[#This Row],[Class]]="C",WORKDAY(Main[[#This Row],[Tech Start Date]],19),IF(Main[[#This Row],[Class]]="B", WORKDAY(Main[[#This Row],[Tech Start Date]],12),IF(Main[[#This Row],[Class]]="A",WORKDAY(Main[[#This Row],[Tech Start Date]],4),""))))</f>
        <v/>
      </c>
      <c r="O695" s="77" t="str">
        <f>IF(Main[[#This Row],[Tech Start Date]]&lt;1/1/1990,"",IF(Main[[#This Row],[Class]]="C",WORKDAY(Main[[#This Row],[Tech Start Date]],23),IF(Main[[#This Row],[Class]]="B", WORKDAY(Main[[#This Row],[Tech Start Date]],15),IF(Main[[#This Row],[Class]]="A",WORKDAY(Main[[#This Row],[Tech Start Date]],5),""))))</f>
        <v/>
      </c>
      <c r="P695" s="77" t="str">
        <f>IF(Main[[#This Row],[Tech Start Date]]&lt;1/1/1990,"",IF(Main[[#This Row],[Class]]="C",WORKDAY(Main[[#This Row],[Tech Start Date]],28),IF(Main[[#This Row],[Class]]="B", WORKDAY(Main[[#This Row],[Tech Start Date]],19),IF(Main[[#This Row],[Class]]="A",WORKDAY(Main[[#This Row],[Tech Start Date]],9),""))))</f>
        <v/>
      </c>
      <c r="Q695" s="74">
        <v>40539</v>
      </c>
      <c r="R695" s="74"/>
      <c r="S695" s="72" t="s">
        <v>11</v>
      </c>
      <c r="T695" s="80" t="s">
        <v>4</v>
      </c>
      <c r="U695" s="72" t="s">
        <v>14</v>
      </c>
      <c r="V695" s="72" t="s">
        <v>1942</v>
      </c>
      <c r="W695" s="72" t="s">
        <v>1938</v>
      </c>
      <c r="X695" s="72" t="s">
        <v>2913</v>
      </c>
      <c r="Y695" s="72" t="s">
        <v>3038</v>
      </c>
      <c r="Z695" s="72" t="s">
        <v>310</v>
      </c>
      <c r="AA695" s="147" t="s">
        <v>2913</v>
      </c>
    </row>
    <row r="696" spans="1:27" ht="18.600000000000001" customHeight="1">
      <c r="A696" s="140" t="str">
        <f>IF(priority(Main[[#This Row],[Comments]])&lt;&gt;0, priority(Main[[#This Row],[Comments]]),"")</f>
        <v/>
      </c>
      <c r="B696" s="90" t="s">
        <v>1520</v>
      </c>
      <c r="C696" s="72" t="s">
        <v>584</v>
      </c>
      <c r="D696" s="73" t="s">
        <v>585</v>
      </c>
      <c r="E696" s="74"/>
      <c r="F696" s="74">
        <v>40596</v>
      </c>
      <c r="G696" s="75" t="str">
        <f>IF(stdProdLT(Main[[#This Row],[Comments]])=0.1,"N/A",IF(stdProdLT(Main[[#This Row],[Comments]])=0,"",stdProdLT(Main[[#This Row],[Comments]])))</f>
        <v/>
      </c>
      <c r="H696" s="76" t="str">
        <f>IF(AND(Main[[#This Row],[In Stock Date]]&lt;&gt;"",Main[[#This Row],[Revised Due Date]]&lt;&gt;""),Main[[#This Row],[In Stock Date]]-Main[[#This Row],[Revised Due Date]],"")</f>
        <v/>
      </c>
      <c r="I696" s="72" t="s">
        <v>4</v>
      </c>
      <c r="J696" s="72" t="s">
        <v>28</v>
      </c>
      <c r="K696" s="72" t="s">
        <v>4</v>
      </c>
      <c r="L696" s="74"/>
      <c r="M696" s="77" t="str">
        <f>IF(Main[[#This Row],[Tech Start Date]]&lt;1/1/1990,"",IF(Main[[#This Row],[Class]]="C",WORKDAY(Main[[#This Row],[Tech Start Date]],9),IF(Main[[#This Row],[Class]]="B", WORKDAY(Main[[#This Row],[Tech Start Date]],6),IF(Main[[#This Row],[Class]]="A",WORKDAY(Main[[#This Row],[Tech Start Date]],2),""))))</f>
        <v/>
      </c>
      <c r="N696" s="77" t="str">
        <f>IF(Main[[#This Row],[Tech Start Date]]&lt;1/1/1990,"",IF(Main[[#This Row],[Class]]="C",WORKDAY(Main[[#This Row],[Tech Start Date]],19),IF(Main[[#This Row],[Class]]="B", WORKDAY(Main[[#This Row],[Tech Start Date]],12),IF(Main[[#This Row],[Class]]="A",WORKDAY(Main[[#This Row],[Tech Start Date]],4),""))))</f>
        <v/>
      </c>
      <c r="O696" s="77" t="str">
        <f>IF(Main[[#This Row],[Tech Start Date]]&lt;1/1/1990,"",IF(Main[[#This Row],[Class]]="C",WORKDAY(Main[[#This Row],[Tech Start Date]],23),IF(Main[[#This Row],[Class]]="B", WORKDAY(Main[[#This Row],[Tech Start Date]],15),IF(Main[[#This Row],[Class]]="A",WORKDAY(Main[[#This Row],[Tech Start Date]],5),""))))</f>
        <v/>
      </c>
      <c r="P696" s="77" t="str">
        <f>IF(Main[[#This Row],[Tech Start Date]]&lt;1/1/1990,"",IF(Main[[#This Row],[Class]]="C",WORKDAY(Main[[#This Row],[Tech Start Date]],28),IF(Main[[#This Row],[Class]]="B", WORKDAY(Main[[#This Row],[Tech Start Date]],19),IF(Main[[#This Row],[Class]]="A",WORKDAY(Main[[#This Row],[Tech Start Date]],9),""))))</f>
        <v/>
      </c>
      <c r="Q696" s="74">
        <v>40414</v>
      </c>
      <c r="R696" s="74"/>
      <c r="S696" s="72" t="s">
        <v>11</v>
      </c>
      <c r="T696" s="80" t="s">
        <v>4</v>
      </c>
      <c r="U696" s="72" t="s">
        <v>14</v>
      </c>
      <c r="V696" s="72" t="s">
        <v>1935</v>
      </c>
      <c r="W696" s="72" t="s">
        <v>1937</v>
      </c>
      <c r="X696" s="72" t="s">
        <v>2910</v>
      </c>
      <c r="Y696" s="72" t="s">
        <v>3033</v>
      </c>
      <c r="Z696" s="72" t="s">
        <v>535</v>
      </c>
      <c r="AA696" s="147" t="s">
        <v>2910</v>
      </c>
    </row>
    <row r="697" spans="1:27" ht="18.600000000000001" customHeight="1">
      <c r="A697" s="140" t="str">
        <f>IF(priority(Main[[#This Row],[Comments]])&lt;&gt;0, priority(Main[[#This Row],[Comments]]),"")</f>
        <v/>
      </c>
      <c r="B697" s="90" t="s">
        <v>1521</v>
      </c>
      <c r="C697" s="72" t="s">
        <v>586</v>
      </c>
      <c r="D697" s="73" t="s">
        <v>587</v>
      </c>
      <c r="E697" s="74"/>
      <c r="F697" s="74"/>
      <c r="G697" s="75" t="str">
        <f>IF(stdProdLT(Main[[#This Row],[Comments]])=0.1,"N/A",IF(stdProdLT(Main[[#This Row],[Comments]])=0,"",stdProdLT(Main[[#This Row],[Comments]])))</f>
        <v/>
      </c>
      <c r="H697" s="76" t="str">
        <f>IF(AND(Main[[#This Row],[In Stock Date]]&lt;&gt;"",Main[[#This Row],[Revised Due Date]]&lt;&gt;""),Main[[#This Row],[In Stock Date]]-Main[[#This Row],[Revised Due Date]],"")</f>
        <v/>
      </c>
      <c r="I697" s="72" t="s">
        <v>4</v>
      </c>
      <c r="J697" s="72" t="s">
        <v>4</v>
      </c>
      <c r="K697" s="72" t="s">
        <v>4</v>
      </c>
      <c r="L697" s="74"/>
      <c r="M697" s="77" t="str">
        <f>IF(Main[[#This Row],[Tech Start Date]]&lt;1/1/1990,"",IF(Main[[#This Row],[Class]]="C",WORKDAY(Main[[#This Row],[Tech Start Date]],9),IF(Main[[#This Row],[Class]]="B", WORKDAY(Main[[#This Row],[Tech Start Date]],6),IF(Main[[#This Row],[Class]]="A",WORKDAY(Main[[#This Row],[Tech Start Date]],2),""))))</f>
        <v/>
      </c>
      <c r="N697" s="77" t="str">
        <f>IF(Main[[#This Row],[Tech Start Date]]&lt;1/1/1990,"",IF(Main[[#This Row],[Class]]="C",WORKDAY(Main[[#This Row],[Tech Start Date]],19),IF(Main[[#This Row],[Class]]="B", WORKDAY(Main[[#This Row],[Tech Start Date]],12),IF(Main[[#This Row],[Class]]="A",WORKDAY(Main[[#This Row],[Tech Start Date]],4),""))))</f>
        <v/>
      </c>
      <c r="O697" s="77" t="str">
        <f>IF(Main[[#This Row],[Tech Start Date]]&lt;1/1/1990,"",IF(Main[[#This Row],[Class]]="C",WORKDAY(Main[[#This Row],[Tech Start Date]],23),IF(Main[[#This Row],[Class]]="B", WORKDAY(Main[[#This Row],[Tech Start Date]],15),IF(Main[[#This Row],[Class]]="A",WORKDAY(Main[[#This Row],[Tech Start Date]],5),""))))</f>
        <v/>
      </c>
      <c r="P697" s="77" t="str">
        <f>IF(Main[[#This Row],[Tech Start Date]]&lt;1/1/1990,"",IF(Main[[#This Row],[Class]]="C",WORKDAY(Main[[#This Row],[Tech Start Date]],28),IF(Main[[#This Row],[Class]]="B", WORKDAY(Main[[#This Row],[Tech Start Date]],19),IF(Main[[#This Row],[Class]]="A",WORKDAY(Main[[#This Row],[Tech Start Date]],9),""))))</f>
        <v/>
      </c>
      <c r="Q697" s="74">
        <v>40476</v>
      </c>
      <c r="R697" s="74"/>
      <c r="S697" s="72" t="s">
        <v>11</v>
      </c>
      <c r="T697" s="80" t="s">
        <v>4</v>
      </c>
      <c r="U697" s="72" t="s">
        <v>14</v>
      </c>
      <c r="V697" s="72" t="s">
        <v>1932</v>
      </c>
      <c r="W697" s="72" t="s">
        <v>1940</v>
      </c>
      <c r="X697" s="72" t="s">
        <v>2963</v>
      </c>
      <c r="Y697" s="72" t="s">
        <v>3114</v>
      </c>
      <c r="Z697" s="72" t="s">
        <v>4</v>
      </c>
      <c r="AA697" s="147" t="s">
        <v>2963</v>
      </c>
    </row>
    <row r="698" spans="1:27" ht="18.600000000000001" customHeight="1">
      <c r="A698" s="140" t="str">
        <f>IF(priority(Main[[#This Row],[Comments]])&lt;&gt;0, priority(Main[[#This Row],[Comments]]),"")</f>
        <v/>
      </c>
      <c r="B698" s="90" t="s">
        <v>1522</v>
      </c>
      <c r="C698" s="72" t="s">
        <v>31</v>
      </c>
      <c r="D698" s="73" t="s">
        <v>588</v>
      </c>
      <c r="E698" s="74"/>
      <c r="F698" s="74">
        <v>40330</v>
      </c>
      <c r="G698" s="75" t="str">
        <f>IF(stdProdLT(Main[[#This Row],[Comments]])=0.1,"N/A",IF(stdProdLT(Main[[#This Row],[Comments]])=0,"",stdProdLT(Main[[#This Row],[Comments]])))</f>
        <v/>
      </c>
      <c r="H698" s="76" t="str">
        <f>IF(AND(Main[[#This Row],[In Stock Date]]&lt;&gt;"",Main[[#This Row],[Revised Due Date]]&lt;&gt;""),Main[[#This Row],[In Stock Date]]-Main[[#This Row],[Revised Due Date]],"")</f>
        <v/>
      </c>
      <c r="I698" s="72" t="s">
        <v>4</v>
      </c>
      <c r="J698" s="72" t="s">
        <v>4</v>
      </c>
      <c r="K698" s="72" t="s">
        <v>4</v>
      </c>
      <c r="L698" s="74"/>
      <c r="M698" s="77" t="str">
        <f>IF(Main[[#This Row],[Tech Start Date]]&lt;1/1/1990,"",IF(Main[[#This Row],[Class]]="C",WORKDAY(Main[[#This Row],[Tech Start Date]],9),IF(Main[[#This Row],[Class]]="B", WORKDAY(Main[[#This Row],[Tech Start Date]],6),IF(Main[[#This Row],[Class]]="A",WORKDAY(Main[[#This Row],[Tech Start Date]],2),""))))</f>
        <v/>
      </c>
      <c r="N698" s="77" t="str">
        <f>IF(Main[[#This Row],[Tech Start Date]]&lt;1/1/1990,"",IF(Main[[#This Row],[Class]]="C",WORKDAY(Main[[#This Row],[Tech Start Date]],19),IF(Main[[#This Row],[Class]]="B", WORKDAY(Main[[#This Row],[Tech Start Date]],12),IF(Main[[#This Row],[Class]]="A",WORKDAY(Main[[#This Row],[Tech Start Date]],4),""))))</f>
        <v/>
      </c>
      <c r="O698" s="77" t="str">
        <f>IF(Main[[#This Row],[Tech Start Date]]&lt;1/1/1990,"",IF(Main[[#This Row],[Class]]="C",WORKDAY(Main[[#This Row],[Tech Start Date]],23),IF(Main[[#This Row],[Class]]="B", WORKDAY(Main[[#This Row],[Tech Start Date]],15),IF(Main[[#This Row],[Class]]="A",WORKDAY(Main[[#This Row],[Tech Start Date]],5),""))))</f>
        <v/>
      </c>
      <c r="P698" s="77" t="str">
        <f>IF(Main[[#This Row],[Tech Start Date]]&lt;1/1/1990,"",IF(Main[[#This Row],[Class]]="C",WORKDAY(Main[[#This Row],[Tech Start Date]],28),IF(Main[[#This Row],[Class]]="B", WORKDAY(Main[[#This Row],[Tech Start Date]],19),IF(Main[[#This Row],[Class]]="A",WORKDAY(Main[[#This Row],[Tech Start Date]],9),""))))</f>
        <v/>
      </c>
      <c r="Q698" s="74">
        <v>40210</v>
      </c>
      <c r="R698" s="74"/>
      <c r="S698" s="72" t="s">
        <v>11</v>
      </c>
      <c r="T698" s="80" t="s">
        <v>4</v>
      </c>
      <c r="U698" s="72" t="s">
        <v>14</v>
      </c>
      <c r="V698" s="72" t="s">
        <v>1933</v>
      </c>
      <c r="W698" s="72" t="s">
        <v>1938</v>
      </c>
      <c r="X698" s="72" t="s">
        <v>2908</v>
      </c>
      <c r="Y698" s="72" t="s">
        <v>3030</v>
      </c>
      <c r="Z698" s="72" t="s">
        <v>4</v>
      </c>
      <c r="AA698" s="147" t="s">
        <v>2908</v>
      </c>
    </row>
    <row r="699" spans="1:27" ht="18.600000000000001" customHeight="1">
      <c r="A699" s="140" t="str">
        <f>IF(priority(Main[[#This Row],[Comments]])&lt;&gt;0, priority(Main[[#This Row],[Comments]]),"")</f>
        <v/>
      </c>
      <c r="B699" s="90" t="s">
        <v>1523</v>
      </c>
      <c r="C699" s="72" t="s">
        <v>4</v>
      </c>
      <c r="D699" s="73" t="s">
        <v>589</v>
      </c>
      <c r="E699" s="74"/>
      <c r="F699" s="74"/>
      <c r="G699" s="75" t="str">
        <f>IF(stdProdLT(Main[[#This Row],[Comments]])=0.1,"N/A",IF(stdProdLT(Main[[#This Row],[Comments]])=0,"",stdProdLT(Main[[#This Row],[Comments]])))</f>
        <v/>
      </c>
      <c r="H699" s="76" t="str">
        <f>IF(AND(Main[[#This Row],[In Stock Date]]&lt;&gt;"",Main[[#This Row],[Revised Due Date]]&lt;&gt;""),Main[[#This Row],[In Stock Date]]-Main[[#This Row],[Revised Due Date]],"")</f>
        <v/>
      </c>
      <c r="I699" s="72" t="s">
        <v>4</v>
      </c>
      <c r="J699" s="72" t="s">
        <v>4</v>
      </c>
      <c r="K699" s="72" t="s">
        <v>4</v>
      </c>
      <c r="L699" s="74"/>
      <c r="M699" s="77" t="str">
        <f>IF(Main[[#This Row],[Tech Start Date]]&lt;1/1/1990,"",IF(Main[[#This Row],[Class]]="C",WORKDAY(Main[[#This Row],[Tech Start Date]],9),IF(Main[[#This Row],[Class]]="B", WORKDAY(Main[[#This Row],[Tech Start Date]],6),IF(Main[[#This Row],[Class]]="A",WORKDAY(Main[[#This Row],[Tech Start Date]],2),""))))</f>
        <v/>
      </c>
      <c r="N699" s="77" t="str">
        <f>IF(Main[[#This Row],[Tech Start Date]]&lt;1/1/1990,"",IF(Main[[#This Row],[Class]]="C",WORKDAY(Main[[#This Row],[Tech Start Date]],19),IF(Main[[#This Row],[Class]]="B", WORKDAY(Main[[#This Row],[Tech Start Date]],12),IF(Main[[#This Row],[Class]]="A",WORKDAY(Main[[#This Row],[Tech Start Date]],4),""))))</f>
        <v/>
      </c>
      <c r="O699" s="77" t="str">
        <f>IF(Main[[#This Row],[Tech Start Date]]&lt;1/1/1990,"",IF(Main[[#This Row],[Class]]="C",WORKDAY(Main[[#This Row],[Tech Start Date]],23),IF(Main[[#This Row],[Class]]="B", WORKDAY(Main[[#This Row],[Tech Start Date]],15),IF(Main[[#This Row],[Class]]="A",WORKDAY(Main[[#This Row],[Tech Start Date]],5),""))))</f>
        <v/>
      </c>
      <c r="P699" s="77" t="str">
        <f>IF(Main[[#This Row],[Tech Start Date]]&lt;1/1/1990,"",IF(Main[[#This Row],[Class]]="C",WORKDAY(Main[[#This Row],[Tech Start Date]],28),IF(Main[[#This Row],[Class]]="B", WORKDAY(Main[[#This Row],[Tech Start Date]],19),IF(Main[[#This Row],[Class]]="A",WORKDAY(Main[[#This Row],[Tech Start Date]],9),""))))</f>
        <v/>
      </c>
      <c r="Q699" s="74">
        <v>40543</v>
      </c>
      <c r="R699" s="74"/>
      <c r="S699" s="72" t="s">
        <v>17</v>
      </c>
      <c r="T699" s="80" t="s">
        <v>4</v>
      </c>
      <c r="U699" s="72" t="s">
        <v>14</v>
      </c>
      <c r="V699" s="72" t="s">
        <v>1947</v>
      </c>
      <c r="W699" s="72" t="s">
        <v>1934</v>
      </c>
      <c r="X699" s="72" t="s">
        <v>129</v>
      </c>
      <c r="Y699" s="72" t="s">
        <v>3020</v>
      </c>
      <c r="Z699" s="72" t="s">
        <v>4</v>
      </c>
      <c r="AA699" s="147" t="s">
        <v>129</v>
      </c>
    </row>
    <row r="700" spans="1:27" ht="18.600000000000001" customHeight="1">
      <c r="A700" s="140" t="str">
        <f>IF(priority(Main[[#This Row],[Comments]])&lt;&gt;0, priority(Main[[#This Row],[Comments]]),"")</f>
        <v/>
      </c>
      <c r="B700" s="90" t="s">
        <v>1524</v>
      </c>
      <c r="C700" s="72" t="s">
        <v>382</v>
      </c>
      <c r="D700" s="73" t="s">
        <v>590</v>
      </c>
      <c r="E700" s="74"/>
      <c r="F700" s="74">
        <v>40228</v>
      </c>
      <c r="G700" s="75" t="str">
        <f>IF(stdProdLT(Main[[#This Row],[Comments]])=0.1,"N/A",IF(stdProdLT(Main[[#This Row],[Comments]])=0,"",stdProdLT(Main[[#This Row],[Comments]])))</f>
        <v/>
      </c>
      <c r="H700" s="76" t="str">
        <f>IF(AND(Main[[#This Row],[In Stock Date]]&lt;&gt;"",Main[[#This Row],[Revised Due Date]]&lt;&gt;""),Main[[#This Row],[In Stock Date]]-Main[[#This Row],[Revised Due Date]],"")</f>
        <v/>
      </c>
      <c r="I700" s="72" t="s">
        <v>4</v>
      </c>
      <c r="J700" s="72" t="s">
        <v>4</v>
      </c>
      <c r="K700" s="72" t="s">
        <v>4</v>
      </c>
      <c r="L700" s="74"/>
      <c r="M700" s="77" t="str">
        <f>IF(Main[[#This Row],[Tech Start Date]]&lt;1/1/1990,"",IF(Main[[#This Row],[Class]]="C",WORKDAY(Main[[#This Row],[Tech Start Date]],9),IF(Main[[#This Row],[Class]]="B", WORKDAY(Main[[#This Row],[Tech Start Date]],6),IF(Main[[#This Row],[Class]]="A",WORKDAY(Main[[#This Row],[Tech Start Date]],2),""))))</f>
        <v/>
      </c>
      <c r="N700" s="77" t="str">
        <f>IF(Main[[#This Row],[Tech Start Date]]&lt;1/1/1990,"",IF(Main[[#This Row],[Class]]="C",WORKDAY(Main[[#This Row],[Tech Start Date]],19),IF(Main[[#This Row],[Class]]="B", WORKDAY(Main[[#This Row],[Tech Start Date]],12),IF(Main[[#This Row],[Class]]="A",WORKDAY(Main[[#This Row],[Tech Start Date]],4),""))))</f>
        <v/>
      </c>
      <c r="O700" s="77" t="str">
        <f>IF(Main[[#This Row],[Tech Start Date]]&lt;1/1/1990,"",IF(Main[[#This Row],[Class]]="C",WORKDAY(Main[[#This Row],[Tech Start Date]],23),IF(Main[[#This Row],[Class]]="B", WORKDAY(Main[[#This Row],[Tech Start Date]],15),IF(Main[[#This Row],[Class]]="A",WORKDAY(Main[[#This Row],[Tech Start Date]],5),""))))</f>
        <v/>
      </c>
      <c r="P700" s="77" t="str">
        <f>IF(Main[[#This Row],[Tech Start Date]]&lt;1/1/1990,"",IF(Main[[#This Row],[Class]]="C",WORKDAY(Main[[#This Row],[Tech Start Date]],28),IF(Main[[#This Row],[Class]]="B", WORKDAY(Main[[#This Row],[Tech Start Date]],19),IF(Main[[#This Row],[Class]]="A",WORKDAY(Main[[#This Row],[Tech Start Date]],9),""))))</f>
        <v/>
      </c>
      <c r="Q700" s="74">
        <v>40153</v>
      </c>
      <c r="R700" s="74"/>
      <c r="S700" s="72" t="s">
        <v>11</v>
      </c>
      <c r="T700" s="80" t="s">
        <v>4</v>
      </c>
      <c r="U700" s="72" t="s">
        <v>14</v>
      </c>
      <c r="V700" s="72" t="s">
        <v>1935</v>
      </c>
      <c r="W700" s="72" t="s">
        <v>1940</v>
      </c>
      <c r="X700" s="72" t="s">
        <v>2947</v>
      </c>
      <c r="Y700" s="72" t="s">
        <v>4</v>
      </c>
      <c r="Z700" s="72" t="s">
        <v>4</v>
      </c>
      <c r="AA700" s="147" t="s">
        <v>2947</v>
      </c>
    </row>
    <row r="701" spans="1:27" ht="18.600000000000001" customHeight="1">
      <c r="A701" s="140" t="str">
        <f>IF(priority(Main[[#This Row],[Comments]])&lt;&gt;0, priority(Main[[#This Row],[Comments]]),"")</f>
        <v/>
      </c>
      <c r="B701" s="90" t="s">
        <v>1525</v>
      </c>
      <c r="C701" s="72" t="s">
        <v>279</v>
      </c>
      <c r="D701" s="73" t="s">
        <v>591</v>
      </c>
      <c r="E701" s="74"/>
      <c r="F701" s="74">
        <v>40186</v>
      </c>
      <c r="G701" s="75" t="str">
        <f>IF(stdProdLT(Main[[#This Row],[Comments]])=0.1,"N/A",IF(stdProdLT(Main[[#This Row],[Comments]])=0,"",stdProdLT(Main[[#This Row],[Comments]])))</f>
        <v/>
      </c>
      <c r="H701" s="76" t="str">
        <f>IF(AND(Main[[#This Row],[In Stock Date]]&lt;&gt;"",Main[[#This Row],[Revised Due Date]]&lt;&gt;""),Main[[#This Row],[In Stock Date]]-Main[[#This Row],[Revised Due Date]],"")</f>
        <v/>
      </c>
      <c r="I701" s="72" t="s">
        <v>4</v>
      </c>
      <c r="J701" s="72" t="s">
        <v>4</v>
      </c>
      <c r="K701" s="81" t="s">
        <v>4</v>
      </c>
      <c r="L701" s="74"/>
      <c r="M701" s="77" t="str">
        <f>IF(Main[[#This Row],[Tech Start Date]]&lt;1/1/1990,"",IF(Main[[#This Row],[Class]]="C",WORKDAY(Main[[#This Row],[Tech Start Date]],9),IF(Main[[#This Row],[Class]]="B", WORKDAY(Main[[#This Row],[Tech Start Date]],6),IF(Main[[#This Row],[Class]]="A",WORKDAY(Main[[#This Row],[Tech Start Date]],2),""))))</f>
        <v/>
      </c>
      <c r="N701" s="77" t="str">
        <f>IF(Main[[#This Row],[Tech Start Date]]&lt;1/1/1990,"",IF(Main[[#This Row],[Class]]="C",WORKDAY(Main[[#This Row],[Tech Start Date]],19),IF(Main[[#This Row],[Class]]="B", WORKDAY(Main[[#This Row],[Tech Start Date]],12),IF(Main[[#This Row],[Class]]="A",WORKDAY(Main[[#This Row],[Tech Start Date]],4),""))))</f>
        <v/>
      </c>
      <c r="O701" s="77" t="str">
        <f>IF(Main[[#This Row],[Tech Start Date]]&lt;1/1/1990,"",IF(Main[[#This Row],[Class]]="C",WORKDAY(Main[[#This Row],[Tech Start Date]],23),IF(Main[[#This Row],[Class]]="B", WORKDAY(Main[[#This Row],[Tech Start Date]],15),IF(Main[[#This Row],[Class]]="A",WORKDAY(Main[[#This Row],[Tech Start Date]],5),""))))</f>
        <v/>
      </c>
      <c r="P701" s="77" t="str">
        <f>IF(Main[[#This Row],[Tech Start Date]]&lt;1/1/1990,"",IF(Main[[#This Row],[Class]]="C",WORKDAY(Main[[#This Row],[Tech Start Date]],28),IF(Main[[#This Row],[Class]]="B", WORKDAY(Main[[#This Row],[Tech Start Date]],19),IF(Main[[#This Row],[Class]]="A",WORKDAY(Main[[#This Row],[Tech Start Date]],9),""))))</f>
        <v/>
      </c>
      <c r="Q701" s="74">
        <v>40186</v>
      </c>
      <c r="R701" s="74"/>
      <c r="S701" s="72" t="s">
        <v>11</v>
      </c>
      <c r="T701" s="80" t="s">
        <v>4</v>
      </c>
      <c r="U701" s="72" t="s">
        <v>14</v>
      </c>
      <c r="V701" s="72" t="s">
        <v>1935</v>
      </c>
      <c r="W701" s="72" t="s">
        <v>1940</v>
      </c>
      <c r="X701" s="72" t="s">
        <v>2926</v>
      </c>
      <c r="Y701" s="72" t="s">
        <v>4</v>
      </c>
      <c r="Z701" s="72" t="s">
        <v>4</v>
      </c>
      <c r="AA701" s="147" t="s">
        <v>2926</v>
      </c>
    </row>
    <row r="702" spans="1:27" ht="18.600000000000001" customHeight="1">
      <c r="A702" s="140" t="str">
        <f>IF(priority(Main[[#This Row],[Comments]])&lt;&gt;0, priority(Main[[#This Row],[Comments]]),"")</f>
        <v/>
      </c>
      <c r="B702" s="90" t="s">
        <v>2287</v>
      </c>
      <c r="C702" s="72" t="s">
        <v>2283</v>
      </c>
      <c r="D702" s="73" t="s">
        <v>2284</v>
      </c>
      <c r="E702" s="74"/>
      <c r="F702" s="74"/>
      <c r="G702" s="75" t="str">
        <f>IF(stdProdLT(Main[[#This Row],[Comments]])=0.1,"N/A",IF(stdProdLT(Main[[#This Row],[Comments]])=0,"",stdProdLT(Main[[#This Row],[Comments]])))</f>
        <v/>
      </c>
      <c r="H702" s="76" t="str">
        <f>IF(AND(Main[[#This Row],[In Stock Date]]&lt;&gt;"",Main[[#This Row],[Revised Due Date]]&lt;&gt;""),Main[[#This Row],[In Stock Date]]-Main[[#This Row],[Revised Due Date]],"")</f>
        <v/>
      </c>
      <c r="I702" s="72" t="s">
        <v>4</v>
      </c>
      <c r="J702" s="72" t="s">
        <v>4</v>
      </c>
      <c r="K702" s="72" t="s">
        <v>4</v>
      </c>
      <c r="L702" s="74"/>
      <c r="M702" s="77" t="str">
        <f>IF(Main[[#This Row],[Tech Start Date]]&lt;1/1/1990,"",IF(Main[[#This Row],[Class]]="C",WORKDAY(Main[[#This Row],[Tech Start Date]],9),IF(Main[[#This Row],[Class]]="B", WORKDAY(Main[[#This Row],[Tech Start Date]],6),IF(Main[[#This Row],[Class]]="A",WORKDAY(Main[[#This Row],[Tech Start Date]],2),""))))</f>
        <v/>
      </c>
      <c r="N702" s="77" t="str">
        <f>IF(Main[[#This Row],[Tech Start Date]]&lt;1/1/1990,"",IF(Main[[#This Row],[Class]]="C",WORKDAY(Main[[#This Row],[Tech Start Date]],19),IF(Main[[#This Row],[Class]]="B", WORKDAY(Main[[#This Row],[Tech Start Date]],12),IF(Main[[#This Row],[Class]]="A",WORKDAY(Main[[#This Row],[Tech Start Date]],4),""))))</f>
        <v/>
      </c>
      <c r="O702" s="77" t="str">
        <f>IF(Main[[#This Row],[Tech Start Date]]&lt;1/1/1990,"",IF(Main[[#This Row],[Class]]="C",WORKDAY(Main[[#This Row],[Tech Start Date]],23),IF(Main[[#This Row],[Class]]="B", WORKDAY(Main[[#This Row],[Tech Start Date]],15),IF(Main[[#This Row],[Class]]="A",WORKDAY(Main[[#This Row],[Tech Start Date]],5),""))))</f>
        <v/>
      </c>
      <c r="P702" s="77" t="str">
        <f>IF(Main[[#This Row],[Tech Start Date]]&lt;1/1/1990,"",IF(Main[[#This Row],[Class]]="C",WORKDAY(Main[[#This Row],[Tech Start Date]],28),IF(Main[[#This Row],[Class]]="B", WORKDAY(Main[[#This Row],[Tech Start Date]],19),IF(Main[[#This Row],[Class]]="A",WORKDAY(Main[[#This Row],[Tech Start Date]],9),""))))</f>
        <v/>
      </c>
      <c r="Q702" s="74">
        <v>40806</v>
      </c>
      <c r="R702" s="74"/>
      <c r="S702" s="72" t="s">
        <v>6</v>
      </c>
      <c r="T702" s="80" t="s">
        <v>4</v>
      </c>
      <c r="U702" s="72" t="s">
        <v>12</v>
      </c>
      <c r="V702" s="72" t="s">
        <v>1933</v>
      </c>
      <c r="W702" s="72" t="s">
        <v>1940</v>
      </c>
      <c r="X702" s="72" t="s">
        <v>2963</v>
      </c>
      <c r="Y702" s="72" t="s">
        <v>3114</v>
      </c>
      <c r="Z702" s="72" t="s">
        <v>4</v>
      </c>
      <c r="AA702" s="147" t="s">
        <v>2963</v>
      </c>
    </row>
    <row r="703" spans="1:27" ht="18.600000000000001" customHeight="1">
      <c r="A703" s="140" t="str">
        <f>IF(priority(Main[[#This Row],[Comments]])&lt;&gt;0, priority(Main[[#This Row],[Comments]]),"")</f>
        <v/>
      </c>
      <c r="B703" s="90" t="s">
        <v>1526</v>
      </c>
      <c r="C703" s="72" t="s">
        <v>93</v>
      </c>
      <c r="D703" s="73" t="s">
        <v>592</v>
      </c>
      <c r="E703" s="74"/>
      <c r="F703" s="74">
        <v>40302</v>
      </c>
      <c r="G703" s="75" t="str">
        <f>IF(stdProdLT(Main[[#This Row],[Comments]])=0.1,"N/A",IF(stdProdLT(Main[[#This Row],[Comments]])=0,"",stdProdLT(Main[[#This Row],[Comments]])))</f>
        <v/>
      </c>
      <c r="H703" s="76" t="str">
        <f>IF(AND(Main[[#This Row],[In Stock Date]]&lt;&gt;"",Main[[#This Row],[Revised Due Date]]&lt;&gt;""),Main[[#This Row],[In Stock Date]]-Main[[#This Row],[Revised Due Date]],"")</f>
        <v/>
      </c>
      <c r="I703" s="72" t="s">
        <v>4</v>
      </c>
      <c r="J703" s="72" t="s">
        <v>4</v>
      </c>
      <c r="K703" s="72" t="s">
        <v>4</v>
      </c>
      <c r="L703" s="74"/>
      <c r="M703" s="77" t="str">
        <f>IF(Main[[#This Row],[Tech Start Date]]&lt;1/1/1990,"",IF(Main[[#This Row],[Class]]="C",WORKDAY(Main[[#This Row],[Tech Start Date]],9),IF(Main[[#This Row],[Class]]="B", WORKDAY(Main[[#This Row],[Tech Start Date]],6),IF(Main[[#This Row],[Class]]="A",WORKDAY(Main[[#This Row],[Tech Start Date]],2),""))))</f>
        <v/>
      </c>
      <c r="N703" s="77" t="str">
        <f>IF(Main[[#This Row],[Tech Start Date]]&lt;1/1/1990,"",IF(Main[[#This Row],[Class]]="C",WORKDAY(Main[[#This Row],[Tech Start Date]],19),IF(Main[[#This Row],[Class]]="B", WORKDAY(Main[[#This Row],[Tech Start Date]],12),IF(Main[[#This Row],[Class]]="A",WORKDAY(Main[[#This Row],[Tech Start Date]],4),""))))</f>
        <v/>
      </c>
      <c r="O703" s="77" t="str">
        <f>IF(Main[[#This Row],[Tech Start Date]]&lt;1/1/1990,"",IF(Main[[#This Row],[Class]]="C",WORKDAY(Main[[#This Row],[Tech Start Date]],23),IF(Main[[#This Row],[Class]]="B", WORKDAY(Main[[#This Row],[Tech Start Date]],15),IF(Main[[#This Row],[Class]]="A",WORKDAY(Main[[#This Row],[Tech Start Date]],5),""))))</f>
        <v/>
      </c>
      <c r="P703" s="77" t="str">
        <f>IF(Main[[#This Row],[Tech Start Date]]&lt;1/1/1990,"",IF(Main[[#This Row],[Class]]="C",WORKDAY(Main[[#This Row],[Tech Start Date]],28),IF(Main[[#This Row],[Class]]="B", WORKDAY(Main[[#This Row],[Tech Start Date]],19),IF(Main[[#This Row],[Class]]="A",WORKDAY(Main[[#This Row],[Tech Start Date]],9),""))))</f>
        <v/>
      </c>
      <c r="Q703" s="74">
        <v>40190</v>
      </c>
      <c r="R703" s="74"/>
      <c r="S703" s="72" t="s">
        <v>11</v>
      </c>
      <c r="T703" s="80" t="s">
        <v>4</v>
      </c>
      <c r="U703" s="72" t="s">
        <v>12</v>
      </c>
      <c r="V703" s="72" t="s">
        <v>1942</v>
      </c>
      <c r="W703" s="72" t="s">
        <v>1938</v>
      </c>
      <c r="X703" s="72" t="s">
        <v>2982</v>
      </c>
      <c r="Y703" s="72" t="s">
        <v>4</v>
      </c>
      <c r="Z703" s="72" t="s">
        <v>4</v>
      </c>
      <c r="AA703" s="147" t="s">
        <v>2982</v>
      </c>
    </row>
    <row r="704" spans="1:27" ht="18.600000000000001" customHeight="1">
      <c r="A704" s="140" t="str">
        <f>IF(priority(Main[[#This Row],[Comments]])&lt;&gt;0, priority(Main[[#This Row],[Comments]]),"")</f>
        <v/>
      </c>
      <c r="B704" s="90" t="s">
        <v>1527</v>
      </c>
      <c r="C704" s="72" t="s">
        <v>4</v>
      </c>
      <c r="D704" s="73" t="s">
        <v>593</v>
      </c>
      <c r="E704" s="74"/>
      <c r="F704" s="74">
        <v>40330</v>
      </c>
      <c r="G704" s="75" t="str">
        <f>IF(stdProdLT(Main[[#This Row],[Comments]])=0.1,"N/A",IF(stdProdLT(Main[[#This Row],[Comments]])=0,"",stdProdLT(Main[[#This Row],[Comments]])))</f>
        <v/>
      </c>
      <c r="H704" s="76" t="str">
        <f>IF(AND(Main[[#This Row],[In Stock Date]]&lt;&gt;"",Main[[#This Row],[Revised Due Date]]&lt;&gt;""),Main[[#This Row],[In Stock Date]]-Main[[#This Row],[Revised Due Date]],"")</f>
        <v/>
      </c>
      <c r="I704" s="72" t="s">
        <v>4</v>
      </c>
      <c r="J704" s="72" t="s">
        <v>4</v>
      </c>
      <c r="K704" s="72" t="s">
        <v>4</v>
      </c>
      <c r="L704" s="74"/>
      <c r="M704" s="77" t="str">
        <f>IF(Main[[#This Row],[Tech Start Date]]&lt;1/1/1990,"",IF(Main[[#This Row],[Class]]="C",WORKDAY(Main[[#This Row],[Tech Start Date]],9),IF(Main[[#This Row],[Class]]="B", WORKDAY(Main[[#This Row],[Tech Start Date]],6),IF(Main[[#This Row],[Class]]="A",WORKDAY(Main[[#This Row],[Tech Start Date]],2),""))))</f>
        <v/>
      </c>
      <c r="N704" s="77" t="str">
        <f>IF(Main[[#This Row],[Tech Start Date]]&lt;1/1/1990,"",IF(Main[[#This Row],[Class]]="C",WORKDAY(Main[[#This Row],[Tech Start Date]],19),IF(Main[[#This Row],[Class]]="B", WORKDAY(Main[[#This Row],[Tech Start Date]],12),IF(Main[[#This Row],[Class]]="A",WORKDAY(Main[[#This Row],[Tech Start Date]],4),""))))</f>
        <v/>
      </c>
      <c r="O704" s="77" t="str">
        <f>IF(Main[[#This Row],[Tech Start Date]]&lt;1/1/1990,"",IF(Main[[#This Row],[Class]]="C",WORKDAY(Main[[#This Row],[Tech Start Date]],23),IF(Main[[#This Row],[Class]]="B", WORKDAY(Main[[#This Row],[Tech Start Date]],15),IF(Main[[#This Row],[Class]]="A",WORKDAY(Main[[#This Row],[Tech Start Date]],5),""))))</f>
        <v/>
      </c>
      <c r="P704" s="77" t="str">
        <f>IF(Main[[#This Row],[Tech Start Date]]&lt;1/1/1990,"",IF(Main[[#This Row],[Class]]="C",WORKDAY(Main[[#This Row],[Tech Start Date]],28),IF(Main[[#This Row],[Class]]="B", WORKDAY(Main[[#This Row],[Tech Start Date]],19),IF(Main[[#This Row],[Class]]="A",WORKDAY(Main[[#This Row],[Tech Start Date]],9),""))))</f>
        <v/>
      </c>
      <c r="Q704" s="74">
        <v>40210</v>
      </c>
      <c r="R704" s="74"/>
      <c r="S704" s="72" t="s">
        <v>11</v>
      </c>
      <c r="T704" s="80" t="s">
        <v>4</v>
      </c>
      <c r="U704" s="72" t="s">
        <v>12</v>
      </c>
      <c r="V704" s="72" t="s">
        <v>1933</v>
      </c>
      <c r="W704" s="72" t="s">
        <v>1938</v>
      </c>
      <c r="X704" s="72" t="s">
        <v>2908</v>
      </c>
      <c r="Y704" s="72" t="s">
        <v>3030</v>
      </c>
      <c r="Z704" s="72" t="s">
        <v>4</v>
      </c>
      <c r="AA704" s="147" t="s">
        <v>2908</v>
      </c>
    </row>
    <row r="705" spans="1:27" ht="18.600000000000001" customHeight="1">
      <c r="A705" s="140" t="str">
        <f>IF(priority(Main[[#This Row],[Comments]])&lt;&gt;0, priority(Main[[#This Row],[Comments]]),"")</f>
        <v/>
      </c>
      <c r="B705" s="90" t="s">
        <v>1528</v>
      </c>
      <c r="C705" s="72" t="s">
        <v>4</v>
      </c>
      <c r="D705" s="73" t="s">
        <v>594</v>
      </c>
      <c r="E705" s="74">
        <v>40217.626817129632</v>
      </c>
      <c r="F705" s="74"/>
      <c r="G705" s="75" t="str">
        <f>IF(stdProdLT(Main[[#This Row],[Comments]])=0.1,"N/A",IF(stdProdLT(Main[[#This Row],[Comments]])=0,"",stdProdLT(Main[[#This Row],[Comments]])))</f>
        <v/>
      </c>
      <c r="H705" s="76" t="str">
        <f>IF(AND(Main[[#This Row],[In Stock Date]]&lt;&gt;"",Main[[#This Row],[Revised Due Date]]&lt;&gt;""),Main[[#This Row],[In Stock Date]]-Main[[#This Row],[Revised Due Date]],"")</f>
        <v/>
      </c>
      <c r="I705" s="72" t="s">
        <v>4</v>
      </c>
      <c r="J705" s="72" t="s">
        <v>4</v>
      </c>
      <c r="K705" s="72" t="s">
        <v>4</v>
      </c>
      <c r="L705" s="74"/>
      <c r="M705" s="77" t="str">
        <f>IF(Main[[#This Row],[Tech Start Date]]&lt;1/1/1990,"",IF(Main[[#This Row],[Class]]="C",WORKDAY(Main[[#This Row],[Tech Start Date]],9),IF(Main[[#This Row],[Class]]="B", WORKDAY(Main[[#This Row],[Tech Start Date]],6),IF(Main[[#This Row],[Class]]="A",WORKDAY(Main[[#This Row],[Tech Start Date]],2),""))))</f>
        <v/>
      </c>
      <c r="N705" s="77" t="str">
        <f>IF(Main[[#This Row],[Tech Start Date]]&lt;1/1/1990,"",IF(Main[[#This Row],[Class]]="C",WORKDAY(Main[[#This Row],[Tech Start Date]],19),IF(Main[[#This Row],[Class]]="B", WORKDAY(Main[[#This Row],[Tech Start Date]],12),IF(Main[[#This Row],[Class]]="A",WORKDAY(Main[[#This Row],[Tech Start Date]],4),""))))</f>
        <v/>
      </c>
      <c r="O705" s="77" t="str">
        <f>IF(Main[[#This Row],[Tech Start Date]]&lt;1/1/1990,"",IF(Main[[#This Row],[Class]]="C",WORKDAY(Main[[#This Row],[Tech Start Date]],23),IF(Main[[#This Row],[Class]]="B", WORKDAY(Main[[#This Row],[Tech Start Date]],15),IF(Main[[#This Row],[Class]]="A",WORKDAY(Main[[#This Row],[Tech Start Date]],5),""))))</f>
        <v/>
      </c>
      <c r="P705" s="77" t="str">
        <f>IF(Main[[#This Row],[Tech Start Date]]&lt;1/1/1990,"",IF(Main[[#This Row],[Class]]="C",WORKDAY(Main[[#This Row],[Tech Start Date]],28),IF(Main[[#This Row],[Class]]="B", WORKDAY(Main[[#This Row],[Tech Start Date]],19),IF(Main[[#This Row],[Class]]="A",WORKDAY(Main[[#This Row],[Tech Start Date]],9),""))))</f>
        <v/>
      </c>
      <c r="Q705" s="74">
        <v>40229</v>
      </c>
      <c r="R705" s="74"/>
      <c r="S705" s="72" t="s">
        <v>6</v>
      </c>
      <c r="T705" s="80" t="s">
        <v>4</v>
      </c>
      <c r="U705" s="72" t="s">
        <v>7</v>
      </c>
      <c r="V705" s="72" t="s">
        <v>1932</v>
      </c>
      <c r="W705" s="72" t="s">
        <v>1936</v>
      </c>
      <c r="X705" s="72" t="s">
        <v>2905</v>
      </c>
      <c r="Y705" s="72" t="s">
        <v>3023</v>
      </c>
      <c r="Z705" s="72" t="s">
        <v>4</v>
      </c>
      <c r="AA705" s="147" t="s">
        <v>2905</v>
      </c>
    </row>
    <row r="706" spans="1:27" ht="18.600000000000001" customHeight="1">
      <c r="A706" s="140" t="str">
        <f>IF(priority(Main[[#This Row],[Comments]])&lt;&gt;0, priority(Main[[#This Row],[Comments]]),"")</f>
        <v/>
      </c>
      <c r="B706" s="90" t="s">
        <v>1560</v>
      </c>
      <c r="C706" s="72" t="s">
        <v>4</v>
      </c>
      <c r="D706" s="73" t="s">
        <v>633</v>
      </c>
      <c r="E706" s="74"/>
      <c r="F706" s="74"/>
      <c r="G706" s="75" t="str">
        <f>IF(stdProdLT(Main[[#This Row],[Comments]])=0.1,"N/A",IF(stdProdLT(Main[[#This Row],[Comments]])=0,"",stdProdLT(Main[[#This Row],[Comments]])))</f>
        <v/>
      </c>
      <c r="H706" s="76" t="str">
        <f>IF(AND(Main[[#This Row],[In Stock Date]]&lt;&gt;"",Main[[#This Row],[Revised Due Date]]&lt;&gt;""),Main[[#This Row],[In Stock Date]]-Main[[#This Row],[Revised Due Date]],"")</f>
        <v/>
      </c>
      <c r="I706" s="72" t="s">
        <v>4</v>
      </c>
      <c r="J706" s="72" t="s">
        <v>4</v>
      </c>
      <c r="K706" s="72" t="s">
        <v>4</v>
      </c>
      <c r="L706" s="74"/>
      <c r="M706" s="77" t="str">
        <f>IF(Main[[#This Row],[Tech Start Date]]&lt;1/1/1990,"",IF(Main[[#This Row],[Class]]="C",WORKDAY(Main[[#This Row],[Tech Start Date]],9),IF(Main[[#This Row],[Class]]="B", WORKDAY(Main[[#This Row],[Tech Start Date]],6),IF(Main[[#This Row],[Class]]="A",WORKDAY(Main[[#This Row],[Tech Start Date]],2),""))))</f>
        <v/>
      </c>
      <c r="N706" s="77" t="str">
        <f>IF(Main[[#This Row],[Tech Start Date]]&lt;1/1/1990,"",IF(Main[[#This Row],[Class]]="C",WORKDAY(Main[[#This Row],[Tech Start Date]],19),IF(Main[[#This Row],[Class]]="B", WORKDAY(Main[[#This Row],[Tech Start Date]],12),IF(Main[[#This Row],[Class]]="A",WORKDAY(Main[[#This Row],[Tech Start Date]],4),""))))</f>
        <v/>
      </c>
      <c r="O706" s="77" t="str">
        <f>IF(Main[[#This Row],[Tech Start Date]]&lt;1/1/1990,"",IF(Main[[#This Row],[Class]]="C",WORKDAY(Main[[#This Row],[Tech Start Date]],23),IF(Main[[#This Row],[Class]]="B", WORKDAY(Main[[#This Row],[Tech Start Date]],15),IF(Main[[#This Row],[Class]]="A",WORKDAY(Main[[#This Row],[Tech Start Date]],5),""))))</f>
        <v/>
      </c>
      <c r="P706" s="77" t="str">
        <f>IF(Main[[#This Row],[Tech Start Date]]&lt;1/1/1990,"",IF(Main[[#This Row],[Class]]="C",WORKDAY(Main[[#This Row],[Tech Start Date]],28),IF(Main[[#This Row],[Class]]="B", WORKDAY(Main[[#This Row],[Tech Start Date]],19),IF(Main[[#This Row],[Class]]="A",WORKDAY(Main[[#This Row],[Tech Start Date]],9),""))))</f>
        <v/>
      </c>
      <c r="Q706" s="74"/>
      <c r="R706" s="74"/>
      <c r="S706" s="72" t="s">
        <v>6</v>
      </c>
      <c r="T706" s="80" t="s">
        <v>4</v>
      </c>
      <c r="U706" s="72" t="s">
        <v>12</v>
      </c>
      <c r="V706" s="72" t="s">
        <v>1932</v>
      </c>
      <c r="W706" s="72" t="s">
        <v>4</v>
      </c>
      <c r="X706" s="72" t="s">
        <v>718</v>
      </c>
      <c r="Y706" s="72" t="s">
        <v>3165</v>
      </c>
      <c r="Z706" s="72" t="s">
        <v>4</v>
      </c>
      <c r="AA706" s="147" t="s">
        <v>3612</v>
      </c>
    </row>
    <row r="707" spans="1:27" ht="18.600000000000001" customHeight="1">
      <c r="A707" s="140" t="str">
        <f>IF(priority(Main[[#This Row],[Comments]])&lt;&gt;0, priority(Main[[#This Row],[Comments]]),"")</f>
        <v/>
      </c>
      <c r="B707" s="90" t="s">
        <v>1561</v>
      </c>
      <c r="C707" s="72" t="s">
        <v>93</v>
      </c>
      <c r="D707" s="73" t="s">
        <v>634</v>
      </c>
      <c r="E707" s="74"/>
      <c r="F707" s="74">
        <v>40162</v>
      </c>
      <c r="G707" s="75" t="str">
        <f>IF(stdProdLT(Main[[#This Row],[Comments]])=0.1,"N/A",IF(stdProdLT(Main[[#This Row],[Comments]])=0,"",stdProdLT(Main[[#This Row],[Comments]])))</f>
        <v/>
      </c>
      <c r="H707" s="76" t="str">
        <f>IF(AND(Main[[#This Row],[In Stock Date]]&lt;&gt;"",Main[[#This Row],[Revised Due Date]]&lt;&gt;""),Main[[#This Row],[In Stock Date]]-Main[[#This Row],[Revised Due Date]],"")</f>
        <v/>
      </c>
      <c r="I707" s="72" t="s">
        <v>4</v>
      </c>
      <c r="J707" s="72" t="s">
        <v>4</v>
      </c>
      <c r="K707" s="72" t="s">
        <v>4</v>
      </c>
      <c r="L707" s="74"/>
      <c r="M707" s="77" t="str">
        <f>IF(Main[[#This Row],[Tech Start Date]]&lt;1/1/1990,"",IF(Main[[#This Row],[Class]]="C",WORKDAY(Main[[#This Row],[Tech Start Date]],9),IF(Main[[#This Row],[Class]]="B", WORKDAY(Main[[#This Row],[Tech Start Date]],6),IF(Main[[#This Row],[Class]]="A",WORKDAY(Main[[#This Row],[Tech Start Date]],2),""))))</f>
        <v/>
      </c>
      <c r="N707" s="77" t="str">
        <f>IF(Main[[#This Row],[Tech Start Date]]&lt;1/1/1990,"",IF(Main[[#This Row],[Class]]="C",WORKDAY(Main[[#This Row],[Tech Start Date]],19),IF(Main[[#This Row],[Class]]="B", WORKDAY(Main[[#This Row],[Tech Start Date]],12),IF(Main[[#This Row],[Class]]="A",WORKDAY(Main[[#This Row],[Tech Start Date]],4),""))))</f>
        <v/>
      </c>
      <c r="O707" s="77" t="str">
        <f>IF(Main[[#This Row],[Tech Start Date]]&lt;1/1/1990,"",IF(Main[[#This Row],[Class]]="C",WORKDAY(Main[[#This Row],[Tech Start Date]],23),IF(Main[[#This Row],[Class]]="B", WORKDAY(Main[[#This Row],[Tech Start Date]],15),IF(Main[[#This Row],[Class]]="A",WORKDAY(Main[[#This Row],[Tech Start Date]],5),""))))</f>
        <v/>
      </c>
      <c r="P707" s="77" t="str">
        <f>IF(Main[[#This Row],[Tech Start Date]]&lt;1/1/1990,"",IF(Main[[#This Row],[Class]]="C",WORKDAY(Main[[#This Row],[Tech Start Date]],28),IF(Main[[#This Row],[Class]]="B", WORKDAY(Main[[#This Row],[Tech Start Date]],19),IF(Main[[#This Row],[Class]]="A",WORKDAY(Main[[#This Row],[Tech Start Date]],9),""))))</f>
        <v/>
      </c>
      <c r="Q707" s="74">
        <v>40147</v>
      </c>
      <c r="R707" s="74"/>
      <c r="S707" s="72" t="s">
        <v>11</v>
      </c>
      <c r="T707" s="80" t="s">
        <v>4</v>
      </c>
      <c r="U707" s="72" t="s">
        <v>14</v>
      </c>
      <c r="V707" s="72" t="s">
        <v>1942</v>
      </c>
      <c r="W707" s="72" t="s">
        <v>1938</v>
      </c>
      <c r="X707" s="72" t="s">
        <v>2929</v>
      </c>
      <c r="Y707" s="72" t="s">
        <v>4</v>
      </c>
      <c r="Z707" s="72" t="s">
        <v>4</v>
      </c>
      <c r="AA707" s="147" t="s">
        <v>2929</v>
      </c>
    </row>
    <row r="708" spans="1:27" ht="18.600000000000001" customHeight="1">
      <c r="A708" s="140" t="str">
        <f>IF(priority(Main[[#This Row],[Comments]])&lt;&gt;0, priority(Main[[#This Row],[Comments]]),"")</f>
        <v/>
      </c>
      <c r="B708" s="90" t="s">
        <v>1562</v>
      </c>
      <c r="C708" s="72" t="s">
        <v>4</v>
      </c>
      <c r="D708" s="73" t="s">
        <v>635</v>
      </c>
      <c r="E708" s="74"/>
      <c r="F708" s="74"/>
      <c r="G708" s="75" t="str">
        <f>IF(stdProdLT(Main[[#This Row],[Comments]])=0.1,"N/A",IF(stdProdLT(Main[[#This Row],[Comments]])=0,"",stdProdLT(Main[[#This Row],[Comments]])))</f>
        <v/>
      </c>
      <c r="H708" s="76" t="str">
        <f>IF(AND(Main[[#This Row],[In Stock Date]]&lt;&gt;"",Main[[#This Row],[Revised Due Date]]&lt;&gt;""),Main[[#This Row],[In Stock Date]]-Main[[#This Row],[Revised Due Date]],"")</f>
        <v/>
      </c>
      <c r="I708" s="72" t="s">
        <v>4</v>
      </c>
      <c r="J708" s="72" t="s">
        <v>28</v>
      </c>
      <c r="K708" s="72" t="s">
        <v>1945</v>
      </c>
      <c r="L708" s="74"/>
      <c r="M708" s="77" t="str">
        <f>IF(Main[[#This Row],[Tech Start Date]]&lt;1/1/1990,"",IF(Main[[#This Row],[Class]]="C",WORKDAY(Main[[#This Row],[Tech Start Date]],9),IF(Main[[#This Row],[Class]]="B", WORKDAY(Main[[#This Row],[Tech Start Date]],6),IF(Main[[#This Row],[Class]]="A",WORKDAY(Main[[#This Row],[Tech Start Date]],2),""))))</f>
        <v/>
      </c>
      <c r="N708" s="77" t="str">
        <f>IF(Main[[#This Row],[Tech Start Date]]&lt;1/1/1990,"",IF(Main[[#This Row],[Class]]="C",WORKDAY(Main[[#This Row],[Tech Start Date]],19),IF(Main[[#This Row],[Class]]="B", WORKDAY(Main[[#This Row],[Tech Start Date]],12),IF(Main[[#This Row],[Class]]="A",WORKDAY(Main[[#This Row],[Tech Start Date]],4),""))))</f>
        <v/>
      </c>
      <c r="O708" s="77" t="str">
        <f>IF(Main[[#This Row],[Tech Start Date]]&lt;1/1/1990,"",IF(Main[[#This Row],[Class]]="C",WORKDAY(Main[[#This Row],[Tech Start Date]],23),IF(Main[[#This Row],[Class]]="B", WORKDAY(Main[[#This Row],[Tech Start Date]],15),IF(Main[[#This Row],[Class]]="A",WORKDAY(Main[[#This Row],[Tech Start Date]],5),""))))</f>
        <v/>
      </c>
      <c r="P708" s="77" t="str">
        <f>IF(Main[[#This Row],[Tech Start Date]]&lt;1/1/1990,"",IF(Main[[#This Row],[Class]]="C",WORKDAY(Main[[#This Row],[Tech Start Date]],28),IF(Main[[#This Row],[Class]]="B", WORKDAY(Main[[#This Row],[Tech Start Date]],19),IF(Main[[#This Row],[Class]]="A",WORKDAY(Main[[#This Row],[Tech Start Date]],9),""))))</f>
        <v/>
      </c>
      <c r="Q708" s="74"/>
      <c r="R708" s="74"/>
      <c r="S708" s="72" t="s">
        <v>11</v>
      </c>
      <c r="T708" s="80" t="s">
        <v>4</v>
      </c>
      <c r="U708" s="72" t="s">
        <v>14</v>
      </c>
      <c r="V708" s="72" t="s">
        <v>1932</v>
      </c>
      <c r="W708" s="72" t="s">
        <v>1936</v>
      </c>
      <c r="X708" s="72" t="s">
        <v>2074</v>
      </c>
      <c r="Y708" s="72" t="s">
        <v>3089</v>
      </c>
      <c r="Z708" s="72" t="s">
        <v>129</v>
      </c>
      <c r="AA708" s="147" t="s">
        <v>2074</v>
      </c>
    </row>
    <row r="709" spans="1:27" ht="18.600000000000001" customHeight="1">
      <c r="A709" s="140" t="str">
        <f>IF(priority(Main[[#This Row],[Comments]])&lt;&gt;0, priority(Main[[#This Row],[Comments]]),"")</f>
        <v/>
      </c>
      <c r="B709" s="90" t="s">
        <v>1132</v>
      </c>
      <c r="C709" s="72" t="s">
        <v>4</v>
      </c>
      <c r="D709" s="73" t="s">
        <v>170</v>
      </c>
      <c r="E709" s="74"/>
      <c r="F709" s="74"/>
      <c r="G709" s="75" t="str">
        <f>IF(stdProdLT(Main[[#This Row],[Comments]])=0.1,"N/A",IF(stdProdLT(Main[[#This Row],[Comments]])=0,"",stdProdLT(Main[[#This Row],[Comments]])))</f>
        <v/>
      </c>
      <c r="H709" s="76" t="str">
        <f>IF(AND(Main[[#This Row],[In Stock Date]]&lt;&gt;"",Main[[#This Row],[Revised Due Date]]&lt;&gt;""),Main[[#This Row],[In Stock Date]]-Main[[#This Row],[Revised Due Date]],"")</f>
        <v/>
      </c>
      <c r="I709" s="72" t="s">
        <v>4</v>
      </c>
      <c r="J709" s="72" t="s">
        <v>4</v>
      </c>
      <c r="K709" s="72" t="s">
        <v>4</v>
      </c>
      <c r="L709" s="74"/>
      <c r="M709" s="77" t="str">
        <f>IF(Main[[#This Row],[Tech Start Date]]&lt;1/1/1990,"",IF(Main[[#This Row],[Class]]="C",WORKDAY(Main[[#This Row],[Tech Start Date]],9),IF(Main[[#This Row],[Class]]="B", WORKDAY(Main[[#This Row],[Tech Start Date]],6),IF(Main[[#This Row],[Class]]="A",WORKDAY(Main[[#This Row],[Tech Start Date]],2),""))))</f>
        <v/>
      </c>
      <c r="N709" s="77" t="str">
        <f>IF(Main[[#This Row],[Tech Start Date]]&lt;1/1/1990,"",IF(Main[[#This Row],[Class]]="C",WORKDAY(Main[[#This Row],[Tech Start Date]],19),IF(Main[[#This Row],[Class]]="B", WORKDAY(Main[[#This Row],[Tech Start Date]],12),IF(Main[[#This Row],[Class]]="A",WORKDAY(Main[[#This Row],[Tech Start Date]],4),""))))</f>
        <v/>
      </c>
      <c r="O709" s="77" t="str">
        <f>IF(Main[[#This Row],[Tech Start Date]]&lt;1/1/1990,"",IF(Main[[#This Row],[Class]]="C",WORKDAY(Main[[#This Row],[Tech Start Date]],23),IF(Main[[#This Row],[Class]]="B", WORKDAY(Main[[#This Row],[Tech Start Date]],15),IF(Main[[#This Row],[Class]]="A",WORKDAY(Main[[#This Row],[Tech Start Date]],5),""))))</f>
        <v/>
      </c>
      <c r="P709" s="77" t="str">
        <f>IF(Main[[#This Row],[Tech Start Date]]&lt;1/1/1990,"",IF(Main[[#This Row],[Class]]="C",WORKDAY(Main[[#This Row],[Tech Start Date]],28),IF(Main[[#This Row],[Class]]="B", WORKDAY(Main[[#This Row],[Tech Start Date]],19),IF(Main[[#This Row],[Class]]="A",WORKDAY(Main[[#This Row],[Tech Start Date]],9),""))))</f>
        <v/>
      </c>
      <c r="Q709" s="74">
        <v>40737</v>
      </c>
      <c r="R709" s="74"/>
      <c r="S709" s="72" t="s">
        <v>6</v>
      </c>
      <c r="T709" s="80" t="s">
        <v>4</v>
      </c>
      <c r="U709" s="72" t="s">
        <v>14</v>
      </c>
      <c r="V709" s="72" t="s">
        <v>1935</v>
      </c>
      <c r="W709" s="72" t="s">
        <v>1936</v>
      </c>
      <c r="X709" s="72" t="s">
        <v>2920</v>
      </c>
      <c r="Y709" s="72" t="s">
        <v>3052</v>
      </c>
      <c r="Z709" s="72" t="s">
        <v>4</v>
      </c>
      <c r="AA709" s="147" t="s">
        <v>2920</v>
      </c>
    </row>
    <row r="710" spans="1:27" ht="18.600000000000001" customHeight="1">
      <c r="A710" s="140" t="str">
        <f>IF(priority(Main[[#This Row],[Comments]])&lt;&gt;0, priority(Main[[#This Row],[Comments]]),"")</f>
        <v/>
      </c>
      <c r="B710" s="90" t="s">
        <v>1917</v>
      </c>
      <c r="C710" s="72" t="s">
        <v>72</v>
      </c>
      <c r="D710" s="73" t="s">
        <v>2117</v>
      </c>
      <c r="E710" s="74">
        <v>40469.931226851855</v>
      </c>
      <c r="F710" s="74">
        <v>40487</v>
      </c>
      <c r="G710" s="75" t="str">
        <f>IF(stdProdLT(Main[[#This Row],[Comments]])=0.1,"N/A",IF(stdProdLT(Main[[#This Row],[Comments]])=0,"",stdProdLT(Main[[#This Row],[Comments]])))</f>
        <v/>
      </c>
      <c r="H710" s="76">
        <f>IF(AND(Main[[#This Row],[In Stock Date]]&lt;&gt;"",Main[[#This Row],[Revised Due Date]]&lt;&gt;""),Main[[#This Row],[In Stock Date]]-Main[[#This Row],[Revised Due Date]],"")</f>
        <v>-294</v>
      </c>
      <c r="I710" s="72" t="s">
        <v>2075</v>
      </c>
      <c r="J710" s="72" t="s">
        <v>52</v>
      </c>
      <c r="K710" s="72" t="s">
        <v>1939</v>
      </c>
      <c r="L710" s="74"/>
      <c r="M710" s="77" t="str">
        <f>IF(Main[[#This Row],[Tech Start Date]]&lt;1/1/1990,"",IF(Main[[#This Row],[Class]]="C",WORKDAY(Main[[#This Row],[Tech Start Date]],9),IF(Main[[#This Row],[Class]]="B", WORKDAY(Main[[#This Row],[Tech Start Date]],6),IF(Main[[#This Row],[Class]]="A",WORKDAY(Main[[#This Row],[Tech Start Date]],2),""))))</f>
        <v/>
      </c>
      <c r="N710" s="77" t="str">
        <f>IF(Main[[#This Row],[Tech Start Date]]&lt;1/1/1990,"",IF(Main[[#This Row],[Class]]="C",WORKDAY(Main[[#This Row],[Tech Start Date]],19),IF(Main[[#This Row],[Class]]="B", WORKDAY(Main[[#This Row],[Tech Start Date]],12),IF(Main[[#This Row],[Class]]="A",WORKDAY(Main[[#This Row],[Tech Start Date]],4),""))))</f>
        <v/>
      </c>
      <c r="O710" s="77" t="str">
        <f>IF(Main[[#This Row],[Tech Start Date]]&lt;1/1/1990,"",IF(Main[[#This Row],[Class]]="C",WORKDAY(Main[[#This Row],[Tech Start Date]],23),IF(Main[[#This Row],[Class]]="B", WORKDAY(Main[[#This Row],[Tech Start Date]],15),IF(Main[[#This Row],[Class]]="A",WORKDAY(Main[[#This Row],[Tech Start Date]],5),""))))</f>
        <v/>
      </c>
      <c r="P710" s="77" t="str">
        <f>IF(Main[[#This Row],[Tech Start Date]]&lt;1/1/1990,"",IF(Main[[#This Row],[Class]]="C",WORKDAY(Main[[#This Row],[Tech Start Date]],28),IF(Main[[#This Row],[Class]]="B", WORKDAY(Main[[#This Row],[Tech Start Date]],19),IF(Main[[#This Row],[Class]]="A",WORKDAY(Main[[#This Row],[Tech Start Date]],9),""))))</f>
        <v/>
      </c>
      <c r="Q710" s="74"/>
      <c r="R710" s="74">
        <v>40781</v>
      </c>
      <c r="S710" s="72" t="s">
        <v>6</v>
      </c>
      <c r="T710" s="80" t="s">
        <v>2118</v>
      </c>
      <c r="U710" s="72" t="s">
        <v>29</v>
      </c>
      <c r="V710" s="72" t="s">
        <v>1933</v>
      </c>
      <c r="W710" s="72" t="s">
        <v>1934</v>
      </c>
      <c r="X710" s="72" t="s">
        <v>2985</v>
      </c>
      <c r="Y710" s="72" t="s">
        <v>3166</v>
      </c>
      <c r="Z710" s="72" t="s">
        <v>108</v>
      </c>
      <c r="AA710" s="147" t="s">
        <v>2985</v>
      </c>
    </row>
    <row r="711" spans="1:27" ht="18.600000000000001" customHeight="1">
      <c r="A711" s="140" t="str">
        <f>IF(priority(Main[[#This Row],[Comments]])&lt;&gt;0, priority(Main[[#This Row],[Comments]]),"")</f>
        <v/>
      </c>
      <c r="B711" s="90" t="s">
        <v>1563</v>
      </c>
      <c r="C711" s="72" t="s">
        <v>4</v>
      </c>
      <c r="D711" s="73" t="s">
        <v>39</v>
      </c>
      <c r="E711" s="74"/>
      <c r="F711" s="74"/>
      <c r="G711" s="75" t="str">
        <f>IF(stdProdLT(Main[[#This Row],[Comments]])=0.1,"N/A",IF(stdProdLT(Main[[#This Row],[Comments]])=0,"",stdProdLT(Main[[#This Row],[Comments]])))</f>
        <v/>
      </c>
      <c r="H711" s="76" t="str">
        <f>IF(AND(Main[[#This Row],[In Stock Date]]&lt;&gt;"",Main[[#This Row],[Revised Due Date]]&lt;&gt;""),Main[[#This Row],[In Stock Date]]-Main[[#This Row],[Revised Due Date]],"")</f>
        <v/>
      </c>
      <c r="I711" s="72" t="s">
        <v>4</v>
      </c>
      <c r="J711" s="72" t="s">
        <v>4</v>
      </c>
      <c r="K711" s="72" t="s">
        <v>4</v>
      </c>
      <c r="L711" s="74"/>
      <c r="M711" s="77" t="str">
        <f>IF(Main[[#This Row],[Tech Start Date]]&lt;1/1/1990,"",IF(Main[[#This Row],[Class]]="C",WORKDAY(Main[[#This Row],[Tech Start Date]],9),IF(Main[[#This Row],[Class]]="B", WORKDAY(Main[[#This Row],[Tech Start Date]],6),IF(Main[[#This Row],[Class]]="A",WORKDAY(Main[[#This Row],[Tech Start Date]],2),""))))</f>
        <v/>
      </c>
      <c r="N711" s="77" t="str">
        <f>IF(Main[[#This Row],[Tech Start Date]]&lt;1/1/1990,"",IF(Main[[#This Row],[Class]]="C",WORKDAY(Main[[#This Row],[Tech Start Date]],19),IF(Main[[#This Row],[Class]]="B", WORKDAY(Main[[#This Row],[Tech Start Date]],12),IF(Main[[#This Row],[Class]]="A",WORKDAY(Main[[#This Row],[Tech Start Date]],4),""))))</f>
        <v/>
      </c>
      <c r="O711" s="77" t="str">
        <f>IF(Main[[#This Row],[Tech Start Date]]&lt;1/1/1990,"",IF(Main[[#This Row],[Class]]="C",WORKDAY(Main[[#This Row],[Tech Start Date]],23),IF(Main[[#This Row],[Class]]="B", WORKDAY(Main[[#This Row],[Tech Start Date]],15),IF(Main[[#This Row],[Class]]="A",WORKDAY(Main[[#This Row],[Tech Start Date]],5),""))))</f>
        <v/>
      </c>
      <c r="P711" s="77" t="str">
        <f>IF(Main[[#This Row],[Tech Start Date]]&lt;1/1/1990,"",IF(Main[[#This Row],[Class]]="C",WORKDAY(Main[[#This Row],[Tech Start Date]],28),IF(Main[[#This Row],[Class]]="B", WORKDAY(Main[[#This Row],[Tech Start Date]],19),IF(Main[[#This Row],[Class]]="A",WORKDAY(Main[[#This Row],[Tech Start Date]],9),""))))</f>
        <v/>
      </c>
      <c r="Q711" s="74">
        <v>40669</v>
      </c>
      <c r="R711" s="74"/>
      <c r="S711" s="72" t="s">
        <v>6</v>
      </c>
      <c r="T711" s="80" t="s">
        <v>4</v>
      </c>
      <c r="U711" s="72" t="s">
        <v>14</v>
      </c>
      <c r="V711" s="72" t="s">
        <v>1935</v>
      </c>
      <c r="W711" s="72" t="s">
        <v>4</v>
      </c>
      <c r="X711" s="72" t="s">
        <v>2902</v>
      </c>
      <c r="Y711" s="72" t="s">
        <v>3016</v>
      </c>
      <c r="Z711" s="72" t="s">
        <v>4</v>
      </c>
      <c r="AA711" s="147" t="s">
        <v>2902</v>
      </c>
    </row>
    <row r="712" spans="1:27" ht="18.600000000000001" customHeight="1">
      <c r="A712" s="140" t="str">
        <f>IF(priority(Main[[#This Row],[Comments]])&lt;&gt;0, priority(Main[[#This Row],[Comments]]),"")</f>
        <v/>
      </c>
      <c r="B712" s="90" t="s">
        <v>2783</v>
      </c>
      <c r="C712" s="72" t="s">
        <v>4</v>
      </c>
      <c r="D712" s="73" t="s">
        <v>3340</v>
      </c>
      <c r="E712" s="74">
        <v>40917.478506944448</v>
      </c>
      <c r="F712" s="74"/>
      <c r="G712" s="75" t="str">
        <f>IF(stdProdLT(Main[[#This Row],[Comments]])=0.1,"N/A",IF(stdProdLT(Main[[#This Row],[Comments]])=0,"",stdProdLT(Main[[#This Row],[Comments]])))</f>
        <v/>
      </c>
      <c r="H712" s="76" t="str">
        <f>IF(AND(Main[[#This Row],[In Stock Date]]&lt;&gt;"",Main[[#This Row],[Revised Due Date]]&lt;&gt;""),Main[[#This Row],[In Stock Date]]-Main[[#This Row],[Revised Due Date]],"")</f>
        <v/>
      </c>
      <c r="I712" s="72" t="s">
        <v>4</v>
      </c>
      <c r="J712" s="72" t="s">
        <v>4</v>
      </c>
      <c r="K712" s="72" t="s">
        <v>4</v>
      </c>
      <c r="L712" s="74"/>
      <c r="M712" s="77" t="str">
        <f>IF(Main[[#This Row],[Tech Start Date]]&lt;1/1/1990,"",IF(Main[[#This Row],[Class]]="C",WORKDAY(Main[[#This Row],[Tech Start Date]],9),IF(Main[[#This Row],[Class]]="B", WORKDAY(Main[[#This Row],[Tech Start Date]],6),IF(Main[[#This Row],[Class]]="A",WORKDAY(Main[[#This Row],[Tech Start Date]],2),""))))</f>
        <v/>
      </c>
      <c r="N712" s="77" t="str">
        <f>IF(Main[[#This Row],[Tech Start Date]]&lt;1/1/1990,"",IF(Main[[#This Row],[Class]]="C",WORKDAY(Main[[#This Row],[Tech Start Date]],19),IF(Main[[#This Row],[Class]]="B", WORKDAY(Main[[#This Row],[Tech Start Date]],12),IF(Main[[#This Row],[Class]]="A",WORKDAY(Main[[#This Row],[Tech Start Date]],4),""))))</f>
        <v/>
      </c>
      <c r="O712" s="77" t="str">
        <f>IF(Main[[#This Row],[Tech Start Date]]&lt;1/1/1990,"",IF(Main[[#This Row],[Class]]="C",WORKDAY(Main[[#This Row],[Tech Start Date]],23),IF(Main[[#This Row],[Class]]="B", WORKDAY(Main[[#This Row],[Tech Start Date]],15),IF(Main[[#This Row],[Class]]="A",WORKDAY(Main[[#This Row],[Tech Start Date]],5),""))))</f>
        <v/>
      </c>
      <c r="P712" s="77" t="str">
        <f>IF(Main[[#This Row],[Tech Start Date]]&lt;1/1/1990,"",IF(Main[[#This Row],[Class]]="C",WORKDAY(Main[[#This Row],[Tech Start Date]],28),IF(Main[[#This Row],[Class]]="B", WORKDAY(Main[[#This Row],[Tech Start Date]],19),IF(Main[[#This Row],[Class]]="A",WORKDAY(Main[[#This Row],[Tech Start Date]],9),""))))</f>
        <v/>
      </c>
      <c r="Q712" s="74"/>
      <c r="R712" s="74"/>
      <c r="S712" s="72" t="s">
        <v>6</v>
      </c>
      <c r="T712" s="80" t="s">
        <v>4</v>
      </c>
      <c r="U712" s="72" t="s">
        <v>7</v>
      </c>
      <c r="V712" s="72" t="s">
        <v>1932</v>
      </c>
      <c r="W712" s="72" t="s">
        <v>1936</v>
      </c>
      <c r="X712" s="72" t="s">
        <v>102</v>
      </c>
      <c r="Y712" s="72" t="s">
        <v>3167</v>
      </c>
      <c r="Z712" s="72" t="s">
        <v>4</v>
      </c>
      <c r="AA712" s="147" t="s">
        <v>3573</v>
      </c>
    </row>
    <row r="713" spans="1:27" ht="18.600000000000001" customHeight="1">
      <c r="A713" s="140" t="str">
        <f>IF(priority(Main[[#This Row],[Comments]])&lt;&gt;0, priority(Main[[#This Row],[Comments]]),"")</f>
        <v/>
      </c>
      <c r="B713" s="90" t="s">
        <v>1565</v>
      </c>
      <c r="C713" s="72" t="s">
        <v>4</v>
      </c>
      <c r="D713" s="73" t="s">
        <v>636</v>
      </c>
      <c r="E713" s="74">
        <v>40371.35765046296</v>
      </c>
      <c r="F713" s="74"/>
      <c r="G713" s="75" t="str">
        <f>IF(stdProdLT(Main[[#This Row],[Comments]])=0.1,"N/A",IF(stdProdLT(Main[[#This Row],[Comments]])=0,"",stdProdLT(Main[[#This Row],[Comments]])))</f>
        <v/>
      </c>
      <c r="H713" s="76" t="str">
        <f>IF(AND(Main[[#This Row],[In Stock Date]]&lt;&gt;"",Main[[#This Row],[Revised Due Date]]&lt;&gt;""),Main[[#This Row],[In Stock Date]]-Main[[#This Row],[Revised Due Date]],"")</f>
        <v/>
      </c>
      <c r="I713" s="72" t="s">
        <v>4</v>
      </c>
      <c r="J713" s="72" t="s">
        <v>4</v>
      </c>
      <c r="K713" s="72" t="s">
        <v>4</v>
      </c>
      <c r="L713" s="74"/>
      <c r="M713" s="77" t="str">
        <f>IF(Main[[#This Row],[Tech Start Date]]&lt;1/1/1990,"",IF(Main[[#This Row],[Class]]="C",WORKDAY(Main[[#This Row],[Tech Start Date]],9),IF(Main[[#This Row],[Class]]="B", WORKDAY(Main[[#This Row],[Tech Start Date]],6),IF(Main[[#This Row],[Class]]="A",WORKDAY(Main[[#This Row],[Tech Start Date]],2),""))))</f>
        <v/>
      </c>
      <c r="N713" s="77" t="str">
        <f>IF(Main[[#This Row],[Tech Start Date]]&lt;1/1/1990,"",IF(Main[[#This Row],[Class]]="C",WORKDAY(Main[[#This Row],[Tech Start Date]],19),IF(Main[[#This Row],[Class]]="B", WORKDAY(Main[[#This Row],[Tech Start Date]],12),IF(Main[[#This Row],[Class]]="A",WORKDAY(Main[[#This Row],[Tech Start Date]],4),""))))</f>
        <v/>
      </c>
      <c r="O713" s="77" t="str">
        <f>IF(Main[[#This Row],[Tech Start Date]]&lt;1/1/1990,"",IF(Main[[#This Row],[Class]]="C",WORKDAY(Main[[#This Row],[Tech Start Date]],23),IF(Main[[#This Row],[Class]]="B", WORKDAY(Main[[#This Row],[Tech Start Date]],15),IF(Main[[#This Row],[Class]]="A",WORKDAY(Main[[#This Row],[Tech Start Date]],5),""))))</f>
        <v/>
      </c>
      <c r="P713" s="77" t="str">
        <f>IF(Main[[#This Row],[Tech Start Date]]&lt;1/1/1990,"",IF(Main[[#This Row],[Class]]="C",WORKDAY(Main[[#This Row],[Tech Start Date]],28),IF(Main[[#This Row],[Class]]="B", WORKDAY(Main[[#This Row],[Tech Start Date]],19),IF(Main[[#This Row],[Class]]="A",WORKDAY(Main[[#This Row],[Tech Start Date]],9),""))))</f>
        <v/>
      </c>
      <c r="Q713" s="74">
        <v>40385</v>
      </c>
      <c r="R713" s="74"/>
      <c r="S713" s="72" t="s">
        <v>6</v>
      </c>
      <c r="T713" s="80" t="s">
        <v>4</v>
      </c>
      <c r="U713" s="72" t="s">
        <v>7</v>
      </c>
      <c r="V713" s="72" t="s">
        <v>1932</v>
      </c>
      <c r="W713" s="72" t="s">
        <v>1934</v>
      </c>
      <c r="X713" s="72" t="s">
        <v>102</v>
      </c>
      <c r="Y713" s="72" t="s">
        <v>3119</v>
      </c>
      <c r="Z713" s="72" t="s">
        <v>4</v>
      </c>
      <c r="AA713" s="147" t="s">
        <v>3584</v>
      </c>
    </row>
    <row r="714" spans="1:27" ht="18.600000000000001" customHeight="1">
      <c r="A714" s="140" t="str">
        <f>IF(priority(Main[[#This Row],[Comments]])&lt;&gt;0, priority(Main[[#This Row],[Comments]]),"")</f>
        <v/>
      </c>
      <c r="B714" s="90" t="s">
        <v>1566</v>
      </c>
      <c r="C714" s="72" t="s">
        <v>4</v>
      </c>
      <c r="D714" s="73" t="s">
        <v>637</v>
      </c>
      <c r="E714" s="74">
        <v>40371.37263888889</v>
      </c>
      <c r="F714" s="74"/>
      <c r="G714" s="75" t="str">
        <f>IF(stdProdLT(Main[[#This Row],[Comments]])=0.1,"N/A",IF(stdProdLT(Main[[#This Row],[Comments]])=0,"",stdProdLT(Main[[#This Row],[Comments]])))</f>
        <v/>
      </c>
      <c r="H714" s="76" t="str">
        <f>IF(AND(Main[[#This Row],[In Stock Date]]&lt;&gt;"",Main[[#This Row],[Revised Due Date]]&lt;&gt;""),Main[[#This Row],[In Stock Date]]-Main[[#This Row],[Revised Due Date]],"")</f>
        <v/>
      </c>
      <c r="I714" s="72" t="s">
        <v>4</v>
      </c>
      <c r="J714" s="72" t="s">
        <v>4</v>
      </c>
      <c r="K714" s="72" t="s">
        <v>4</v>
      </c>
      <c r="L714" s="74"/>
      <c r="M714" s="77" t="str">
        <f>IF(Main[[#This Row],[Tech Start Date]]&lt;1/1/1990,"",IF(Main[[#This Row],[Class]]="C",WORKDAY(Main[[#This Row],[Tech Start Date]],9),IF(Main[[#This Row],[Class]]="B", WORKDAY(Main[[#This Row],[Tech Start Date]],6),IF(Main[[#This Row],[Class]]="A",WORKDAY(Main[[#This Row],[Tech Start Date]],2),""))))</f>
        <v/>
      </c>
      <c r="N714" s="77" t="str">
        <f>IF(Main[[#This Row],[Tech Start Date]]&lt;1/1/1990,"",IF(Main[[#This Row],[Class]]="C",WORKDAY(Main[[#This Row],[Tech Start Date]],19),IF(Main[[#This Row],[Class]]="B", WORKDAY(Main[[#This Row],[Tech Start Date]],12),IF(Main[[#This Row],[Class]]="A",WORKDAY(Main[[#This Row],[Tech Start Date]],4),""))))</f>
        <v/>
      </c>
      <c r="O714" s="77" t="str">
        <f>IF(Main[[#This Row],[Tech Start Date]]&lt;1/1/1990,"",IF(Main[[#This Row],[Class]]="C",WORKDAY(Main[[#This Row],[Tech Start Date]],23),IF(Main[[#This Row],[Class]]="B", WORKDAY(Main[[#This Row],[Tech Start Date]],15),IF(Main[[#This Row],[Class]]="A",WORKDAY(Main[[#This Row],[Tech Start Date]],5),""))))</f>
        <v/>
      </c>
      <c r="P714" s="77" t="str">
        <f>IF(Main[[#This Row],[Tech Start Date]]&lt;1/1/1990,"",IF(Main[[#This Row],[Class]]="C",WORKDAY(Main[[#This Row],[Tech Start Date]],28),IF(Main[[#This Row],[Class]]="B", WORKDAY(Main[[#This Row],[Tech Start Date]],19),IF(Main[[#This Row],[Class]]="A",WORKDAY(Main[[#This Row],[Tech Start Date]],9),""))))</f>
        <v/>
      </c>
      <c r="Q714" s="74">
        <v>40385</v>
      </c>
      <c r="R714" s="74"/>
      <c r="S714" s="72" t="s">
        <v>6</v>
      </c>
      <c r="T714" s="80" t="s">
        <v>4</v>
      </c>
      <c r="U714" s="72" t="s">
        <v>7</v>
      </c>
      <c r="V714" s="72" t="s">
        <v>1932</v>
      </c>
      <c r="W714" s="72" t="s">
        <v>1934</v>
      </c>
      <c r="X714" s="72" t="s">
        <v>102</v>
      </c>
      <c r="Y714" s="72" t="s">
        <v>3119</v>
      </c>
      <c r="Z714" s="72" t="s">
        <v>4</v>
      </c>
      <c r="AA714" s="147" t="s">
        <v>3584</v>
      </c>
    </row>
    <row r="715" spans="1:27" ht="18.600000000000001" customHeight="1">
      <c r="A715" s="140" t="str">
        <f>IF(priority(Main[[#This Row],[Comments]])&lt;&gt;0, priority(Main[[#This Row],[Comments]]),"")</f>
        <v/>
      </c>
      <c r="B715" s="90" t="s">
        <v>1568</v>
      </c>
      <c r="C715" s="72" t="s">
        <v>95</v>
      </c>
      <c r="D715" s="73" t="s">
        <v>641</v>
      </c>
      <c r="E715" s="74"/>
      <c r="F715" s="74">
        <v>40195</v>
      </c>
      <c r="G715" s="75" t="str">
        <f>IF(stdProdLT(Main[[#This Row],[Comments]])=0.1,"N/A",IF(stdProdLT(Main[[#This Row],[Comments]])=0,"",stdProdLT(Main[[#This Row],[Comments]])))</f>
        <v/>
      </c>
      <c r="H715" s="76" t="str">
        <f>IF(AND(Main[[#This Row],[In Stock Date]]&lt;&gt;"",Main[[#This Row],[Revised Due Date]]&lt;&gt;""),Main[[#This Row],[In Stock Date]]-Main[[#This Row],[Revised Due Date]],"")</f>
        <v/>
      </c>
      <c r="I715" s="72" t="s">
        <v>4</v>
      </c>
      <c r="J715" s="72" t="s">
        <v>4</v>
      </c>
      <c r="K715" s="72" t="s">
        <v>4</v>
      </c>
      <c r="L715" s="74"/>
      <c r="M715" s="77" t="str">
        <f>IF(Main[[#This Row],[Tech Start Date]]&lt;1/1/1990,"",IF(Main[[#This Row],[Class]]="C",WORKDAY(Main[[#This Row],[Tech Start Date]],9),IF(Main[[#This Row],[Class]]="B", WORKDAY(Main[[#This Row],[Tech Start Date]],6),IF(Main[[#This Row],[Class]]="A",WORKDAY(Main[[#This Row],[Tech Start Date]],2),""))))</f>
        <v/>
      </c>
      <c r="N715" s="77" t="str">
        <f>IF(Main[[#This Row],[Tech Start Date]]&lt;1/1/1990,"",IF(Main[[#This Row],[Class]]="C",WORKDAY(Main[[#This Row],[Tech Start Date]],19),IF(Main[[#This Row],[Class]]="B", WORKDAY(Main[[#This Row],[Tech Start Date]],12),IF(Main[[#This Row],[Class]]="A",WORKDAY(Main[[#This Row],[Tech Start Date]],4),""))))</f>
        <v/>
      </c>
      <c r="O715" s="77" t="str">
        <f>IF(Main[[#This Row],[Tech Start Date]]&lt;1/1/1990,"",IF(Main[[#This Row],[Class]]="C",WORKDAY(Main[[#This Row],[Tech Start Date]],23),IF(Main[[#This Row],[Class]]="B", WORKDAY(Main[[#This Row],[Tech Start Date]],15),IF(Main[[#This Row],[Class]]="A",WORKDAY(Main[[#This Row],[Tech Start Date]],5),""))))</f>
        <v/>
      </c>
      <c r="P715" s="77" t="str">
        <f>IF(Main[[#This Row],[Tech Start Date]]&lt;1/1/1990,"",IF(Main[[#This Row],[Class]]="C",WORKDAY(Main[[#This Row],[Tech Start Date]],28),IF(Main[[#This Row],[Class]]="B", WORKDAY(Main[[#This Row],[Tech Start Date]],19),IF(Main[[#This Row],[Class]]="A",WORKDAY(Main[[#This Row],[Tech Start Date]],9),""))))</f>
        <v/>
      </c>
      <c r="Q715" s="74">
        <v>40070</v>
      </c>
      <c r="R715" s="74"/>
      <c r="S715" s="72" t="s">
        <v>11</v>
      </c>
      <c r="T715" s="80" t="s">
        <v>4</v>
      </c>
      <c r="U715" s="72" t="s">
        <v>14</v>
      </c>
      <c r="V715" s="72" t="s">
        <v>1935</v>
      </c>
      <c r="W715" s="72" t="s">
        <v>1938</v>
      </c>
      <c r="X715" s="72" t="s">
        <v>2960</v>
      </c>
      <c r="Y715" s="72" t="s">
        <v>4</v>
      </c>
      <c r="Z715" s="72" t="s">
        <v>4</v>
      </c>
      <c r="AA715" s="147" t="s">
        <v>3594</v>
      </c>
    </row>
    <row r="716" spans="1:27" ht="18.600000000000001" customHeight="1">
      <c r="A716" s="140" t="str">
        <f>IF(priority(Main[[#This Row],[Comments]])&lt;&gt;0, priority(Main[[#This Row],[Comments]]),"")</f>
        <v/>
      </c>
      <c r="B716" s="90" t="s">
        <v>1569</v>
      </c>
      <c r="C716" s="72" t="s">
        <v>4</v>
      </c>
      <c r="D716" s="73" t="s">
        <v>638</v>
      </c>
      <c r="E716" s="74"/>
      <c r="F716" s="74"/>
      <c r="G716" s="75" t="str">
        <f>IF(stdProdLT(Main[[#This Row],[Comments]])=0.1,"N/A",IF(stdProdLT(Main[[#This Row],[Comments]])=0,"",stdProdLT(Main[[#This Row],[Comments]])))</f>
        <v/>
      </c>
      <c r="H716" s="76" t="str">
        <f>IF(AND(Main[[#This Row],[In Stock Date]]&lt;&gt;"",Main[[#This Row],[Revised Due Date]]&lt;&gt;""),Main[[#This Row],[In Stock Date]]-Main[[#This Row],[Revised Due Date]],"")</f>
        <v/>
      </c>
      <c r="I716" s="72" t="s">
        <v>403</v>
      </c>
      <c r="J716" s="72" t="s">
        <v>75</v>
      </c>
      <c r="K716" s="72" t="s">
        <v>4</v>
      </c>
      <c r="L716" s="74"/>
      <c r="M716" s="77" t="str">
        <f>IF(Main[[#This Row],[Tech Start Date]]&lt;1/1/1990,"",IF(Main[[#This Row],[Class]]="C",WORKDAY(Main[[#This Row],[Tech Start Date]],9),IF(Main[[#This Row],[Class]]="B", WORKDAY(Main[[#This Row],[Tech Start Date]],6),IF(Main[[#This Row],[Class]]="A",WORKDAY(Main[[#This Row],[Tech Start Date]],2),""))))</f>
        <v/>
      </c>
      <c r="N716" s="77" t="str">
        <f>IF(Main[[#This Row],[Tech Start Date]]&lt;1/1/1990,"",IF(Main[[#This Row],[Class]]="C",WORKDAY(Main[[#This Row],[Tech Start Date]],19),IF(Main[[#This Row],[Class]]="B", WORKDAY(Main[[#This Row],[Tech Start Date]],12),IF(Main[[#This Row],[Class]]="A",WORKDAY(Main[[#This Row],[Tech Start Date]],4),""))))</f>
        <v/>
      </c>
      <c r="O716" s="77" t="str">
        <f>IF(Main[[#This Row],[Tech Start Date]]&lt;1/1/1990,"",IF(Main[[#This Row],[Class]]="C",WORKDAY(Main[[#This Row],[Tech Start Date]],23),IF(Main[[#This Row],[Class]]="B", WORKDAY(Main[[#This Row],[Tech Start Date]],15),IF(Main[[#This Row],[Class]]="A",WORKDAY(Main[[#This Row],[Tech Start Date]],5),""))))</f>
        <v/>
      </c>
      <c r="P716" s="77" t="str">
        <f>IF(Main[[#This Row],[Tech Start Date]]&lt;1/1/1990,"",IF(Main[[#This Row],[Class]]="C",WORKDAY(Main[[#This Row],[Tech Start Date]],28),IF(Main[[#This Row],[Class]]="B", WORKDAY(Main[[#This Row],[Tech Start Date]],19),IF(Main[[#This Row],[Class]]="A",WORKDAY(Main[[#This Row],[Tech Start Date]],9),""))))</f>
        <v/>
      </c>
      <c r="Q716" s="74">
        <v>40186</v>
      </c>
      <c r="R716" s="74"/>
      <c r="S716" s="72" t="s">
        <v>6</v>
      </c>
      <c r="T716" s="80" t="s">
        <v>4</v>
      </c>
      <c r="U716" s="72" t="s">
        <v>14</v>
      </c>
      <c r="V716" s="72" t="s">
        <v>1935</v>
      </c>
      <c r="W716" s="72" t="s">
        <v>1943</v>
      </c>
      <c r="X716" s="72" t="s">
        <v>894</v>
      </c>
      <c r="Y716" s="72" t="s">
        <v>3050</v>
      </c>
      <c r="Z716" s="72" t="s">
        <v>310</v>
      </c>
      <c r="AA716" s="147" t="s">
        <v>894</v>
      </c>
    </row>
    <row r="717" spans="1:27" ht="18.600000000000001" customHeight="1">
      <c r="A717" s="140" t="str">
        <f>IF(priority(Main[[#This Row],[Comments]])&lt;&gt;0, priority(Main[[#This Row],[Comments]]),"")</f>
        <v/>
      </c>
      <c r="B717" s="90" t="s">
        <v>1570</v>
      </c>
      <c r="C717" s="72" t="s">
        <v>4</v>
      </c>
      <c r="D717" s="73" t="s">
        <v>639</v>
      </c>
      <c r="E717" s="74"/>
      <c r="F717" s="74"/>
      <c r="G717" s="75" t="str">
        <f>IF(stdProdLT(Main[[#This Row],[Comments]])=0.1,"N/A",IF(stdProdLT(Main[[#This Row],[Comments]])=0,"",stdProdLT(Main[[#This Row],[Comments]])))</f>
        <v/>
      </c>
      <c r="H717" s="76" t="str">
        <f>IF(AND(Main[[#This Row],[In Stock Date]]&lt;&gt;"",Main[[#This Row],[Revised Due Date]]&lt;&gt;""),Main[[#This Row],[In Stock Date]]-Main[[#This Row],[Revised Due Date]],"")</f>
        <v/>
      </c>
      <c r="I717" s="72" t="s">
        <v>4</v>
      </c>
      <c r="J717" s="72" t="s">
        <v>4</v>
      </c>
      <c r="K717" s="72" t="s">
        <v>4</v>
      </c>
      <c r="L717" s="74"/>
      <c r="M717" s="77" t="str">
        <f>IF(Main[[#This Row],[Tech Start Date]]&lt;1/1/1990,"",IF(Main[[#This Row],[Class]]="C",WORKDAY(Main[[#This Row],[Tech Start Date]],9),IF(Main[[#This Row],[Class]]="B", WORKDAY(Main[[#This Row],[Tech Start Date]],6),IF(Main[[#This Row],[Class]]="A",WORKDAY(Main[[#This Row],[Tech Start Date]],2),""))))</f>
        <v/>
      </c>
      <c r="N717" s="77" t="str">
        <f>IF(Main[[#This Row],[Tech Start Date]]&lt;1/1/1990,"",IF(Main[[#This Row],[Class]]="C",WORKDAY(Main[[#This Row],[Tech Start Date]],19),IF(Main[[#This Row],[Class]]="B", WORKDAY(Main[[#This Row],[Tech Start Date]],12),IF(Main[[#This Row],[Class]]="A",WORKDAY(Main[[#This Row],[Tech Start Date]],4),""))))</f>
        <v/>
      </c>
      <c r="O717" s="77" t="str">
        <f>IF(Main[[#This Row],[Tech Start Date]]&lt;1/1/1990,"",IF(Main[[#This Row],[Class]]="C",WORKDAY(Main[[#This Row],[Tech Start Date]],23),IF(Main[[#This Row],[Class]]="B", WORKDAY(Main[[#This Row],[Tech Start Date]],15),IF(Main[[#This Row],[Class]]="A",WORKDAY(Main[[#This Row],[Tech Start Date]],5),""))))</f>
        <v/>
      </c>
      <c r="P717" s="77" t="str">
        <f>IF(Main[[#This Row],[Tech Start Date]]&lt;1/1/1990,"",IF(Main[[#This Row],[Class]]="C",WORKDAY(Main[[#This Row],[Tech Start Date]],28),IF(Main[[#This Row],[Class]]="B", WORKDAY(Main[[#This Row],[Tech Start Date]],19),IF(Main[[#This Row],[Class]]="A",WORKDAY(Main[[#This Row],[Tech Start Date]],9),""))))</f>
        <v/>
      </c>
      <c r="Q717" s="74">
        <v>40389</v>
      </c>
      <c r="R717" s="74"/>
      <c r="S717" s="72" t="s">
        <v>6</v>
      </c>
      <c r="T717" s="80" t="s">
        <v>4</v>
      </c>
      <c r="U717" s="72" t="s">
        <v>12</v>
      </c>
      <c r="V717" s="72" t="s">
        <v>1932</v>
      </c>
      <c r="W717" s="72" t="s">
        <v>4</v>
      </c>
      <c r="X717" s="72" t="s">
        <v>918</v>
      </c>
      <c r="Y717" s="72" t="s">
        <v>3104</v>
      </c>
      <c r="Z717" s="72" t="s">
        <v>4</v>
      </c>
      <c r="AA717" s="147" t="s">
        <v>918</v>
      </c>
    </row>
    <row r="718" spans="1:27" ht="18.600000000000001" customHeight="1">
      <c r="A718" s="140" t="str">
        <f>IF(priority(Main[[#This Row],[Comments]])&lt;&gt;0, priority(Main[[#This Row],[Comments]]),"")</f>
        <v/>
      </c>
      <c r="B718" s="90" t="s">
        <v>1595</v>
      </c>
      <c r="C718" s="72" t="s">
        <v>79</v>
      </c>
      <c r="D718" s="73" t="s">
        <v>665</v>
      </c>
      <c r="E718" s="74"/>
      <c r="F718" s="74"/>
      <c r="G718" s="75" t="str">
        <f>IF(stdProdLT(Main[[#This Row],[Comments]])=0.1,"N/A",IF(stdProdLT(Main[[#This Row],[Comments]])=0,"",stdProdLT(Main[[#This Row],[Comments]])))</f>
        <v/>
      </c>
      <c r="H718" s="76" t="str">
        <f>IF(AND(Main[[#This Row],[In Stock Date]]&lt;&gt;"",Main[[#This Row],[Revised Due Date]]&lt;&gt;""),Main[[#This Row],[In Stock Date]]-Main[[#This Row],[Revised Due Date]],"")</f>
        <v/>
      </c>
      <c r="I718" s="72" t="s">
        <v>4</v>
      </c>
      <c r="J718" s="72" t="s">
        <v>28</v>
      </c>
      <c r="K718" s="72" t="s">
        <v>4</v>
      </c>
      <c r="L718" s="74"/>
      <c r="M718" s="77" t="str">
        <f>IF(Main[[#This Row],[Tech Start Date]]&lt;1/1/1990,"",IF(Main[[#This Row],[Class]]="C",WORKDAY(Main[[#This Row],[Tech Start Date]],9),IF(Main[[#This Row],[Class]]="B", WORKDAY(Main[[#This Row],[Tech Start Date]],6),IF(Main[[#This Row],[Class]]="A",WORKDAY(Main[[#This Row],[Tech Start Date]],2),""))))</f>
        <v/>
      </c>
      <c r="N718" s="77" t="str">
        <f>IF(Main[[#This Row],[Tech Start Date]]&lt;1/1/1990,"",IF(Main[[#This Row],[Class]]="C",WORKDAY(Main[[#This Row],[Tech Start Date]],19),IF(Main[[#This Row],[Class]]="B", WORKDAY(Main[[#This Row],[Tech Start Date]],12),IF(Main[[#This Row],[Class]]="A",WORKDAY(Main[[#This Row],[Tech Start Date]],4),""))))</f>
        <v/>
      </c>
      <c r="O718" s="77" t="str">
        <f>IF(Main[[#This Row],[Tech Start Date]]&lt;1/1/1990,"",IF(Main[[#This Row],[Class]]="C",WORKDAY(Main[[#This Row],[Tech Start Date]],23),IF(Main[[#This Row],[Class]]="B", WORKDAY(Main[[#This Row],[Tech Start Date]],15),IF(Main[[#This Row],[Class]]="A",WORKDAY(Main[[#This Row],[Tech Start Date]],5),""))))</f>
        <v/>
      </c>
      <c r="P718" s="77" t="str">
        <f>IF(Main[[#This Row],[Tech Start Date]]&lt;1/1/1990,"",IF(Main[[#This Row],[Class]]="C",WORKDAY(Main[[#This Row],[Tech Start Date]],28),IF(Main[[#This Row],[Class]]="B", WORKDAY(Main[[#This Row],[Tech Start Date]],19),IF(Main[[#This Row],[Class]]="A",WORKDAY(Main[[#This Row],[Tech Start Date]],9),""))))</f>
        <v/>
      </c>
      <c r="Q718" s="74"/>
      <c r="R718" s="74"/>
      <c r="S718" s="72" t="s">
        <v>6</v>
      </c>
      <c r="T718" s="80" t="s">
        <v>666</v>
      </c>
      <c r="U718" s="72" t="s">
        <v>14</v>
      </c>
      <c r="V718" s="72" t="s">
        <v>1933</v>
      </c>
      <c r="W718" s="72" t="s">
        <v>1934</v>
      </c>
      <c r="X718" s="72" t="s">
        <v>2945</v>
      </c>
      <c r="Y718" s="72" t="s">
        <v>3092</v>
      </c>
      <c r="Z718" s="72" t="s">
        <v>108</v>
      </c>
      <c r="AA718" s="147" t="s">
        <v>2945</v>
      </c>
    </row>
    <row r="719" spans="1:27" ht="18.600000000000001" customHeight="1">
      <c r="A719" s="140" t="str">
        <f>IF(priority(Main[[#This Row],[Comments]])&lt;&gt;0, priority(Main[[#This Row],[Comments]]),"")</f>
        <v/>
      </c>
      <c r="B719" s="90" t="s">
        <v>1189</v>
      </c>
      <c r="C719" s="72" t="s">
        <v>4</v>
      </c>
      <c r="D719" s="73" t="s">
        <v>1012</v>
      </c>
      <c r="E719" s="74">
        <v>40718.691643518519</v>
      </c>
      <c r="F719" s="74"/>
      <c r="G719" s="75" t="str">
        <f>IF(stdProdLT(Main[[#This Row],[Comments]])=0.1,"N/A",IF(stdProdLT(Main[[#This Row],[Comments]])=0,"",stdProdLT(Main[[#This Row],[Comments]])))</f>
        <v/>
      </c>
      <c r="H719" s="76" t="str">
        <f>IF(AND(Main[[#This Row],[In Stock Date]]&lt;&gt;"",Main[[#This Row],[Revised Due Date]]&lt;&gt;""),Main[[#This Row],[In Stock Date]]-Main[[#This Row],[Revised Due Date]],"")</f>
        <v/>
      </c>
      <c r="I719" s="72" t="s">
        <v>131</v>
      </c>
      <c r="J719" s="72" t="s">
        <v>70</v>
      </c>
      <c r="K719" s="72" t="s">
        <v>1941</v>
      </c>
      <c r="L719" s="74"/>
      <c r="M719" s="77" t="str">
        <f>IF(Main[[#This Row],[Tech Start Date]]&lt;1/1/1990,"",IF(Main[[#This Row],[Class]]="C",WORKDAY(Main[[#This Row],[Tech Start Date]],9),IF(Main[[#This Row],[Class]]="B", WORKDAY(Main[[#This Row],[Tech Start Date]],6),IF(Main[[#This Row],[Class]]="A",WORKDAY(Main[[#This Row],[Tech Start Date]],2),""))))</f>
        <v/>
      </c>
      <c r="N719" s="77" t="str">
        <f>IF(Main[[#This Row],[Tech Start Date]]&lt;1/1/1990,"",IF(Main[[#This Row],[Class]]="C",WORKDAY(Main[[#This Row],[Tech Start Date]],19),IF(Main[[#This Row],[Class]]="B", WORKDAY(Main[[#This Row],[Tech Start Date]],12),IF(Main[[#This Row],[Class]]="A",WORKDAY(Main[[#This Row],[Tech Start Date]],4),""))))</f>
        <v/>
      </c>
      <c r="O719" s="77" t="str">
        <f>IF(Main[[#This Row],[Tech Start Date]]&lt;1/1/1990,"",IF(Main[[#This Row],[Class]]="C",WORKDAY(Main[[#This Row],[Tech Start Date]],23),IF(Main[[#This Row],[Class]]="B", WORKDAY(Main[[#This Row],[Tech Start Date]],15),IF(Main[[#This Row],[Class]]="A",WORKDAY(Main[[#This Row],[Tech Start Date]],5),""))))</f>
        <v/>
      </c>
      <c r="P719" s="77" t="str">
        <f>IF(Main[[#This Row],[Tech Start Date]]&lt;1/1/1990,"",IF(Main[[#This Row],[Class]]="C",WORKDAY(Main[[#This Row],[Tech Start Date]],28),IF(Main[[#This Row],[Class]]="B", WORKDAY(Main[[#This Row],[Tech Start Date]],19),IF(Main[[#This Row],[Class]]="A",WORKDAY(Main[[#This Row],[Tech Start Date]],9),""))))</f>
        <v/>
      </c>
      <c r="Q719" s="74">
        <v>40753</v>
      </c>
      <c r="R719" s="74"/>
      <c r="S719" s="72" t="s">
        <v>6</v>
      </c>
      <c r="T719" s="80" t="s">
        <v>4</v>
      </c>
      <c r="U719" s="72" t="s">
        <v>29</v>
      </c>
      <c r="V719" s="72" t="s">
        <v>1935</v>
      </c>
      <c r="W719" s="72" t="s">
        <v>1936</v>
      </c>
      <c r="X719" s="72" t="s">
        <v>2903</v>
      </c>
      <c r="Y719" s="72" t="s">
        <v>3019</v>
      </c>
      <c r="Z719" s="72" t="s">
        <v>44</v>
      </c>
      <c r="AA719" s="147" t="s">
        <v>2903</v>
      </c>
    </row>
    <row r="720" spans="1:27" ht="18.600000000000001" customHeight="1">
      <c r="A720" s="140" t="str">
        <f>IF(priority(Main[[#This Row],[Comments]])&lt;&gt;0, priority(Main[[#This Row],[Comments]]),"")</f>
        <v/>
      </c>
      <c r="B720" s="90" t="s">
        <v>1571</v>
      </c>
      <c r="C720" s="72" t="s">
        <v>214</v>
      </c>
      <c r="D720" s="73" t="s">
        <v>418</v>
      </c>
      <c r="E720" s="74"/>
      <c r="F720" s="74">
        <v>40452</v>
      </c>
      <c r="G720" s="75" t="str">
        <f>IF(stdProdLT(Main[[#This Row],[Comments]])=0.1,"N/A",IF(stdProdLT(Main[[#This Row],[Comments]])=0,"",stdProdLT(Main[[#This Row],[Comments]])))</f>
        <v/>
      </c>
      <c r="H720" s="76" t="str">
        <f>IF(AND(Main[[#This Row],[In Stock Date]]&lt;&gt;"",Main[[#This Row],[Revised Due Date]]&lt;&gt;""),Main[[#This Row],[In Stock Date]]-Main[[#This Row],[Revised Due Date]],"")</f>
        <v/>
      </c>
      <c r="I720" s="72" t="s">
        <v>4</v>
      </c>
      <c r="J720" s="72" t="s">
        <v>4</v>
      </c>
      <c r="K720" s="72" t="s">
        <v>4</v>
      </c>
      <c r="L720" s="74"/>
      <c r="M720" s="77" t="str">
        <f>IF(Main[[#This Row],[Tech Start Date]]&lt;1/1/1990,"",IF(Main[[#This Row],[Class]]="C",WORKDAY(Main[[#This Row],[Tech Start Date]],9),IF(Main[[#This Row],[Class]]="B", WORKDAY(Main[[#This Row],[Tech Start Date]],6),IF(Main[[#This Row],[Class]]="A",WORKDAY(Main[[#This Row],[Tech Start Date]],2),""))))</f>
        <v/>
      </c>
      <c r="N720" s="77" t="str">
        <f>IF(Main[[#This Row],[Tech Start Date]]&lt;1/1/1990,"",IF(Main[[#This Row],[Class]]="C",WORKDAY(Main[[#This Row],[Tech Start Date]],19),IF(Main[[#This Row],[Class]]="B", WORKDAY(Main[[#This Row],[Tech Start Date]],12),IF(Main[[#This Row],[Class]]="A",WORKDAY(Main[[#This Row],[Tech Start Date]],4),""))))</f>
        <v/>
      </c>
      <c r="O720" s="77" t="str">
        <f>IF(Main[[#This Row],[Tech Start Date]]&lt;1/1/1990,"",IF(Main[[#This Row],[Class]]="C",WORKDAY(Main[[#This Row],[Tech Start Date]],23),IF(Main[[#This Row],[Class]]="B", WORKDAY(Main[[#This Row],[Tech Start Date]],15),IF(Main[[#This Row],[Class]]="A",WORKDAY(Main[[#This Row],[Tech Start Date]],5),""))))</f>
        <v/>
      </c>
      <c r="P720" s="77" t="str">
        <f>IF(Main[[#This Row],[Tech Start Date]]&lt;1/1/1990,"",IF(Main[[#This Row],[Class]]="C",WORKDAY(Main[[#This Row],[Tech Start Date]],28),IF(Main[[#This Row],[Class]]="B", WORKDAY(Main[[#This Row],[Tech Start Date]],19),IF(Main[[#This Row],[Class]]="A",WORKDAY(Main[[#This Row],[Tech Start Date]],9),""))))</f>
        <v/>
      </c>
      <c r="Q720" s="74">
        <v>40357</v>
      </c>
      <c r="R720" s="74"/>
      <c r="S720" s="72" t="s">
        <v>11</v>
      </c>
      <c r="T720" s="80" t="s">
        <v>4</v>
      </c>
      <c r="U720" s="72" t="s">
        <v>12</v>
      </c>
      <c r="V720" s="72" t="s">
        <v>1932</v>
      </c>
      <c r="W720" s="72" t="s">
        <v>1940</v>
      </c>
      <c r="X720" s="72" t="s">
        <v>2917</v>
      </c>
      <c r="Y720" s="72" t="s">
        <v>4</v>
      </c>
      <c r="Z720" s="72" t="s">
        <v>4</v>
      </c>
      <c r="AA720" s="147" t="s">
        <v>2917</v>
      </c>
    </row>
    <row r="721" spans="1:27" ht="18.600000000000001" customHeight="1">
      <c r="A721" s="140" t="str">
        <f>IF(priority(Main[[#This Row],[Comments]])&lt;&gt;0, priority(Main[[#This Row],[Comments]]),"")</f>
        <v/>
      </c>
      <c r="B721" s="90" t="s">
        <v>2006</v>
      </c>
      <c r="C721" s="72" t="s">
        <v>4</v>
      </c>
      <c r="D721" s="73" t="s">
        <v>2411</v>
      </c>
      <c r="E721" s="74"/>
      <c r="F721" s="74"/>
      <c r="G721" s="75" t="str">
        <f>IF(stdProdLT(Main[[#This Row],[Comments]])=0.1,"N/A",IF(stdProdLT(Main[[#This Row],[Comments]])=0,"",stdProdLT(Main[[#This Row],[Comments]])))</f>
        <v/>
      </c>
      <c r="H721" s="76" t="str">
        <f>IF(AND(Main[[#This Row],[In Stock Date]]&lt;&gt;"",Main[[#This Row],[Revised Due Date]]&lt;&gt;""),Main[[#This Row],[In Stock Date]]-Main[[#This Row],[Revised Due Date]],"")</f>
        <v/>
      </c>
      <c r="I721" s="72" t="s">
        <v>4</v>
      </c>
      <c r="J721" s="72" t="s">
        <v>4</v>
      </c>
      <c r="K721" s="72" t="s">
        <v>4</v>
      </c>
      <c r="L721" s="74"/>
      <c r="M721" s="77" t="str">
        <f>IF(Main[[#This Row],[Tech Start Date]]&lt;1/1/1990,"",IF(Main[[#This Row],[Class]]="C",WORKDAY(Main[[#This Row],[Tech Start Date]],9),IF(Main[[#This Row],[Class]]="B", WORKDAY(Main[[#This Row],[Tech Start Date]],6),IF(Main[[#This Row],[Class]]="A",WORKDAY(Main[[#This Row],[Tech Start Date]],2),""))))</f>
        <v/>
      </c>
      <c r="N721" s="77" t="str">
        <f>IF(Main[[#This Row],[Tech Start Date]]&lt;1/1/1990,"",IF(Main[[#This Row],[Class]]="C",WORKDAY(Main[[#This Row],[Tech Start Date]],19),IF(Main[[#This Row],[Class]]="B", WORKDAY(Main[[#This Row],[Tech Start Date]],12),IF(Main[[#This Row],[Class]]="A",WORKDAY(Main[[#This Row],[Tech Start Date]],4),""))))</f>
        <v/>
      </c>
      <c r="O721" s="77" t="str">
        <f>IF(Main[[#This Row],[Tech Start Date]]&lt;1/1/1990,"",IF(Main[[#This Row],[Class]]="C",WORKDAY(Main[[#This Row],[Tech Start Date]],23),IF(Main[[#This Row],[Class]]="B", WORKDAY(Main[[#This Row],[Tech Start Date]],15),IF(Main[[#This Row],[Class]]="A",WORKDAY(Main[[#This Row],[Tech Start Date]],5),""))))</f>
        <v/>
      </c>
      <c r="P721" s="77" t="str">
        <f>IF(Main[[#This Row],[Tech Start Date]]&lt;1/1/1990,"",IF(Main[[#This Row],[Class]]="C",WORKDAY(Main[[#This Row],[Tech Start Date]],28),IF(Main[[#This Row],[Class]]="B", WORKDAY(Main[[#This Row],[Tech Start Date]],19),IF(Main[[#This Row],[Class]]="A",WORKDAY(Main[[#This Row],[Tech Start Date]],9),""))))</f>
        <v/>
      </c>
      <c r="Q721" s="74"/>
      <c r="R721" s="74"/>
      <c r="S721" s="72" t="s">
        <v>6</v>
      </c>
      <c r="T721" s="80" t="s">
        <v>4</v>
      </c>
      <c r="U721" s="72" t="s">
        <v>14</v>
      </c>
      <c r="V721" s="72" t="s">
        <v>1932</v>
      </c>
      <c r="W721" s="72" t="s">
        <v>1936</v>
      </c>
      <c r="X721" s="72" t="s">
        <v>933</v>
      </c>
      <c r="Y721" s="72" t="s">
        <v>3069</v>
      </c>
      <c r="Z721" s="72" t="s">
        <v>4</v>
      </c>
      <c r="AA721" s="147" t="s">
        <v>933</v>
      </c>
    </row>
    <row r="722" spans="1:27" ht="18.600000000000001" customHeight="1">
      <c r="A722" s="140" t="str">
        <f>IF(priority(Main[[#This Row],[Comments]])&lt;&gt;0, priority(Main[[#This Row],[Comments]]),"")</f>
        <v/>
      </c>
      <c r="B722" s="90" t="s">
        <v>1572</v>
      </c>
      <c r="C722" s="72" t="s">
        <v>4</v>
      </c>
      <c r="D722" s="73" t="s">
        <v>642</v>
      </c>
      <c r="E722" s="74">
        <v>40413.550520833334</v>
      </c>
      <c r="F722" s="74"/>
      <c r="G722" s="75" t="str">
        <f>IF(stdProdLT(Main[[#This Row],[Comments]])=0.1,"N/A",IF(stdProdLT(Main[[#This Row],[Comments]])=0,"",stdProdLT(Main[[#This Row],[Comments]])))</f>
        <v/>
      </c>
      <c r="H722" s="76" t="str">
        <f>IF(AND(Main[[#This Row],[In Stock Date]]&lt;&gt;"",Main[[#This Row],[Revised Due Date]]&lt;&gt;""),Main[[#This Row],[In Stock Date]]-Main[[#This Row],[Revised Due Date]],"")</f>
        <v/>
      </c>
      <c r="I722" s="72" t="s">
        <v>4</v>
      </c>
      <c r="J722" s="72" t="s">
        <v>28</v>
      </c>
      <c r="K722" s="72" t="s">
        <v>4</v>
      </c>
      <c r="L722" s="74"/>
      <c r="M722" s="77" t="str">
        <f>IF(Main[[#This Row],[Tech Start Date]]&lt;1/1/1990,"",IF(Main[[#This Row],[Class]]="C",WORKDAY(Main[[#This Row],[Tech Start Date]],9),IF(Main[[#This Row],[Class]]="B", WORKDAY(Main[[#This Row],[Tech Start Date]],6),IF(Main[[#This Row],[Class]]="A",WORKDAY(Main[[#This Row],[Tech Start Date]],2),""))))</f>
        <v/>
      </c>
      <c r="N722" s="77" t="str">
        <f>IF(Main[[#This Row],[Tech Start Date]]&lt;1/1/1990,"",IF(Main[[#This Row],[Class]]="C",WORKDAY(Main[[#This Row],[Tech Start Date]],19),IF(Main[[#This Row],[Class]]="B", WORKDAY(Main[[#This Row],[Tech Start Date]],12),IF(Main[[#This Row],[Class]]="A",WORKDAY(Main[[#This Row],[Tech Start Date]],4),""))))</f>
        <v/>
      </c>
      <c r="O722" s="77" t="str">
        <f>IF(Main[[#This Row],[Tech Start Date]]&lt;1/1/1990,"",IF(Main[[#This Row],[Class]]="C",WORKDAY(Main[[#This Row],[Tech Start Date]],23),IF(Main[[#This Row],[Class]]="B", WORKDAY(Main[[#This Row],[Tech Start Date]],15),IF(Main[[#This Row],[Class]]="A",WORKDAY(Main[[#This Row],[Tech Start Date]],5),""))))</f>
        <v/>
      </c>
      <c r="P722" s="77" t="str">
        <f>IF(Main[[#This Row],[Tech Start Date]]&lt;1/1/1990,"",IF(Main[[#This Row],[Class]]="C",WORKDAY(Main[[#This Row],[Tech Start Date]],28),IF(Main[[#This Row],[Class]]="B", WORKDAY(Main[[#This Row],[Tech Start Date]],19),IF(Main[[#This Row],[Class]]="A",WORKDAY(Main[[#This Row],[Tech Start Date]],9),""))))</f>
        <v/>
      </c>
      <c r="Q722" s="74">
        <v>40451</v>
      </c>
      <c r="R722" s="74"/>
      <c r="S722" s="72" t="s">
        <v>6</v>
      </c>
      <c r="T722" s="80" t="s">
        <v>4</v>
      </c>
      <c r="U722" s="72" t="s">
        <v>7</v>
      </c>
      <c r="V722" s="72" t="s">
        <v>1932</v>
      </c>
      <c r="W722" s="72" t="s">
        <v>1934</v>
      </c>
      <c r="X722" s="72" t="s">
        <v>2971</v>
      </c>
      <c r="Y722" s="72" t="s">
        <v>3130</v>
      </c>
      <c r="Z722" s="72" t="s">
        <v>129</v>
      </c>
      <c r="AA722" s="147" t="s">
        <v>2971</v>
      </c>
    </row>
    <row r="723" spans="1:27" ht="18.600000000000001" customHeight="1">
      <c r="A723" s="140" t="str">
        <f>IF(priority(Main[[#This Row],[Comments]])&lt;&gt;0, priority(Main[[#This Row],[Comments]]),"")</f>
        <v/>
      </c>
      <c r="B723" s="90" t="s">
        <v>1357</v>
      </c>
      <c r="C723" s="72" t="s">
        <v>4</v>
      </c>
      <c r="D723" s="73" t="s">
        <v>2039</v>
      </c>
      <c r="E723" s="74"/>
      <c r="F723" s="74"/>
      <c r="G723" s="75" t="str">
        <f>IF(stdProdLT(Main[[#This Row],[Comments]])=0.1,"N/A",IF(stdProdLT(Main[[#This Row],[Comments]])=0,"",stdProdLT(Main[[#This Row],[Comments]])))</f>
        <v/>
      </c>
      <c r="H723" s="76" t="str">
        <f>IF(AND(Main[[#This Row],[In Stock Date]]&lt;&gt;"",Main[[#This Row],[Revised Due Date]]&lt;&gt;""),Main[[#This Row],[In Stock Date]]-Main[[#This Row],[Revised Due Date]],"")</f>
        <v/>
      </c>
      <c r="I723" s="72" t="s">
        <v>434</v>
      </c>
      <c r="J723" s="72" t="s">
        <v>70</v>
      </c>
      <c r="K723" s="72" t="s">
        <v>1941</v>
      </c>
      <c r="L723" s="74"/>
      <c r="M723" s="77" t="str">
        <f>IF(Main[[#This Row],[Tech Start Date]]&lt;1/1/1990,"",IF(Main[[#This Row],[Class]]="C",WORKDAY(Main[[#This Row],[Tech Start Date]],9),IF(Main[[#This Row],[Class]]="B", WORKDAY(Main[[#This Row],[Tech Start Date]],6),IF(Main[[#This Row],[Class]]="A",WORKDAY(Main[[#This Row],[Tech Start Date]],2),""))))</f>
        <v/>
      </c>
      <c r="N723" s="77" t="str">
        <f>IF(Main[[#This Row],[Tech Start Date]]&lt;1/1/1990,"",IF(Main[[#This Row],[Class]]="C",WORKDAY(Main[[#This Row],[Tech Start Date]],19),IF(Main[[#This Row],[Class]]="B", WORKDAY(Main[[#This Row],[Tech Start Date]],12),IF(Main[[#This Row],[Class]]="A",WORKDAY(Main[[#This Row],[Tech Start Date]],4),""))))</f>
        <v/>
      </c>
      <c r="O723" s="77" t="str">
        <f>IF(Main[[#This Row],[Tech Start Date]]&lt;1/1/1990,"",IF(Main[[#This Row],[Class]]="C",WORKDAY(Main[[#This Row],[Tech Start Date]],23),IF(Main[[#This Row],[Class]]="B", WORKDAY(Main[[#This Row],[Tech Start Date]],15),IF(Main[[#This Row],[Class]]="A",WORKDAY(Main[[#This Row],[Tech Start Date]],5),""))))</f>
        <v/>
      </c>
      <c r="P723" s="77" t="str">
        <f>IF(Main[[#This Row],[Tech Start Date]]&lt;1/1/1990,"",IF(Main[[#This Row],[Class]]="C",WORKDAY(Main[[#This Row],[Tech Start Date]],28),IF(Main[[#This Row],[Class]]="B", WORKDAY(Main[[#This Row],[Tech Start Date]],19),IF(Main[[#This Row],[Class]]="A",WORKDAY(Main[[#This Row],[Tech Start Date]],9),""))))</f>
        <v/>
      </c>
      <c r="Q723" s="74">
        <v>40717</v>
      </c>
      <c r="R723" s="74"/>
      <c r="S723" s="72" t="s">
        <v>6</v>
      </c>
      <c r="T723" s="80" t="s">
        <v>4</v>
      </c>
      <c r="U723" s="72" t="s">
        <v>14</v>
      </c>
      <c r="V723" s="72" t="s">
        <v>1935</v>
      </c>
      <c r="W723" s="72" t="s">
        <v>1936</v>
      </c>
      <c r="X723" s="72" t="s">
        <v>2906</v>
      </c>
      <c r="Y723" s="72" t="s">
        <v>3025</v>
      </c>
      <c r="Z723" s="72" t="s">
        <v>30</v>
      </c>
      <c r="AA723" s="147" t="s">
        <v>2906</v>
      </c>
    </row>
    <row r="724" spans="1:27" ht="18.600000000000001" customHeight="1">
      <c r="A724" s="140" t="str">
        <f>IF(priority(Main[[#This Row],[Comments]])&lt;&gt;0, priority(Main[[#This Row],[Comments]]),"")</f>
        <v/>
      </c>
      <c r="B724" s="90" t="s">
        <v>1574</v>
      </c>
      <c r="C724" s="72" t="s">
        <v>183</v>
      </c>
      <c r="D724" s="73" t="s">
        <v>643</v>
      </c>
      <c r="E724" s="74"/>
      <c r="F724" s="74">
        <v>40389</v>
      </c>
      <c r="G724" s="75" t="str">
        <f>IF(stdProdLT(Main[[#This Row],[Comments]])=0.1,"N/A",IF(stdProdLT(Main[[#This Row],[Comments]])=0,"",stdProdLT(Main[[#This Row],[Comments]])))</f>
        <v/>
      </c>
      <c r="H724" s="76" t="str">
        <f>IF(AND(Main[[#This Row],[In Stock Date]]&lt;&gt;"",Main[[#This Row],[Revised Due Date]]&lt;&gt;""),Main[[#This Row],[In Stock Date]]-Main[[#This Row],[Revised Due Date]],"")</f>
        <v/>
      </c>
      <c r="I724" s="72" t="s">
        <v>4</v>
      </c>
      <c r="J724" s="72" t="s">
        <v>4</v>
      </c>
      <c r="K724" s="72" t="s">
        <v>4</v>
      </c>
      <c r="L724" s="74"/>
      <c r="M724" s="77" t="str">
        <f>IF(Main[[#This Row],[Tech Start Date]]&lt;1/1/1990,"",IF(Main[[#This Row],[Class]]="C",WORKDAY(Main[[#This Row],[Tech Start Date]],9),IF(Main[[#This Row],[Class]]="B", WORKDAY(Main[[#This Row],[Tech Start Date]],6),IF(Main[[#This Row],[Class]]="A",WORKDAY(Main[[#This Row],[Tech Start Date]],2),""))))</f>
        <v/>
      </c>
      <c r="N724" s="77" t="str">
        <f>IF(Main[[#This Row],[Tech Start Date]]&lt;1/1/1990,"",IF(Main[[#This Row],[Class]]="C",WORKDAY(Main[[#This Row],[Tech Start Date]],19),IF(Main[[#This Row],[Class]]="B", WORKDAY(Main[[#This Row],[Tech Start Date]],12),IF(Main[[#This Row],[Class]]="A",WORKDAY(Main[[#This Row],[Tech Start Date]],4),""))))</f>
        <v/>
      </c>
      <c r="O724" s="77" t="str">
        <f>IF(Main[[#This Row],[Tech Start Date]]&lt;1/1/1990,"",IF(Main[[#This Row],[Class]]="C",WORKDAY(Main[[#This Row],[Tech Start Date]],23),IF(Main[[#This Row],[Class]]="B", WORKDAY(Main[[#This Row],[Tech Start Date]],15),IF(Main[[#This Row],[Class]]="A",WORKDAY(Main[[#This Row],[Tech Start Date]],5),""))))</f>
        <v/>
      </c>
      <c r="P724" s="77" t="str">
        <f>IF(Main[[#This Row],[Tech Start Date]]&lt;1/1/1990,"",IF(Main[[#This Row],[Class]]="C",WORKDAY(Main[[#This Row],[Tech Start Date]],28),IF(Main[[#This Row],[Class]]="B", WORKDAY(Main[[#This Row],[Tech Start Date]],19),IF(Main[[#This Row],[Class]]="A",WORKDAY(Main[[#This Row],[Tech Start Date]],9),""))))</f>
        <v/>
      </c>
      <c r="Q724" s="74">
        <v>40298</v>
      </c>
      <c r="R724" s="74"/>
      <c r="S724" s="72" t="s">
        <v>11</v>
      </c>
      <c r="T724" s="80" t="s">
        <v>4</v>
      </c>
      <c r="U724" s="72" t="s">
        <v>12</v>
      </c>
      <c r="V724" s="72" t="s">
        <v>1932</v>
      </c>
      <c r="W724" s="72" t="s">
        <v>1938</v>
      </c>
      <c r="X724" s="72" t="s">
        <v>2908</v>
      </c>
      <c r="Y724" s="72" t="s">
        <v>3030</v>
      </c>
      <c r="Z724" s="72" t="s">
        <v>4</v>
      </c>
      <c r="AA724" s="147" t="s">
        <v>2908</v>
      </c>
    </row>
    <row r="725" spans="1:27" ht="18.600000000000001" customHeight="1">
      <c r="A725" s="140" t="str">
        <f>IF(priority(Main[[#This Row],[Comments]])&lt;&gt;0, priority(Main[[#This Row],[Comments]]),"")</f>
        <v/>
      </c>
      <c r="B725" s="90" t="s">
        <v>1575</v>
      </c>
      <c r="C725" s="72" t="s">
        <v>294</v>
      </c>
      <c r="D725" s="73" t="s">
        <v>644</v>
      </c>
      <c r="E725" s="74"/>
      <c r="F725" s="74"/>
      <c r="G725" s="75" t="str">
        <f>IF(stdProdLT(Main[[#This Row],[Comments]])=0.1,"N/A",IF(stdProdLT(Main[[#This Row],[Comments]])=0,"",stdProdLT(Main[[#This Row],[Comments]])))</f>
        <v/>
      </c>
      <c r="H725" s="76" t="str">
        <f>IF(AND(Main[[#This Row],[In Stock Date]]&lt;&gt;"",Main[[#This Row],[Revised Due Date]]&lt;&gt;""),Main[[#This Row],[In Stock Date]]-Main[[#This Row],[Revised Due Date]],"")</f>
        <v/>
      </c>
      <c r="I725" s="72" t="s">
        <v>4</v>
      </c>
      <c r="J725" s="72" t="s">
        <v>4</v>
      </c>
      <c r="K725" s="72" t="s">
        <v>4</v>
      </c>
      <c r="L725" s="74"/>
      <c r="M725" s="77" t="str">
        <f>IF(Main[[#This Row],[Tech Start Date]]&lt;1/1/1990,"",IF(Main[[#This Row],[Class]]="C",WORKDAY(Main[[#This Row],[Tech Start Date]],9),IF(Main[[#This Row],[Class]]="B", WORKDAY(Main[[#This Row],[Tech Start Date]],6),IF(Main[[#This Row],[Class]]="A",WORKDAY(Main[[#This Row],[Tech Start Date]],2),""))))</f>
        <v/>
      </c>
      <c r="N725" s="77" t="str">
        <f>IF(Main[[#This Row],[Tech Start Date]]&lt;1/1/1990,"",IF(Main[[#This Row],[Class]]="C",WORKDAY(Main[[#This Row],[Tech Start Date]],19),IF(Main[[#This Row],[Class]]="B", WORKDAY(Main[[#This Row],[Tech Start Date]],12),IF(Main[[#This Row],[Class]]="A",WORKDAY(Main[[#This Row],[Tech Start Date]],4),""))))</f>
        <v/>
      </c>
      <c r="O725" s="77" t="str">
        <f>IF(Main[[#This Row],[Tech Start Date]]&lt;1/1/1990,"",IF(Main[[#This Row],[Class]]="C",WORKDAY(Main[[#This Row],[Tech Start Date]],23),IF(Main[[#This Row],[Class]]="B", WORKDAY(Main[[#This Row],[Tech Start Date]],15),IF(Main[[#This Row],[Class]]="A",WORKDAY(Main[[#This Row],[Tech Start Date]],5),""))))</f>
        <v/>
      </c>
      <c r="P725" s="77" t="str">
        <f>IF(Main[[#This Row],[Tech Start Date]]&lt;1/1/1990,"",IF(Main[[#This Row],[Class]]="C",WORKDAY(Main[[#This Row],[Tech Start Date]],28),IF(Main[[#This Row],[Class]]="B", WORKDAY(Main[[#This Row],[Tech Start Date]],19),IF(Main[[#This Row],[Class]]="A",WORKDAY(Main[[#This Row],[Tech Start Date]],9),""))))</f>
        <v/>
      </c>
      <c r="Q725" s="74">
        <v>40052</v>
      </c>
      <c r="R725" s="74"/>
      <c r="S725" s="72" t="s">
        <v>11</v>
      </c>
      <c r="T725" s="80" t="s">
        <v>4</v>
      </c>
      <c r="U725" s="72" t="s">
        <v>14</v>
      </c>
      <c r="V725" s="72" t="s">
        <v>1935</v>
      </c>
      <c r="W725" s="72" t="s">
        <v>1934</v>
      </c>
      <c r="X725" s="72" t="s">
        <v>2918</v>
      </c>
      <c r="Y725" s="72" t="s">
        <v>4</v>
      </c>
      <c r="Z725" s="72" t="s">
        <v>4</v>
      </c>
      <c r="AA725" s="147" t="s">
        <v>2918</v>
      </c>
    </row>
    <row r="726" spans="1:27" ht="18.600000000000001" customHeight="1">
      <c r="A726" s="140" t="str">
        <f>IF(priority(Main[[#This Row],[Comments]])&lt;&gt;0, priority(Main[[#This Row],[Comments]]),"")</f>
        <v/>
      </c>
      <c r="B726" s="90" t="s">
        <v>1612</v>
      </c>
      <c r="C726" s="72" t="s">
        <v>4</v>
      </c>
      <c r="D726" s="73" t="s">
        <v>679</v>
      </c>
      <c r="E726" s="74"/>
      <c r="F726" s="74"/>
      <c r="G726" s="75" t="str">
        <f>IF(stdProdLT(Main[[#This Row],[Comments]])=0.1,"N/A",IF(stdProdLT(Main[[#This Row],[Comments]])=0,"",stdProdLT(Main[[#This Row],[Comments]])))</f>
        <v/>
      </c>
      <c r="H726" s="76" t="str">
        <f>IF(AND(Main[[#This Row],[In Stock Date]]&lt;&gt;"",Main[[#This Row],[Revised Due Date]]&lt;&gt;""),Main[[#This Row],[In Stock Date]]-Main[[#This Row],[Revised Due Date]],"")</f>
        <v/>
      </c>
      <c r="I726" s="72" t="s">
        <v>4</v>
      </c>
      <c r="J726" s="72" t="s">
        <v>28</v>
      </c>
      <c r="K726" s="72" t="s">
        <v>4</v>
      </c>
      <c r="L726" s="74"/>
      <c r="M726" s="77" t="str">
        <f>IF(Main[[#This Row],[Tech Start Date]]&lt;1/1/1990,"",IF(Main[[#This Row],[Class]]="C",WORKDAY(Main[[#This Row],[Tech Start Date]],9),IF(Main[[#This Row],[Class]]="B", WORKDAY(Main[[#This Row],[Tech Start Date]],6),IF(Main[[#This Row],[Class]]="A",WORKDAY(Main[[#This Row],[Tech Start Date]],2),""))))</f>
        <v/>
      </c>
      <c r="N726" s="77" t="str">
        <f>IF(Main[[#This Row],[Tech Start Date]]&lt;1/1/1990,"",IF(Main[[#This Row],[Class]]="C",WORKDAY(Main[[#This Row],[Tech Start Date]],19),IF(Main[[#This Row],[Class]]="B", WORKDAY(Main[[#This Row],[Tech Start Date]],12),IF(Main[[#This Row],[Class]]="A",WORKDAY(Main[[#This Row],[Tech Start Date]],4),""))))</f>
        <v/>
      </c>
      <c r="O726" s="77" t="str">
        <f>IF(Main[[#This Row],[Tech Start Date]]&lt;1/1/1990,"",IF(Main[[#This Row],[Class]]="C",WORKDAY(Main[[#This Row],[Tech Start Date]],23),IF(Main[[#This Row],[Class]]="B", WORKDAY(Main[[#This Row],[Tech Start Date]],15),IF(Main[[#This Row],[Class]]="A",WORKDAY(Main[[#This Row],[Tech Start Date]],5),""))))</f>
        <v/>
      </c>
      <c r="P726" s="77" t="str">
        <f>IF(Main[[#This Row],[Tech Start Date]]&lt;1/1/1990,"",IF(Main[[#This Row],[Class]]="C",WORKDAY(Main[[#This Row],[Tech Start Date]],28),IF(Main[[#This Row],[Class]]="B", WORKDAY(Main[[#This Row],[Tech Start Date]],19),IF(Main[[#This Row],[Class]]="A",WORKDAY(Main[[#This Row],[Tech Start Date]],9),""))))</f>
        <v/>
      </c>
      <c r="Q726" s="74">
        <v>40471</v>
      </c>
      <c r="R726" s="74"/>
      <c r="S726" s="72" t="s">
        <v>300</v>
      </c>
      <c r="T726" s="80" t="s">
        <v>4</v>
      </c>
      <c r="U726" s="72" t="s">
        <v>14</v>
      </c>
      <c r="V726" s="72" t="s">
        <v>1942</v>
      </c>
      <c r="W726" s="72" t="s">
        <v>1934</v>
      </c>
      <c r="X726" s="72" t="s">
        <v>2931</v>
      </c>
      <c r="Y726" s="72" t="s">
        <v>3065</v>
      </c>
      <c r="Z726" s="72" t="s">
        <v>535</v>
      </c>
      <c r="AA726" s="147" t="s">
        <v>2931</v>
      </c>
    </row>
    <row r="727" spans="1:27" ht="18.600000000000001" customHeight="1">
      <c r="A727" s="140" t="str">
        <f>IF(priority(Main[[#This Row],[Comments]])&lt;&gt;0, priority(Main[[#This Row],[Comments]]),"")</f>
        <v/>
      </c>
      <c r="B727" s="90" t="s">
        <v>1626</v>
      </c>
      <c r="C727" s="72" t="s">
        <v>4</v>
      </c>
      <c r="D727" s="73" t="s">
        <v>691</v>
      </c>
      <c r="E727" s="74"/>
      <c r="F727" s="74"/>
      <c r="G727" s="75" t="str">
        <f>IF(stdProdLT(Main[[#This Row],[Comments]])=0.1,"N/A",IF(stdProdLT(Main[[#This Row],[Comments]])=0,"",stdProdLT(Main[[#This Row],[Comments]])))</f>
        <v/>
      </c>
      <c r="H727" s="76" t="str">
        <f>IF(AND(Main[[#This Row],[In Stock Date]]&lt;&gt;"",Main[[#This Row],[Revised Due Date]]&lt;&gt;""),Main[[#This Row],[In Stock Date]]-Main[[#This Row],[Revised Due Date]],"")</f>
        <v/>
      </c>
      <c r="I727" s="72" t="s">
        <v>4</v>
      </c>
      <c r="J727" s="72" t="s">
        <v>4</v>
      </c>
      <c r="K727" s="72" t="s">
        <v>4</v>
      </c>
      <c r="L727" s="74"/>
      <c r="M727" s="77" t="str">
        <f>IF(Main[[#This Row],[Tech Start Date]]&lt;1/1/1990,"",IF(Main[[#This Row],[Class]]="C",WORKDAY(Main[[#This Row],[Tech Start Date]],9),IF(Main[[#This Row],[Class]]="B", WORKDAY(Main[[#This Row],[Tech Start Date]],6),IF(Main[[#This Row],[Class]]="A",WORKDAY(Main[[#This Row],[Tech Start Date]],2),""))))</f>
        <v/>
      </c>
      <c r="N727" s="77" t="str">
        <f>IF(Main[[#This Row],[Tech Start Date]]&lt;1/1/1990,"",IF(Main[[#This Row],[Class]]="C",WORKDAY(Main[[#This Row],[Tech Start Date]],19),IF(Main[[#This Row],[Class]]="B", WORKDAY(Main[[#This Row],[Tech Start Date]],12),IF(Main[[#This Row],[Class]]="A",WORKDAY(Main[[#This Row],[Tech Start Date]],4),""))))</f>
        <v/>
      </c>
      <c r="O727" s="77" t="str">
        <f>IF(Main[[#This Row],[Tech Start Date]]&lt;1/1/1990,"",IF(Main[[#This Row],[Class]]="C",WORKDAY(Main[[#This Row],[Tech Start Date]],23),IF(Main[[#This Row],[Class]]="B", WORKDAY(Main[[#This Row],[Tech Start Date]],15),IF(Main[[#This Row],[Class]]="A",WORKDAY(Main[[#This Row],[Tech Start Date]],5),""))))</f>
        <v/>
      </c>
      <c r="P727" s="77" t="str">
        <f>IF(Main[[#This Row],[Tech Start Date]]&lt;1/1/1990,"",IF(Main[[#This Row],[Class]]="C",WORKDAY(Main[[#This Row],[Tech Start Date]],28),IF(Main[[#This Row],[Class]]="B", WORKDAY(Main[[#This Row],[Tech Start Date]],19),IF(Main[[#This Row],[Class]]="A",WORKDAY(Main[[#This Row],[Tech Start Date]],9),""))))</f>
        <v/>
      </c>
      <c r="Q727" s="74"/>
      <c r="R727" s="74"/>
      <c r="S727" s="72" t="s">
        <v>23</v>
      </c>
      <c r="T727" s="80" t="s">
        <v>4</v>
      </c>
      <c r="U727" s="72" t="s">
        <v>14</v>
      </c>
      <c r="V727" s="72" t="s">
        <v>1942</v>
      </c>
      <c r="W727" s="72" t="s">
        <v>1936</v>
      </c>
      <c r="X727" s="72" t="s">
        <v>102</v>
      </c>
      <c r="Y727" s="72" t="s">
        <v>3174</v>
      </c>
      <c r="Z727" s="72" t="s">
        <v>4</v>
      </c>
      <c r="AA727" s="147" t="s">
        <v>3615</v>
      </c>
    </row>
    <row r="728" spans="1:27" ht="18.600000000000001" customHeight="1">
      <c r="A728" s="140" t="str">
        <f>IF(priority(Main[[#This Row],[Comments]])&lt;&gt;0, priority(Main[[#This Row],[Comments]]),"")</f>
        <v/>
      </c>
      <c r="B728" s="90" t="s">
        <v>1627</v>
      </c>
      <c r="C728" s="72" t="s">
        <v>4</v>
      </c>
      <c r="D728" s="73" t="s">
        <v>692</v>
      </c>
      <c r="E728" s="74">
        <v>40464.400208333333</v>
      </c>
      <c r="F728" s="74"/>
      <c r="G728" s="75" t="str">
        <f>IF(stdProdLT(Main[[#This Row],[Comments]])=0.1,"N/A",IF(stdProdLT(Main[[#This Row],[Comments]])=0,"",stdProdLT(Main[[#This Row],[Comments]])))</f>
        <v/>
      </c>
      <c r="H728" s="76" t="str">
        <f>IF(AND(Main[[#This Row],[In Stock Date]]&lt;&gt;"",Main[[#This Row],[Revised Due Date]]&lt;&gt;""),Main[[#This Row],[In Stock Date]]-Main[[#This Row],[Revised Due Date]],"")</f>
        <v/>
      </c>
      <c r="I728" s="72" t="s">
        <v>4</v>
      </c>
      <c r="J728" s="72" t="s">
        <v>4</v>
      </c>
      <c r="K728" s="72" t="s">
        <v>4</v>
      </c>
      <c r="L728" s="74"/>
      <c r="M728" s="77" t="str">
        <f>IF(Main[[#This Row],[Tech Start Date]]&lt;1/1/1990,"",IF(Main[[#This Row],[Class]]="C",WORKDAY(Main[[#This Row],[Tech Start Date]],9),IF(Main[[#This Row],[Class]]="B", WORKDAY(Main[[#This Row],[Tech Start Date]],6),IF(Main[[#This Row],[Class]]="A",WORKDAY(Main[[#This Row],[Tech Start Date]],2),""))))</f>
        <v/>
      </c>
      <c r="N728" s="77" t="str">
        <f>IF(Main[[#This Row],[Tech Start Date]]&lt;1/1/1990,"",IF(Main[[#This Row],[Class]]="C",WORKDAY(Main[[#This Row],[Tech Start Date]],19),IF(Main[[#This Row],[Class]]="B", WORKDAY(Main[[#This Row],[Tech Start Date]],12),IF(Main[[#This Row],[Class]]="A",WORKDAY(Main[[#This Row],[Tech Start Date]],4),""))))</f>
        <v/>
      </c>
      <c r="O728" s="77" t="str">
        <f>IF(Main[[#This Row],[Tech Start Date]]&lt;1/1/1990,"",IF(Main[[#This Row],[Class]]="C",WORKDAY(Main[[#This Row],[Tech Start Date]],23),IF(Main[[#This Row],[Class]]="B", WORKDAY(Main[[#This Row],[Tech Start Date]],15),IF(Main[[#This Row],[Class]]="A",WORKDAY(Main[[#This Row],[Tech Start Date]],5),""))))</f>
        <v/>
      </c>
      <c r="P728" s="77" t="str">
        <f>IF(Main[[#This Row],[Tech Start Date]]&lt;1/1/1990,"",IF(Main[[#This Row],[Class]]="C",WORKDAY(Main[[#This Row],[Tech Start Date]],28),IF(Main[[#This Row],[Class]]="B", WORKDAY(Main[[#This Row],[Tech Start Date]],19),IF(Main[[#This Row],[Class]]="A",WORKDAY(Main[[#This Row],[Tech Start Date]],9),""))))</f>
        <v/>
      </c>
      <c r="Q728" s="74">
        <v>40512</v>
      </c>
      <c r="R728" s="74"/>
      <c r="S728" s="72" t="s">
        <v>6</v>
      </c>
      <c r="T728" s="80" t="s">
        <v>4</v>
      </c>
      <c r="U728" s="72" t="s">
        <v>7</v>
      </c>
      <c r="V728" s="72" t="s">
        <v>1932</v>
      </c>
      <c r="W728" s="72" t="s">
        <v>4</v>
      </c>
      <c r="X728" s="72" t="s">
        <v>2903</v>
      </c>
      <c r="Y728" s="72" t="s">
        <v>3019</v>
      </c>
      <c r="Z728" s="72" t="s">
        <v>4</v>
      </c>
      <c r="AA728" s="147" t="s">
        <v>2903</v>
      </c>
    </row>
    <row r="729" spans="1:27" ht="18.600000000000001" customHeight="1">
      <c r="A729" s="140" t="str">
        <f>IF(priority(Main[[#This Row],[Comments]])&lt;&gt;0, priority(Main[[#This Row],[Comments]]),"")</f>
        <v/>
      </c>
      <c r="B729" s="90" t="s">
        <v>1862</v>
      </c>
      <c r="C729" s="72" t="s">
        <v>67</v>
      </c>
      <c r="D729" s="73" t="s">
        <v>912</v>
      </c>
      <c r="E729" s="74"/>
      <c r="F729" s="74"/>
      <c r="G729" s="75" t="str">
        <f>IF(stdProdLT(Main[[#This Row],[Comments]])=0.1,"N/A",IF(stdProdLT(Main[[#This Row],[Comments]])=0,"",stdProdLT(Main[[#This Row],[Comments]])))</f>
        <v/>
      </c>
      <c r="H729" s="76" t="str">
        <f>IF(AND(Main[[#This Row],[In Stock Date]]&lt;&gt;"",Main[[#This Row],[Revised Due Date]]&lt;&gt;""),Main[[#This Row],[In Stock Date]]-Main[[#This Row],[Revised Due Date]],"")</f>
        <v/>
      </c>
      <c r="I729" s="72" t="s">
        <v>165</v>
      </c>
      <c r="J729" s="72" t="s">
        <v>4</v>
      </c>
      <c r="K729" s="72" t="s">
        <v>1944</v>
      </c>
      <c r="L729" s="74"/>
      <c r="M729" s="77" t="str">
        <f>IF(Main[[#This Row],[Tech Start Date]]&lt;1/1/1990,"",IF(Main[[#This Row],[Class]]="C",WORKDAY(Main[[#This Row],[Tech Start Date]],9),IF(Main[[#This Row],[Class]]="B", WORKDAY(Main[[#This Row],[Tech Start Date]],6),IF(Main[[#This Row],[Class]]="A",WORKDAY(Main[[#This Row],[Tech Start Date]],2),""))))</f>
        <v/>
      </c>
      <c r="N729" s="77" t="str">
        <f>IF(Main[[#This Row],[Tech Start Date]]&lt;1/1/1990,"",IF(Main[[#This Row],[Class]]="C",WORKDAY(Main[[#This Row],[Tech Start Date]],19),IF(Main[[#This Row],[Class]]="B", WORKDAY(Main[[#This Row],[Tech Start Date]],12),IF(Main[[#This Row],[Class]]="A",WORKDAY(Main[[#This Row],[Tech Start Date]],4),""))))</f>
        <v/>
      </c>
      <c r="O729" s="77" t="str">
        <f>IF(Main[[#This Row],[Tech Start Date]]&lt;1/1/1990,"",IF(Main[[#This Row],[Class]]="C",WORKDAY(Main[[#This Row],[Tech Start Date]],23),IF(Main[[#This Row],[Class]]="B", WORKDAY(Main[[#This Row],[Tech Start Date]],15),IF(Main[[#This Row],[Class]]="A",WORKDAY(Main[[#This Row],[Tech Start Date]],5),""))))</f>
        <v/>
      </c>
      <c r="P729" s="77" t="str">
        <f>IF(Main[[#This Row],[Tech Start Date]]&lt;1/1/1990,"",IF(Main[[#This Row],[Class]]="C",WORKDAY(Main[[#This Row],[Tech Start Date]],28),IF(Main[[#This Row],[Class]]="B", WORKDAY(Main[[#This Row],[Tech Start Date]],19),IF(Main[[#This Row],[Class]]="A",WORKDAY(Main[[#This Row],[Tech Start Date]],9),""))))</f>
        <v/>
      </c>
      <c r="Q729" s="74">
        <v>39990</v>
      </c>
      <c r="R729" s="74">
        <v>40497</v>
      </c>
      <c r="S729" s="72" t="s">
        <v>17</v>
      </c>
      <c r="T729" s="80" t="s">
        <v>4</v>
      </c>
      <c r="U729" s="72" t="s">
        <v>14</v>
      </c>
      <c r="V729" s="72" t="s">
        <v>1935</v>
      </c>
      <c r="W729" s="72" t="s">
        <v>1937</v>
      </c>
      <c r="X729" s="72" t="s">
        <v>2904</v>
      </c>
      <c r="Y729" s="72" t="s">
        <v>3021</v>
      </c>
      <c r="Z729" s="72" t="s">
        <v>420</v>
      </c>
      <c r="AA729" s="147" t="s">
        <v>3568</v>
      </c>
    </row>
    <row r="730" spans="1:27" ht="18.600000000000001" customHeight="1">
      <c r="A730" s="140" t="str">
        <f>IF(priority(Main[[#This Row],[Comments]])&lt;&gt;0, priority(Main[[#This Row],[Comments]]),"")</f>
        <v/>
      </c>
      <c r="B730" s="90" t="s">
        <v>1613</v>
      </c>
      <c r="C730" s="72" t="s">
        <v>31</v>
      </c>
      <c r="D730" s="73" t="s">
        <v>680</v>
      </c>
      <c r="E730" s="74"/>
      <c r="F730" s="74">
        <v>40725</v>
      </c>
      <c r="G730" s="75" t="str">
        <f>IF(stdProdLT(Main[[#This Row],[Comments]])=0.1,"N/A",IF(stdProdLT(Main[[#This Row],[Comments]])=0,"",stdProdLT(Main[[#This Row],[Comments]])))</f>
        <v/>
      </c>
      <c r="H730" s="76" t="str">
        <f>IF(AND(Main[[#This Row],[In Stock Date]]&lt;&gt;"",Main[[#This Row],[Revised Due Date]]&lt;&gt;""),Main[[#This Row],[In Stock Date]]-Main[[#This Row],[Revised Due Date]],"")</f>
        <v/>
      </c>
      <c r="I730" s="72" t="s">
        <v>4</v>
      </c>
      <c r="J730" s="72" t="s">
        <v>4</v>
      </c>
      <c r="K730" s="72" t="s">
        <v>4</v>
      </c>
      <c r="L730" s="74"/>
      <c r="M730" s="77" t="str">
        <f>IF(Main[[#This Row],[Tech Start Date]]&lt;1/1/1990,"",IF(Main[[#This Row],[Class]]="C",WORKDAY(Main[[#This Row],[Tech Start Date]],9),IF(Main[[#This Row],[Class]]="B", WORKDAY(Main[[#This Row],[Tech Start Date]],6),IF(Main[[#This Row],[Class]]="A",WORKDAY(Main[[#This Row],[Tech Start Date]],2),""))))</f>
        <v/>
      </c>
      <c r="N730" s="77" t="str">
        <f>IF(Main[[#This Row],[Tech Start Date]]&lt;1/1/1990,"",IF(Main[[#This Row],[Class]]="C",WORKDAY(Main[[#This Row],[Tech Start Date]],19),IF(Main[[#This Row],[Class]]="B", WORKDAY(Main[[#This Row],[Tech Start Date]],12),IF(Main[[#This Row],[Class]]="A",WORKDAY(Main[[#This Row],[Tech Start Date]],4),""))))</f>
        <v/>
      </c>
      <c r="O730" s="77" t="str">
        <f>IF(Main[[#This Row],[Tech Start Date]]&lt;1/1/1990,"",IF(Main[[#This Row],[Class]]="C",WORKDAY(Main[[#This Row],[Tech Start Date]],23),IF(Main[[#This Row],[Class]]="B", WORKDAY(Main[[#This Row],[Tech Start Date]],15),IF(Main[[#This Row],[Class]]="A",WORKDAY(Main[[#This Row],[Tech Start Date]],5),""))))</f>
        <v/>
      </c>
      <c r="P730" s="77" t="str">
        <f>IF(Main[[#This Row],[Tech Start Date]]&lt;1/1/1990,"",IF(Main[[#This Row],[Class]]="C",WORKDAY(Main[[#This Row],[Tech Start Date]],28),IF(Main[[#This Row],[Class]]="B", WORKDAY(Main[[#This Row],[Tech Start Date]],19),IF(Main[[#This Row],[Class]]="A",WORKDAY(Main[[#This Row],[Tech Start Date]],9),""))))</f>
        <v/>
      </c>
      <c r="Q730" s="74">
        <v>40634</v>
      </c>
      <c r="R730" s="155"/>
      <c r="S730" s="72" t="s">
        <v>11</v>
      </c>
      <c r="T730" s="80" t="s">
        <v>4</v>
      </c>
      <c r="U730" s="72" t="s">
        <v>14</v>
      </c>
      <c r="V730" s="72" t="s">
        <v>1935</v>
      </c>
      <c r="W730" s="72" t="s">
        <v>1938</v>
      </c>
      <c r="X730" s="72" t="s">
        <v>2929</v>
      </c>
      <c r="Y730" s="72" t="s">
        <v>3152</v>
      </c>
      <c r="Z730" s="72" t="s">
        <v>4</v>
      </c>
      <c r="AA730" s="147" t="s">
        <v>2929</v>
      </c>
    </row>
    <row r="731" spans="1:27" ht="18.600000000000001" customHeight="1">
      <c r="A731" s="140" t="str">
        <f>IF(priority(Main[[#This Row],[Comments]])&lt;&gt;0, priority(Main[[#This Row],[Comments]]),"")</f>
        <v/>
      </c>
      <c r="B731" s="90" t="s">
        <v>1726</v>
      </c>
      <c r="C731" s="72" t="s">
        <v>31</v>
      </c>
      <c r="D731" s="73" t="s">
        <v>778</v>
      </c>
      <c r="E731" s="74"/>
      <c r="F731" s="74">
        <v>40664</v>
      </c>
      <c r="G731" s="75" t="str">
        <f>IF(stdProdLT(Main[[#This Row],[Comments]])=0.1,"N/A",IF(stdProdLT(Main[[#This Row],[Comments]])=0,"",stdProdLT(Main[[#This Row],[Comments]])))</f>
        <v/>
      </c>
      <c r="H731" s="76" t="str">
        <f>IF(AND(Main[[#This Row],[In Stock Date]]&lt;&gt;"",Main[[#This Row],[Revised Due Date]]&lt;&gt;""),Main[[#This Row],[In Stock Date]]-Main[[#This Row],[Revised Due Date]],"")</f>
        <v/>
      </c>
      <c r="I731" s="72" t="s">
        <v>4</v>
      </c>
      <c r="J731" s="72" t="s">
        <v>28</v>
      </c>
      <c r="K731" s="81" t="s">
        <v>4</v>
      </c>
      <c r="L731" s="74"/>
      <c r="M731" s="77" t="str">
        <f>IF(Main[[#This Row],[Tech Start Date]]&lt;1/1/1990,"",IF(Main[[#This Row],[Class]]="C",WORKDAY(Main[[#This Row],[Tech Start Date]],9),IF(Main[[#This Row],[Class]]="B", WORKDAY(Main[[#This Row],[Tech Start Date]],6),IF(Main[[#This Row],[Class]]="A",WORKDAY(Main[[#This Row],[Tech Start Date]],2),""))))</f>
        <v/>
      </c>
      <c r="N731" s="77" t="str">
        <f>IF(Main[[#This Row],[Tech Start Date]]&lt;1/1/1990,"",IF(Main[[#This Row],[Class]]="C",WORKDAY(Main[[#This Row],[Tech Start Date]],19),IF(Main[[#This Row],[Class]]="B", WORKDAY(Main[[#This Row],[Tech Start Date]],12),IF(Main[[#This Row],[Class]]="A",WORKDAY(Main[[#This Row],[Tech Start Date]],4),""))))</f>
        <v/>
      </c>
      <c r="O731" s="77" t="str">
        <f>IF(Main[[#This Row],[Tech Start Date]]&lt;1/1/1990,"",IF(Main[[#This Row],[Class]]="C",WORKDAY(Main[[#This Row],[Tech Start Date]],23),IF(Main[[#This Row],[Class]]="B", WORKDAY(Main[[#This Row],[Tech Start Date]],15),IF(Main[[#This Row],[Class]]="A",WORKDAY(Main[[#This Row],[Tech Start Date]],5),""))))</f>
        <v/>
      </c>
      <c r="P731" s="77" t="str">
        <f>IF(Main[[#This Row],[Tech Start Date]]&lt;1/1/1990,"",IF(Main[[#This Row],[Class]]="C",WORKDAY(Main[[#This Row],[Tech Start Date]],28),IF(Main[[#This Row],[Class]]="B", WORKDAY(Main[[#This Row],[Tech Start Date]],19),IF(Main[[#This Row],[Class]]="A",WORKDAY(Main[[#This Row],[Tech Start Date]],9),""))))</f>
        <v/>
      </c>
      <c r="Q731" s="74">
        <v>40589</v>
      </c>
      <c r="R731" s="74"/>
      <c r="S731" s="72" t="s">
        <v>11</v>
      </c>
      <c r="T731" s="80" t="s">
        <v>4</v>
      </c>
      <c r="U731" s="72" t="s">
        <v>14</v>
      </c>
      <c r="V731" s="72" t="s">
        <v>1935</v>
      </c>
      <c r="W731" s="72" t="s">
        <v>1938</v>
      </c>
      <c r="X731" s="72" t="s">
        <v>50</v>
      </c>
      <c r="Y731" s="72" t="s">
        <v>3209</v>
      </c>
      <c r="Z731" s="72" t="s">
        <v>30</v>
      </c>
      <c r="AA731" s="147" t="s">
        <v>2909</v>
      </c>
    </row>
    <row r="732" spans="1:27" ht="18.600000000000001" customHeight="1">
      <c r="A732" s="140" t="str">
        <f>IF(priority(Main[[#This Row],[Comments]])&lt;&gt;0, priority(Main[[#This Row],[Comments]]),"")</f>
        <v/>
      </c>
      <c r="B732" s="90" t="s">
        <v>2407</v>
      </c>
      <c r="C732" s="72" t="s">
        <v>4</v>
      </c>
      <c r="D732" s="73" t="s">
        <v>3266</v>
      </c>
      <c r="E732" s="74">
        <v>40861.64230324074</v>
      </c>
      <c r="F732" s="74"/>
      <c r="G732" s="75" t="str">
        <f>IF(stdProdLT(Main[[#This Row],[Comments]])=0.1,"N/A",IF(stdProdLT(Main[[#This Row],[Comments]])=0,"",stdProdLT(Main[[#This Row],[Comments]])))</f>
        <v/>
      </c>
      <c r="H732" s="76" t="str">
        <f>IF(AND(Main[[#This Row],[In Stock Date]]&lt;&gt;"",Main[[#This Row],[Revised Due Date]]&lt;&gt;""),Main[[#This Row],[In Stock Date]]-Main[[#This Row],[Revised Due Date]],"")</f>
        <v/>
      </c>
      <c r="I732" s="72" t="s">
        <v>775</v>
      </c>
      <c r="J732" s="72" t="s">
        <v>52</v>
      </c>
      <c r="K732" s="72" t="s">
        <v>1941</v>
      </c>
      <c r="L732" s="74"/>
      <c r="M732" s="77" t="str">
        <f>IF(Main[[#This Row],[Tech Start Date]]&lt;1/1/1990,"",IF(Main[[#This Row],[Class]]="C",WORKDAY(Main[[#This Row],[Tech Start Date]],9),IF(Main[[#This Row],[Class]]="B", WORKDAY(Main[[#This Row],[Tech Start Date]],6),IF(Main[[#This Row],[Class]]="A",WORKDAY(Main[[#This Row],[Tech Start Date]],2),""))))</f>
        <v/>
      </c>
      <c r="N732" s="77" t="str">
        <f>IF(Main[[#This Row],[Tech Start Date]]&lt;1/1/1990,"",IF(Main[[#This Row],[Class]]="C",WORKDAY(Main[[#This Row],[Tech Start Date]],19),IF(Main[[#This Row],[Class]]="B", WORKDAY(Main[[#This Row],[Tech Start Date]],12),IF(Main[[#This Row],[Class]]="A",WORKDAY(Main[[#This Row],[Tech Start Date]],4),""))))</f>
        <v/>
      </c>
      <c r="O732" s="77" t="str">
        <f>IF(Main[[#This Row],[Tech Start Date]]&lt;1/1/1990,"",IF(Main[[#This Row],[Class]]="C",WORKDAY(Main[[#This Row],[Tech Start Date]],23),IF(Main[[#This Row],[Class]]="B", WORKDAY(Main[[#This Row],[Tech Start Date]],15),IF(Main[[#This Row],[Class]]="A",WORKDAY(Main[[#This Row],[Tech Start Date]],5),""))))</f>
        <v/>
      </c>
      <c r="P732" s="77" t="str">
        <f>IF(Main[[#This Row],[Tech Start Date]]&lt;1/1/1990,"",IF(Main[[#This Row],[Class]]="C",WORKDAY(Main[[#This Row],[Tech Start Date]],28),IF(Main[[#This Row],[Class]]="B", WORKDAY(Main[[#This Row],[Tech Start Date]],19),IF(Main[[#This Row],[Class]]="A",WORKDAY(Main[[#This Row],[Tech Start Date]],9),""))))</f>
        <v/>
      </c>
      <c r="Q732" s="74">
        <v>40897</v>
      </c>
      <c r="R732" s="74"/>
      <c r="S732" s="72" t="s">
        <v>6</v>
      </c>
      <c r="T732" s="80" t="s">
        <v>4</v>
      </c>
      <c r="U732" s="72" t="s">
        <v>29</v>
      </c>
      <c r="V732" s="72" t="s">
        <v>1935</v>
      </c>
      <c r="W732" s="72" t="s">
        <v>1936</v>
      </c>
      <c r="X732" s="72" t="s">
        <v>30</v>
      </c>
      <c r="Y732" s="72" t="s">
        <v>3027</v>
      </c>
      <c r="Z732" s="72" t="s">
        <v>30</v>
      </c>
      <c r="AA732" s="147" t="s">
        <v>30</v>
      </c>
    </row>
    <row r="733" spans="1:27" ht="18.600000000000001" customHeight="1">
      <c r="A733" s="140" t="str">
        <f>IF(priority(Main[[#This Row],[Comments]])&lt;&gt;0, priority(Main[[#This Row],[Comments]]),"")</f>
        <v/>
      </c>
      <c r="B733" s="90" t="s">
        <v>1614</v>
      </c>
      <c r="C733" s="72" t="s">
        <v>4</v>
      </c>
      <c r="D733" s="73" t="s">
        <v>681</v>
      </c>
      <c r="E733" s="74"/>
      <c r="F733" s="74"/>
      <c r="G733" s="75" t="str">
        <f>IF(stdProdLT(Main[[#This Row],[Comments]])=0.1,"N/A",IF(stdProdLT(Main[[#This Row],[Comments]])=0,"",stdProdLT(Main[[#This Row],[Comments]])))</f>
        <v/>
      </c>
      <c r="H733" s="76" t="str">
        <f>IF(AND(Main[[#This Row],[In Stock Date]]&lt;&gt;"",Main[[#This Row],[Revised Due Date]]&lt;&gt;""),Main[[#This Row],[In Stock Date]]-Main[[#This Row],[Revised Due Date]],"")</f>
        <v/>
      </c>
      <c r="I733" s="72" t="s">
        <v>102</v>
      </c>
      <c r="J733" s="72" t="s">
        <v>4</v>
      </c>
      <c r="K733" s="72" t="s">
        <v>1939</v>
      </c>
      <c r="L733" s="74"/>
      <c r="M733" s="77" t="str">
        <f>IF(Main[[#This Row],[Tech Start Date]]&lt;1/1/1990,"",IF(Main[[#This Row],[Class]]="C",WORKDAY(Main[[#This Row],[Tech Start Date]],9),IF(Main[[#This Row],[Class]]="B", WORKDAY(Main[[#This Row],[Tech Start Date]],6),IF(Main[[#This Row],[Class]]="A",WORKDAY(Main[[#This Row],[Tech Start Date]],2),""))))</f>
        <v/>
      </c>
      <c r="N733" s="77" t="str">
        <f>IF(Main[[#This Row],[Tech Start Date]]&lt;1/1/1990,"",IF(Main[[#This Row],[Class]]="C",WORKDAY(Main[[#This Row],[Tech Start Date]],19),IF(Main[[#This Row],[Class]]="B", WORKDAY(Main[[#This Row],[Tech Start Date]],12),IF(Main[[#This Row],[Class]]="A",WORKDAY(Main[[#This Row],[Tech Start Date]],4),""))))</f>
        <v/>
      </c>
      <c r="O733" s="77" t="str">
        <f>IF(Main[[#This Row],[Tech Start Date]]&lt;1/1/1990,"",IF(Main[[#This Row],[Class]]="C",WORKDAY(Main[[#This Row],[Tech Start Date]],23),IF(Main[[#This Row],[Class]]="B", WORKDAY(Main[[#This Row],[Tech Start Date]],15),IF(Main[[#This Row],[Class]]="A",WORKDAY(Main[[#This Row],[Tech Start Date]],5),""))))</f>
        <v/>
      </c>
      <c r="P733" s="77" t="str">
        <f>IF(Main[[#This Row],[Tech Start Date]]&lt;1/1/1990,"",IF(Main[[#This Row],[Class]]="C",WORKDAY(Main[[#This Row],[Tech Start Date]],28),IF(Main[[#This Row],[Class]]="B", WORKDAY(Main[[#This Row],[Tech Start Date]],19),IF(Main[[#This Row],[Class]]="A",WORKDAY(Main[[#This Row],[Tech Start Date]],9),""))))</f>
        <v/>
      </c>
      <c r="Q733" s="74"/>
      <c r="R733" s="74"/>
      <c r="S733" s="72" t="s">
        <v>23</v>
      </c>
      <c r="T733" s="80" t="s">
        <v>4</v>
      </c>
      <c r="U733" s="72" t="s">
        <v>14</v>
      </c>
      <c r="V733" s="72" t="s">
        <v>1932</v>
      </c>
      <c r="W733" s="72" t="s">
        <v>1936</v>
      </c>
      <c r="X733" s="72" t="s">
        <v>310</v>
      </c>
      <c r="Y733" s="72" t="s">
        <v>4</v>
      </c>
      <c r="Z733" s="72" t="s">
        <v>4</v>
      </c>
      <c r="AA733" s="147" t="s">
        <v>3615</v>
      </c>
    </row>
    <row r="734" spans="1:27" ht="18.600000000000001" customHeight="1">
      <c r="A734" s="140" t="str">
        <f>IF(priority(Main[[#This Row],[Comments]])&lt;&gt;0, priority(Main[[#This Row],[Comments]]),"")</f>
        <v/>
      </c>
      <c r="B734" s="90" t="s">
        <v>1615</v>
      </c>
      <c r="C734" s="72" t="s">
        <v>4</v>
      </c>
      <c r="D734" s="73" t="s">
        <v>682</v>
      </c>
      <c r="E734" s="74">
        <v>40491.714780092596</v>
      </c>
      <c r="F734" s="74"/>
      <c r="G734" s="75" t="str">
        <f>IF(stdProdLT(Main[[#This Row],[Comments]])=0.1,"N/A",IF(stdProdLT(Main[[#This Row],[Comments]])=0,"",stdProdLT(Main[[#This Row],[Comments]])))</f>
        <v/>
      </c>
      <c r="H734" s="76" t="str">
        <f>IF(AND(Main[[#This Row],[In Stock Date]]&lt;&gt;"",Main[[#This Row],[Revised Due Date]]&lt;&gt;""),Main[[#This Row],[In Stock Date]]-Main[[#This Row],[Revised Due Date]],"")</f>
        <v/>
      </c>
      <c r="I734" s="72" t="s">
        <v>4</v>
      </c>
      <c r="J734" s="72" t="s">
        <v>28</v>
      </c>
      <c r="K734" s="72" t="s">
        <v>1939</v>
      </c>
      <c r="L734" s="74"/>
      <c r="M734" s="77" t="str">
        <f>IF(Main[[#This Row],[Tech Start Date]]&lt;1/1/1990,"",IF(Main[[#This Row],[Class]]="C",WORKDAY(Main[[#This Row],[Tech Start Date]],9),IF(Main[[#This Row],[Class]]="B", WORKDAY(Main[[#This Row],[Tech Start Date]],6),IF(Main[[#This Row],[Class]]="A",WORKDAY(Main[[#This Row],[Tech Start Date]],2),""))))</f>
        <v/>
      </c>
      <c r="N734" s="77" t="str">
        <f>IF(Main[[#This Row],[Tech Start Date]]&lt;1/1/1990,"",IF(Main[[#This Row],[Class]]="C",WORKDAY(Main[[#This Row],[Tech Start Date]],19),IF(Main[[#This Row],[Class]]="B", WORKDAY(Main[[#This Row],[Tech Start Date]],12),IF(Main[[#This Row],[Class]]="A",WORKDAY(Main[[#This Row],[Tech Start Date]],4),""))))</f>
        <v/>
      </c>
      <c r="O734" s="77" t="str">
        <f>IF(Main[[#This Row],[Tech Start Date]]&lt;1/1/1990,"",IF(Main[[#This Row],[Class]]="C",WORKDAY(Main[[#This Row],[Tech Start Date]],23),IF(Main[[#This Row],[Class]]="B", WORKDAY(Main[[#This Row],[Tech Start Date]],15),IF(Main[[#This Row],[Class]]="A",WORKDAY(Main[[#This Row],[Tech Start Date]],5),""))))</f>
        <v/>
      </c>
      <c r="P734" s="77" t="str">
        <f>IF(Main[[#This Row],[Tech Start Date]]&lt;1/1/1990,"",IF(Main[[#This Row],[Class]]="C",WORKDAY(Main[[#This Row],[Tech Start Date]],28),IF(Main[[#This Row],[Class]]="B", WORKDAY(Main[[#This Row],[Tech Start Date]],19),IF(Main[[#This Row],[Class]]="A",WORKDAY(Main[[#This Row],[Tech Start Date]],9),""))))</f>
        <v/>
      </c>
      <c r="Q734" s="74">
        <v>40520</v>
      </c>
      <c r="R734" s="74"/>
      <c r="S734" s="72" t="s">
        <v>6</v>
      </c>
      <c r="T734" s="80" t="s">
        <v>4</v>
      </c>
      <c r="U734" s="72" t="s">
        <v>7</v>
      </c>
      <c r="V734" s="72" t="s">
        <v>1932</v>
      </c>
      <c r="W734" s="72" t="s">
        <v>1934</v>
      </c>
      <c r="X734" s="72" t="s">
        <v>2905</v>
      </c>
      <c r="Y734" s="72" t="s">
        <v>3023</v>
      </c>
      <c r="Z734" s="72" t="s">
        <v>129</v>
      </c>
      <c r="AA734" s="147" t="s">
        <v>2905</v>
      </c>
    </row>
    <row r="735" spans="1:27" ht="18.600000000000001" customHeight="1">
      <c r="A735" s="140" t="str">
        <f>IF(priority(Main[[#This Row],[Comments]])&lt;&gt;0, priority(Main[[#This Row],[Comments]]),"")</f>
        <v/>
      </c>
      <c r="B735" s="90" t="s">
        <v>1616</v>
      </c>
      <c r="C735" s="72" t="s">
        <v>47</v>
      </c>
      <c r="D735" s="73" t="s">
        <v>683</v>
      </c>
      <c r="E735" s="74"/>
      <c r="F735" s="74"/>
      <c r="G735" s="75" t="str">
        <f>IF(stdProdLT(Main[[#This Row],[Comments]])=0.1,"N/A",IF(stdProdLT(Main[[#This Row],[Comments]])=0,"",stdProdLT(Main[[#This Row],[Comments]])))</f>
        <v/>
      </c>
      <c r="H735" s="76" t="str">
        <f>IF(AND(Main[[#This Row],[In Stock Date]]&lt;&gt;"",Main[[#This Row],[Revised Due Date]]&lt;&gt;""),Main[[#This Row],[In Stock Date]]-Main[[#This Row],[Revised Due Date]],"")</f>
        <v/>
      </c>
      <c r="I735" s="72" t="s">
        <v>4</v>
      </c>
      <c r="J735" s="72" t="s">
        <v>4</v>
      </c>
      <c r="K735" s="72" t="s">
        <v>4</v>
      </c>
      <c r="L735" s="74"/>
      <c r="M735" s="77" t="str">
        <f>IF(Main[[#This Row],[Tech Start Date]]&lt;1/1/1990,"",IF(Main[[#This Row],[Class]]="C",WORKDAY(Main[[#This Row],[Tech Start Date]],9),IF(Main[[#This Row],[Class]]="B", WORKDAY(Main[[#This Row],[Tech Start Date]],6),IF(Main[[#This Row],[Class]]="A",WORKDAY(Main[[#This Row],[Tech Start Date]],2),""))))</f>
        <v/>
      </c>
      <c r="N735" s="77" t="str">
        <f>IF(Main[[#This Row],[Tech Start Date]]&lt;1/1/1990,"",IF(Main[[#This Row],[Class]]="C",WORKDAY(Main[[#This Row],[Tech Start Date]],19),IF(Main[[#This Row],[Class]]="B", WORKDAY(Main[[#This Row],[Tech Start Date]],12),IF(Main[[#This Row],[Class]]="A",WORKDAY(Main[[#This Row],[Tech Start Date]],4),""))))</f>
        <v/>
      </c>
      <c r="O735" s="77" t="str">
        <f>IF(Main[[#This Row],[Tech Start Date]]&lt;1/1/1990,"",IF(Main[[#This Row],[Class]]="C",WORKDAY(Main[[#This Row],[Tech Start Date]],23),IF(Main[[#This Row],[Class]]="B", WORKDAY(Main[[#This Row],[Tech Start Date]],15),IF(Main[[#This Row],[Class]]="A",WORKDAY(Main[[#This Row],[Tech Start Date]],5),""))))</f>
        <v/>
      </c>
      <c r="P735" s="77" t="str">
        <f>IF(Main[[#This Row],[Tech Start Date]]&lt;1/1/1990,"",IF(Main[[#This Row],[Class]]="C",WORKDAY(Main[[#This Row],[Tech Start Date]],28),IF(Main[[#This Row],[Class]]="B", WORKDAY(Main[[#This Row],[Tech Start Date]],19),IF(Main[[#This Row],[Class]]="A",WORKDAY(Main[[#This Row],[Tech Start Date]],9),""))))</f>
        <v/>
      </c>
      <c r="Q735" s="74"/>
      <c r="R735" s="74"/>
      <c r="S735" s="72" t="s">
        <v>11</v>
      </c>
      <c r="T735" s="80" t="s">
        <v>4</v>
      </c>
      <c r="U735" s="72" t="s">
        <v>14</v>
      </c>
      <c r="V735" s="72" t="s">
        <v>1933</v>
      </c>
      <c r="W735" s="72" t="s">
        <v>1936</v>
      </c>
      <c r="X735" s="72" t="s">
        <v>310</v>
      </c>
      <c r="Y735" s="72" t="s">
        <v>3028</v>
      </c>
      <c r="Z735" s="72" t="s">
        <v>4</v>
      </c>
      <c r="AA735" s="147" t="s">
        <v>3564</v>
      </c>
    </row>
    <row r="736" spans="1:27" ht="18.600000000000001" customHeight="1">
      <c r="A736" s="140" t="str">
        <f>IF(priority(Main[[#This Row],[Comments]])&lt;&gt;0, priority(Main[[#This Row],[Comments]]),"")</f>
        <v/>
      </c>
      <c r="B736" s="90" t="s">
        <v>1617</v>
      </c>
      <c r="C736" s="72" t="s">
        <v>279</v>
      </c>
      <c r="D736" s="73" t="s">
        <v>591</v>
      </c>
      <c r="E736" s="74"/>
      <c r="F736" s="74">
        <v>40186</v>
      </c>
      <c r="G736" s="75" t="str">
        <f>IF(stdProdLT(Main[[#This Row],[Comments]])=0.1,"N/A",IF(stdProdLT(Main[[#This Row],[Comments]])=0,"",stdProdLT(Main[[#This Row],[Comments]])))</f>
        <v/>
      </c>
      <c r="H736" s="76" t="str">
        <f>IF(AND(Main[[#This Row],[In Stock Date]]&lt;&gt;"",Main[[#This Row],[Revised Due Date]]&lt;&gt;""),Main[[#This Row],[In Stock Date]]-Main[[#This Row],[Revised Due Date]],"")</f>
        <v/>
      </c>
      <c r="I736" s="72" t="s">
        <v>4</v>
      </c>
      <c r="J736" s="72" t="s">
        <v>4</v>
      </c>
      <c r="K736" s="72" t="s">
        <v>4</v>
      </c>
      <c r="L736" s="74"/>
      <c r="M736" s="77" t="str">
        <f>IF(Main[[#This Row],[Tech Start Date]]&lt;1/1/1990,"",IF(Main[[#This Row],[Class]]="C",WORKDAY(Main[[#This Row],[Tech Start Date]],9),IF(Main[[#This Row],[Class]]="B", WORKDAY(Main[[#This Row],[Tech Start Date]],6),IF(Main[[#This Row],[Class]]="A",WORKDAY(Main[[#This Row],[Tech Start Date]],2),""))))</f>
        <v/>
      </c>
      <c r="N736" s="77" t="str">
        <f>IF(Main[[#This Row],[Tech Start Date]]&lt;1/1/1990,"",IF(Main[[#This Row],[Class]]="C",WORKDAY(Main[[#This Row],[Tech Start Date]],19),IF(Main[[#This Row],[Class]]="B", WORKDAY(Main[[#This Row],[Tech Start Date]],12),IF(Main[[#This Row],[Class]]="A",WORKDAY(Main[[#This Row],[Tech Start Date]],4),""))))</f>
        <v/>
      </c>
      <c r="O736" s="77" t="str">
        <f>IF(Main[[#This Row],[Tech Start Date]]&lt;1/1/1990,"",IF(Main[[#This Row],[Class]]="C",WORKDAY(Main[[#This Row],[Tech Start Date]],23),IF(Main[[#This Row],[Class]]="B", WORKDAY(Main[[#This Row],[Tech Start Date]],15),IF(Main[[#This Row],[Class]]="A",WORKDAY(Main[[#This Row],[Tech Start Date]],5),""))))</f>
        <v/>
      </c>
      <c r="P736" s="77" t="str">
        <f>IF(Main[[#This Row],[Tech Start Date]]&lt;1/1/1990,"",IF(Main[[#This Row],[Class]]="C",WORKDAY(Main[[#This Row],[Tech Start Date]],28),IF(Main[[#This Row],[Class]]="B", WORKDAY(Main[[#This Row],[Tech Start Date]],19),IF(Main[[#This Row],[Class]]="A",WORKDAY(Main[[#This Row],[Tech Start Date]],9),""))))</f>
        <v/>
      </c>
      <c r="Q736" s="74">
        <v>40186</v>
      </c>
      <c r="R736" s="74"/>
      <c r="S736" s="72" t="s">
        <v>11</v>
      </c>
      <c r="T736" s="80" t="s">
        <v>4</v>
      </c>
      <c r="U736" s="72" t="s">
        <v>14</v>
      </c>
      <c r="V736" s="72" t="s">
        <v>1935</v>
      </c>
      <c r="W736" s="72" t="s">
        <v>1940</v>
      </c>
      <c r="X736" s="72" t="s">
        <v>2926</v>
      </c>
      <c r="Y736" s="72" t="s">
        <v>4</v>
      </c>
      <c r="Z736" s="72" t="s">
        <v>4</v>
      </c>
      <c r="AA736" s="147" t="s">
        <v>2926</v>
      </c>
    </row>
    <row r="737" spans="1:27" ht="18.600000000000001" customHeight="1">
      <c r="A737" s="140" t="str">
        <f>IF(priority(Main[[#This Row],[Comments]])&lt;&gt;0, priority(Main[[#This Row],[Comments]]),"")</f>
        <v/>
      </c>
      <c r="B737" s="90" t="s">
        <v>1067</v>
      </c>
      <c r="C737" s="72" t="s">
        <v>4</v>
      </c>
      <c r="D737" s="73" t="s">
        <v>39</v>
      </c>
      <c r="E737" s="74"/>
      <c r="F737" s="74"/>
      <c r="G737" s="75" t="str">
        <f>IF(stdProdLT(Main[[#This Row],[Comments]])=0.1,"N/A",IF(stdProdLT(Main[[#This Row],[Comments]])=0,"",stdProdLT(Main[[#This Row],[Comments]])))</f>
        <v/>
      </c>
      <c r="H737" s="76" t="str">
        <f>IF(AND(Main[[#This Row],[In Stock Date]]&lt;&gt;"",Main[[#This Row],[Revised Due Date]]&lt;&gt;""),Main[[#This Row],[In Stock Date]]-Main[[#This Row],[Revised Due Date]],"")</f>
        <v/>
      </c>
      <c r="I737" s="72" t="s">
        <v>494</v>
      </c>
      <c r="J737" s="72" t="s">
        <v>70</v>
      </c>
      <c r="K737" s="72" t="s">
        <v>1941</v>
      </c>
      <c r="L737" s="74"/>
      <c r="M737" s="77" t="str">
        <f>IF(Main[[#This Row],[Tech Start Date]]&lt;1/1/1990,"",IF(Main[[#This Row],[Class]]="C",WORKDAY(Main[[#This Row],[Tech Start Date]],9),IF(Main[[#This Row],[Class]]="B", WORKDAY(Main[[#This Row],[Tech Start Date]],6),IF(Main[[#This Row],[Class]]="A",WORKDAY(Main[[#This Row],[Tech Start Date]],2),""))))</f>
        <v/>
      </c>
      <c r="N737" s="77" t="str">
        <f>IF(Main[[#This Row],[Tech Start Date]]&lt;1/1/1990,"",IF(Main[[#This Row],[Class]]="C",WORKDAY(Main[[#This Row],[Tech Start Date]],19),IF(Main[[#This Row],[Class]]="B", WORKDAY(Main[[#This Row],[Tech Start Date]],12),IF(Main[[#This Row],[Class]]="A",WORKDAY(Main[[#This Row],[Tech Start Date]],4),""))))</f>
        <v/>
      </c>
      <c r="O737" s="77" t="str">
        <f>IF(Main[[#This Row],[Tech Start Date]]&lt;1/1/1990,"",IF(Main[[#This Row],[Class]]="C",WORKDAY(Main[[#This Row],[Tech Start Date]],23),IF(Main[[#This Row],[Class]]="B", WORKDAY(Main[[#This Row],[Tech Start Date]],15),IF(Main[[#This Row],[Class]]="A",WORKDAY(Main[[#This Row],[Tech Start Date]],5),""))))</f>
        <v/>
      </c>
      <c r="P737" s="77" t="str">
        <f>IF(Main[[#This Row],[Tech Start Date]]&lt;1/1/1990,"",IF(Main[[#This Row],[Class]]="C",WORKDAY(Main[[#This Row],[Tech Start Date]],28),IF(Main[[#This Row],[Class]]="B", WORKDAY(Main[[#This Row],[Tech Start Date]],19),IF(Main[[#This Row],[Class]]="A",WORKDAY(Main[[#This Row],[Tech Start Date]],9),""))))</f>
        <v/>
      </c>
      <c r="Q737" s="74">
        <v>40704</v>
      </c>
      <c r="R737" s="74"/>
      <c r="S737" s="72" t="s">
        <v>6</v>
      </c>
      <c r="T737" s="80" t="s">
        <v>4</v>
      </c>
      <c r="U737" s="72" t="s">
        <v>14</v>
      </c>
      <c r="V737" s="72" t="s">
        <v>1935</v>
      </c>
      <c r="W737" s="72" t="s">
        <v>1936</v>
      </c>
      <c r="X737" s="72" t="s">
        <v>2902</v>
      </c>
      <c r="Y737" s="72" t="s">
        <v>3016</v>
      </c>
      <c r="Z737" s="72" t="s">
        <v>30</v>
      </c>
      <c r="AA737" s="147" t="s">
        <v>2902</v>
      </c>
    </row>
    <row r="738" spans="1:27" ht="18.600000000000001" customHeight="1">
      <c r="A738" s="140" t="str">
        <f>IF(priority(Main[[#This Row],[Comments]])&lt;&gt;0, priority(Main[[#This Row],[Comments]]),"")</f>
        <v/>
      </c>
      <c r="B738" s="90" t="s">
        <v>1619</v>
      </c>
      <c r="C738" s="72" t="s">
        <v>4</v>
      </c>
      <c r="D738" s="73" t="s">
        <v>685</v>
      </c>
      <c r="E738" s="74">
        <v>40497.338240740741</v>
      </c>
      <c r="F738" s="74"/>
      <c r="G738" s="75" t="str">
        <f>IF(stdProdLT(Main[[#This Row],[Comments]])=0.1,"N/A",IF(stdProdLT(Main[[#This Row],[Comments]])=0,"",stdProdLT(Main[[#This Row],[Comments]])))</f>
        <v/>
      </c>
      <c r="H738" s="76" t="str">
        <f>IF(AND(Main[[#This Row],[In Stock Date]]&lt;&gt;"",Main[[#This Row],[Revised Due Date]]&lt;&gt;""),Main[[#This Row],[In Stock Date]]-Main[[#This Row],[Revised Due Date]],"")</f>
        <v/>
      </c>
      <c r="I738" s="72" t="s">
        <v>4</v>
      </c>
      <c r="J738" s="72" t="s">
        <v>4</v>
      </c>
      <c r="K738" s="72" t="s">
        <v>4</v>
      </c>
      <c r="L738" s="74"/>
      <c r="M738" s="77" t="str">
        <f>IF(Main[[#This Row],[Tech Start Date]]&lt;1/1/1990,"",IF(Main[[#This Row],[Class]]="C",WORKDAY(Main[[#This Row],[Tech Start Date]],9),IF(Main[[#This Row],[Class]]="B", WORKDAY(Main[[#This Row],[Tech Start Date]],6),IF(Main[[#This Row],[Class]]="A",WORKDAY(Main[[#This Row],[Tech Start Date]],2),""))))</f>
        <v/>
      </c>
      <c r="N738" s="77" t="str">
        <f>IF(Main[[#This Row],[Tech Start Date]]&lt;1/1/1990,"",IF(Main[[#This Row],[Class]]="C",WORKDAY(Main[[#This Row],[Tech Start Date]],19),IF(Main[[#This Row],[Class]]="B", WORKDAY(Main[[#This Row],[Tech Start Date]],12),IF(Main[[#This Row],[Class]]="A",WORKDAY(Main[[#This Row],[Tech Start Date]],4),""))))</f>
        <v/>
      </c>
      <c r="O738" s="77" t="str">
        <f>IF(Main[[#This Row],[Tech Start Date]]&lt;1/1/1990,"",IF(Main[[#This Row],[Class]]="C",WORKDAY(Main[[#This Row],[Tech Start Date]],23),IF(Main[[#This Row],[Class]]="B", WORKDAY(Main[[#This Row],[Tech Start Date]],15),IF(Main[[#This Row],[Class]]="A",WORKDAY(Main[[#This Row],[Tech Start Date]],5),""))))</f>
        <v/>
      </c>
      <c r="P738" s="77" t="str">
        <f>IF(Main[[#This Row],[Tech Start Date]]&lt;1/1/1990,"",IF(Main[[#This Row],[Class]]="C",WORKDAY(Main[[#This Row],[Tech Start Date]],28),IF(Main[[#This Row],[Class]]="B", WORKDAY(Main[[#This Row],[Tech Start Date]],19),IF(Main[[#This Row],[Class]]="A",WORKDAY(Main[[#This Row],[Tech Start Date]],9),""))))</f>
        <v/>
      </c>
      <c r="Q738" s="74">
        <v>40529</v>
      </c>
      <c r="R738" s="74"/>
      <c r="S738" s="72" t="s">
        <v>4</v>
      </c>
      <c r="T738" s="80" t="s">
        <v>4</v>
      </c>
      <c r="U738" s="72" t="s">
        <v>7</v>
      </c>
      <c r="V738" s="72" t="s">
        <v>1932</v>
      </c>
      <c r="W738" s="72" t="s">
        <v>4</v>
      </c>
      <c r="X738" s="72" t="s">
        <v>2902</v>
      </c>
      <c r="Y738" s="72" t="s">
        <v>3016</v>
      </c>
      <c r="Z738" s="72" t="s">
        <v>4</v>
      </c>
      <c r="AA738" s="147" t="s">
        <v>2902</v>
      </c>
    </row>
    <row r="739" spans="1:27" ht="18.600000000000001" customHeight="1">
      <c r="A739" s="140" t="str">
        <f>IF(priority(Main[[#This Row],[Comments]])&lt;&gt;0, priority(Main[[#This Row],[Comments]]),"")</f>
        <v/>
      </c>
      <c r="B739" s="90" t="s">
        <v>1620</v>
      </c>
      <c r="C739" s="72" t="s">
        <v>72</v>
      </c>
      <c r="D739" s="73" t="s">
        <v>652</v>
      </c>
      <c r="E739" s="74"/>
      <c r="F739" s="74"/>
      <c r="G739" s="75" t="str">
        <f>IF(stdProdLT(Main[[#This Row],[Comments]])=0.1,"N/A",IF(stdProdLT(Main[[#This Row],[Comments]])=0,"",stdProdLT(Main[[#This Row],[Comments]])))</f>
        <v/>
      </c>
      <c r="H739" s="76" t="str">
        <f>IF(AND(Main[[#This Row],[In Stock Date]]&lt;&gt;"",Main[[#This Row],[Revised Due Date]]&lt;&gt;""),Main[[#This Row],[In Stock Date]]-Main[[#This Row],[Revised Due Date]],"")</f>
        <v/>
      </c>
      <c r="I739" s="72" t="s">
        <v>4</v>
      </c>
      <c r="J739" s="72" t="s">
        <v>4</v>
      </c>
      <c r="K739" s="81" t="s">
        <v>4</v>
      </c>
      <c r="L739" s="74"/>
      <c r="M739" s="77" t="str">
        <f>IF(Main[[#This Row],[Tech Start Date]]&lt;1/1/1990,"",IF(Main[[#This Row],[Class]]="C",WORKDAY(Main[[#This Row],[Tech Start Date]],9),IF(Main[[#This Row],[Class]]="B", WORKDAY(Main[[#This Row],[Tech Start Date]],6),IF(Main[[#This Row],[Class]]="A",WORKDAY(Main[[#This Row],[Tech Start Date]],2),""))))</f>
        <v/>
      </c>
      <c r="N739" s="77" t="str">
        <f>IF(Main[[#This Row],[Tech Start Date]]&lt;1/1/1990,"",IF(Main[[#This Row],[Class]]="C",WORKDAY(Main[[#This Row],[Tech Start Date]],19),IF(Main[[#This Row],[Class]]="B", WORKDAY(Main[[#This Row],[Tech Start Date]],12),IF(Main[[#This Row],[Class]]="A",WORKDAY(Main[[#This Row],[Tech Start Date]],4),""))))</f>
        <v/>
      </c>
      <c r="O739" s="77" t="str">
        <f>IF(Main[[#This Row],[Tech Start Date]]&lt;1/1/1990,"",IF(Main[[#This Row],[Class]]="C",WORKDAY(Main[[#This Row],[Tech Start Date]],23),IF(Main[[#This Row],[Class]]="B", WORKDAY(Main[[#This Row],[Tech Start Date]],15),IF(Main[[#This Row],[Class]]="A",WORKDAY(Main[[#This Row],[Tech Start Date]],5),""))))</f>
        <v/>
      </c>
      <c r="P739" s="77" t="str">
        <f>IF(Main[[#This Row],[Tech Start Date]]&lt;1/1/1990,"",IF(Main[[#This Row],[Class]]="C",WORKDAY(Main[[#This Row],[Tech Start Date]],28),IF(Main[[#This Row],[Class]]="B", WORKDAY(Main[[#This Row],[Tech Start Date]],19),IF(Main[[#This Row],[Class]]="A",WORKDAY(Main[[#This Row],[Tech Start Date]],9),""))))</f>
        <v/>
      </c>
      <c r="Q739" s="74"/>
      <c r="R739" s="74"/>
      <c r="S739" s="72" t="s">
        <v>49</v>
      </c>
      <c r="T739" s="80" t="s">
        <v>4</v>
      </c>
      <c r="U739" s="72" t="s">
        <v>12</v>
      </c>
      <c r="V739" s="72" t="s">
        <v>1933</v>
      </c>
      <c r="W739" s="72" t="s">
        <v>1934</v>
      </c>
      <c r="X739" s="72" t="s">
        <v>2985</v>
      </c>
      <c r="Y739" s="72" t="s">
        <v>3166</v>
      </c>
      <c r="Z739" s="72" t="s">
        <v>4</v>
      </c>
      <c r="AA739" s="147" t="s">
        <v>2985</v>
      </c>
    </row>
    <row r="740" spans="1:27" ht="18.600000000000001" customHeight="1">
      <c r="A740" s="140" t="str">
        <f>IF(priority(Main[[#This Row],[Comments]])&lt;&gt;0, priority(Main[[#This Row],[Comments]]),"")</f>
        <v/>
      </c>
      <c r="B740" s="90" t="s">
        <v>1622</v>
      </c>
      <c r="C740" s="72" t="s">
        <v>4</v>
      </c>
      <c r="D740" s="73" t="s">
        <v>687</v>
      </c>
      <c r="E740" s="74">
        <v>40666.673935185187</v>
      </c>
      <c r="F740" s="74"/>
      <c r="G740" s="75" t="str">
        <f>IF(stdProdLT(Main[[#This Row],[Comments]])=0.1,"N/A",IF(stdProdLT(Main[[#This Row],[Comments]])=0,"",stdProdLT(Main[[#This Row],[Comments]])))</f>
        <v/>
      </c>
      <c r="H740" s="76" t="str">
        <f>IF(AND(Main[[#This Row],[In Stock Date]]&lt;&gt;"",Main[[#This Row],[Revised Due Date]]&lt;&gt;""),Main[[#This Row],[In Stock Date]]-Main[[#This Row],[Revised Due Date]],"")</f>
        <v/>
      </c>
      <c r="I740" s="72" t="s">
        <v>374</v>
      </c>
      <c r="J740" s="72" t="s">
        <v>4</v>
      </c>
      <c r="K740" s="72" t="s">
        <v>4</v>
      </c>
      <c r="L740" s="74"/>
      <c r="M740" s="77" t="str">
        <f>IF(Main[[#This Row],[Tech Start Date]]&lt;1/1/1990,"",IF(Main[[#This Row],[Class]]="C",WORKDAY(Main[[#This Row],[Tech Start Date]],9),IF(Main[[#This Row],[Class]]="B", WORKDAY(Main[[#This Row],[Tech Start Date]],6),IF(Main[[#This Row],[Class]]="A",WORKDAY(Main[[#This Row],[Tech Start Date]],2),""))))</f>
        <v/>
      </c>
      <c r="N740" s="77" t="str">
        <f>IF(Main[[#This Row],[Tech Start Date]]&lt;1/1/1990,"",IF(Main[[#This Row],[Class]]="C",WORKDAY(Main[[#This Row],[Tech Start Date]],19),IF(Main[[#This Row],[Class]]="B", WORKDAY(Main[[#This Row],[Tech Start Date]],12),IF(Main[[#This Row],[Class]]="A",WORKDAY(Main[[#This Row],[Tech Start Date]],4),""))))</f>
        <v/>
      </c>
      <c r="O740" s="77" t="str">
        <f>IF(Main[[#This Row],[Tech Start Date]]&lt;1/1/1990,"",IF(Main[[#This Row],[Class]]="C",WORKDAY(Main[[#This Row],[Tech Start Date]],23),IF(Main[[#This Row],[Class]]="B", WORKDAY(Main[[#This Row],[Tech Start Date]],15),IF(Main[[#This Row],[Class]]="A",WORKDAY(Main[[#This Row],[Tech Start Date]],5),""))))</f>
        <v/>
      </c>
      <c r="P740" s="77" t="str">
        <f>IF(Main[[#This Row],[Tech Start Date]]&lt;1/1/1990,"",IF(Main[[#This Row],[Class]]="C",WORKDAY(Main[[#This Row],[Tech Start Date]],28),IF(Main[[#This Row],[Class]]="B", WORKDAY(Main[[#This Row],[Tech Start Date]],19),IF(Main[[#This Row],[Class]]="A",WORKDAY(Main[[#This Row],[Tech Start Date]],9),""))))</f>
        <v/>
      </c>
      <c r="Q740" s="74"/>
      <c r="R740" s="74"/>
      <c r="S740" s="72" t="s">
        <v>6</v>
      </c>
      <c r="T740" s="80" t="s">
        <v>4</v>
      </c>
      <c r="U740" s="72" t="s">
        <v>29</v>
      </c>
      <c r="V740" s="72" t="s">
        <v>1935</v>
      </c>
      <c r="W740" s="72" t="s">
        <v>1936</v>
      </c>
      <c r="X740" s="72" t="s">
        <v>74</v>
      </c>
      <c r="Y740" s="72" t="s">
        <v>3118</v>
      </c>
      <c r="Z740" s="72" t="s">
        <v>420</v>
      </c>
      <c r="AA740" s="147" t="s">
        <v>74</v>
      </c>
    </row>
    <row r="741" spans="1:27" ht="18.600000000000001" customHeight="1">
      <c r="A741" s="140" t="str">
        <f>IF(priority(Main[[#This Row],[Comments]])&lt;&gt;0, priority(Main[[#This Row],[Comments]]),"")</f>
        <v/>
      </c>
      <c r="B741" s="90" t="s">
        <v>3734</v>
      </c>
      <c r="C741" s="72" t="s">
        <v>4</v>
      </c>
      <c r="D741" s="73" t="s">
        <v>3735</v>
      </c>
      <c r="E741" s="74">
        <v>40948.413958333331</v>
      </c>
      <c r="F741" s="74"/>
      <c r="G741" s="75" t="str">
        <f>IF(stdProdLT(Main[[#This Row],[Comments]])=0.1,"N/A",IF(stdProdLT(Main[[#This Row],[Comments]])=0,"",stdProdLT(Main[[#This Row],[Comments]])))</f>
        <v/>
      </c>
      <c r="H741" s="76" t="str">
        <f>IF(AND(Main[[#This Row],[In Stock Date]]&lt;&gt;"",Main[[#This Row],[Revised Due Date]]&lt;&gt;""),Main[[#This Row],[In Stock Date]]-Main[[#This Row],[Revised Due Date]],"")</f>
        <v/>
      </c>
      <c r="I741" s="72" t="s">
        <v>4</v>
      </c>
      <c r="J741" s="72" t="s">
        <v>4</v>
      </c>
      <c r="K741" s="72" t="s">
        <v>4</v>
      </c>
      <c r="L741" s="74"/>
      <c r="M741" s="77" t="str">
        <f>IF(Main[[#This Row],[Tech Start Date]]&lt;1/1/1990,"",IF(Main[[#This Row],[Class]]="C",WORKDAY(Main[[#This Row],[Tech Start Date]],9),IF(Main[[#This Row],[Class]]="B", WORKDAY(Main[[#This Row],[Tech Start Date]],6),IF(Main[[#This Row],[Class]]="A",WORKDAY(Main[[#This Row],[Tech Start Date]],2),""))))</f>
        <v/>
      </c>
      <c r="N741" s="77" t="str">
        <f>IF(Main[[#This Row],[Tech Start Date]]&lt;1/1/1990,"",IF(Main[[#This Row],[Class]]="C",WORKDAY(Main[[#This Row],[Tech Start Date]],19),IF(Main[[#This Row],[Class]]="B", WORKDAY(Main[[#This Row],[Tech Start Date]],12),IF(Main[[#This Row],[Class]]="A",WORKDAY(Main[[#This Row],[Tech Start Date]],4),""))))</f>
        <v/>
      </c>
      <c r="O741" s="77" t="str">
        <f>IF(Main[[#This Row],[Tech Start Date]]&lt;1/1/1990,"",IF(Main[[#This Row],[Class]]="C",WORKDAY(Main[[#This Row],[Tech Start Date]],23),IF(Main[[#This Row],[Class]]="B", WORKDAY(Main[[#This Row],[Tech Start Date]],15),IF(Main[[#This Row],[Class]]="A",WORKDAY(Main[[#This Row],[Tech Start Date]],5),""))))</f>
        <v/>
      </c>
      <c r="P741" s="77" t="str">
        <f>IF(Main[[#This Row],[Tech Start Date]]&lt;1/1/1990,"",IF(Main[[#This Row],[Class]]="C",WORKDAY(Main[[#This Row],[Tech Start Date]],28),IF(Main[[#This Row],[Class]]="B", WORKDAY(Main[[#This Row],[Tech Start Date]],19),IF(Main[[#This Row],[Class]]="A",WORKDAY(Main[[#This Row],[Tech Start Date]],9),""))))</f>
        <v/>
      </c>
      <c r="Q741" s="74"/>
      <c r="R741" s="74"/>
      <c r="S741" s="72" t="s">
        <v>6</v>
      </c>
      <c r="T741" s="80" t="s">
        <v>4</v>
      </c>
      <c r="U741" s="72" t="s">
        <v>29</v>
      </c>
      <c r="V741" s="72" t="s">
        <v>1935</v>
      </c>
      <c r="W741" s="72" t="s">
        <v>1936</v>
      </c>
      <c r="X741" s="72" t="s">
        <v>102</v>
      </c>
      <c r="Y741" s="72" t="s">
        <v>3196</v>
      </c>
      <c r="Z741" s="72" t="s">
        <v>4</v>
      </c>
      <c r="AA741" s="147" t="s">
        <v>3657</v>
      </c>
    </row>
    <row r="742" spans="1:27" ht="18.600000000000001" customHeight="1">
      <c r="A742" s="140" t="str">
        <f>IF(priority(Main[[#This Row],[Comments]])&lt;&gt;0, priority(Main[[#This Row],[Comments]]),"")</f>
        <v/>
      </c>
      <c r="B742" s="90" t="s">
        <v>1623</v>
      </c>
      <c r="C742" s="72" t="s">
        <v>4</v>
      </c>
      <c r="D742" s="73" t="s">
        <v>688</v>
      </c>
      <c r="E742" s="74">
        <v>40603.482094907406</v>
      </c>
      <c r="F742" s="74"/>
      <c r="G742" s="75" t="str">
        <f>IF(stdProdLT(Main[[#This Row],[Comments]])=0.1,"N/A",IF(stdProdLT(Main[[#This Row],[Comments]])=0,"",stdProdLT(Main[[#This Row],[Comments]])))</f>
        <v/>
      </c>
      <c r="H742" s="76" t="str">
        <f>IF(AND(Main[[#This Row],[In Stock Date]]&lt;&gt;"",Main[[#This Row],[Revised Due Date]]&lt;&gt;""),Main[[#This Row],[In Stock Date]]-Main[[#This Row],[Revised Due Date]],"")</f>
        <v/>
      </c>
      <c r="I742" s="72" t="s">
        <v>44</v>
      </c>
      <c r="J742" s="72" t="s">
        <v>28</v>
      </c>
      <c r="K742" s="72" t="s">
        <v>1941</v>
      </c>
      <c r="L742" s="74"/>
      <c r="M742" s="77" t="str">
        <f>IF(Main[[#This Row],[Tech Start Date]]&lt;1/1/1990,"",IF(Main[[#This Row],[Class]]="C",WORKDAY(Main[[#This Row],[Tech Start Date]],9),IF(Main[[#This Row],[Class]]="B", WORKDAY(Main[[#This Row],[Tech Start Date]],6),IF(Main[[#This Row],[Class]]="A",WORKDAY(Main[[#This Row],[Tech Start Date]],2),""))))</f>
        <v/>
      </c>
      <c r="N742" s="77" t="str">
        <f>IF(Main[[#This Row],[Tech Start Date]]&lt;1/1/1990,"",IF(Main[[#This Row],[Class]]="C",WORKDAY(Main[[#This Row],[Tech Start Date]],19),IF(Main[[#This Row],[Class]]="B", WORKDAY(Main[[#This Row],[Tech Start Date]],12),IF(Main[[#This Row],[Class]]="A",WORKDAY(Main[[#This Row],[Tech Start Date]],4),""))))</f>
        <v/>
      </c>
      <c r="O742" s="77" t="str">
        <f>IF(Main[[#This Row],[Tech Start Date]]&lt;1/1/1990,"",IF(Main[[#This Row],[Class]]="C",WORKDAY(Main[[#This Row],[Tech Start Date]],23),IF(Main[[#This Row],[Class]]="B", WORKDAY(Main[[#This Row],[Tech Start Date]],15),IF(Main[[#This Row],[Class]]="A",WORKDAY(Main[[#This Row],[Tech Start Date]],5),""))))</f>
        <v/>
      </c>
      <c r="P742" s="77" t="str">
        <f>IF(Main[[#This Row],[Tech Start Date]]&lt;1/1/1990,"",IF(Main[[#This Row],[Class]]="C",WORKDAY(Main[[#This Row],[Tech Start Date]],28),IF(Main[[#This Row],[Class]]="B", WORKDAY(Main[[#This Row],[Tech Start Date]],19),IF(Main[[#This Row],[Class]]="A",WORKDAY(Main[[#This Row],[Tech Start Date]],9),""))))</f>
        <v/>
      </c>
      <c r="Q742" s="74">
        <v>40637</v>
      </c>
      <c r="R742" s="74"/>
      <c r="S742" s="72" t="s">
        <v>6</v>
      </c>
      <c r="T742" s="80" t="s">
        <v>4</v>
      </c>
      <c r="U742" s="72" t="s">
        <v>7</v>
      </c>
      <c r="V742" s="72" t="s">
        <v>1932</v>
      </c>
      <c r="W742" s="72" t="s">
        <v>1934</v>
      </c>
      <c r="X742" s="72" t="s">
        <v>2906</v>
      </c>
      <c r="Y742" s="72" t="s">
        <v>3025</v>
      </c>
      <c r="Z742" s="72" t="s">
        <v>44</v>
      </c>
      <c r="AA742" s="147" t="s">
        <v>2906</v>
      </c>
    </row>
    <row r="743" spans="1:27" ht="18.600000000000001" customHeight="1">
      <c r="A743" s="140" t="str">
        <f>IF(priority(Main[[#This Row],[Comments]])&lt;&gt;0, priority(Main[[#This Row],[Comments]]),"")</f>
        <v/>
      </c>
      <c r="B743" s="90" t="s">
        <v>1624</v>
      </c>
      <c r="C743" s="72" t="s">
        <v>113</v>
      </c>
      <c r="D743" s="73" t="s">
        <v>689</v>
      </c>
      <c r="E743" s="74"/>
      <c r="F743" s="74">
        <v>40193</v>
      </c>
      <c r="G743" s="75" t="str">
        <f>IF(stdProdLT(Main[[#This Row],[Comments]])=0.1,"N/A",IF(stdProdLT(Main[[#This Row],[Comments]])=0,"",stdProdLT(Main[[#This Row],[Comments]])))</f>
        <v/>
      </c>
      <c r="H743" s="76" t="str">
        <f>IF(AND(Main[[#This Row],[In Stock Date]]&lt;&gt;"",Main[[#This Row],[Revised Due Date]]&lt;&gt;""),Main[[#This Row],[In Stock Date]]-Main[[#This Row],[Revised Due Date]],"")</f>
        <v/>
      </c>
      <c r="I743" s="72" t="s">
        <v>4</v>
      </c>
      <c r="J743" s="72" t="s">
        <v>4</v>
      </c>
      <c r="K743" s="72" t="s">
        <v>4</v>
      </c>
      <c r="L743" s="74"/>
      <c r="M743" s="77" t="str">
        <f>IF(Main[[#This Row],[Tech Start Date]]&lt;1/1/1990,"",IF(Main[[#This Row],[Class]]="C",WORKDAY(Main[[#This Row],[Tech Start Date]],9),IF(Main[[#This Row],[Class]]="B", WORKDAY(Main[[#This Row],[Tech Start Date]],6),IF(Main[[#This Row],[Class]]="A",WORKDAY(Main[[#This Row],[Tech Start Date]],2),""))))</f>
        <v/>
      </c>
      <c r="N743" s="77" t="str">
        <f>IF(Main[[#This Row],[Tech Start Date]]&lt;1/1/1990,"",IF(Main[[#This Row],[Class]]="C",WORKDAY(Main[[#This Row],[Tech Start Date]],19),IF(Main[[#This Row],[Class]]="B", WORKDAY(Main[[#This Row],[Tech Start Date]],12),IF(Main[[#This Row],[Class]]="A",WORKDAY(Main[[#This Row],[Tech Start Date]],4),""))))</f>
        <v/>
      </c>
      <c r="O743" s="77" t="str">
        <f>IF(Main[[#This Row],[Tech Start Date]]&lt;1/1/1990,"",IF(Main[[#This Row],[Class]]="C",WORKDAY(Main[[#This Row],[Tech Start Date]],23),IF(Main[[#This Row],[Class]]="B", WORKDAY(Main[[#This Row],[Tech Start Date]],15),IF(Main[[#This Row],[Class]]="A",WORKDAY(Main[[#This Row],[Tech Start Date]],5),""))))</f>
        <v/>
      </c>
      <c r="P743" s="77" t="str">
        <f>IF(Main[[#This Row],[Tech Start Date]]&lt;1/1/1990,"",IF(Main[[#This Row],[Class]]="C",WORKDAY(Main[[#This Row],[Tech Start Date]],28),IF(Main[[#This Row],[Class]]="B", WORKDAY(Main[[#This Row],[Tech Start Date]],19),IF(Main[[#This Row],[Class]]="A",WORKDAY(Main[[#This Row],[Tech Start Date]],9),""))))</f>
        <v/>
      </c>
      <c r="Q743" s="74">
        <v>40470</v>
      </c>
      <c r="R743" s="74"/>
      <c r="S743" s="72" t="s">
        <v>11</v>
      </c>
      <c r="T743" s="80" t="s">
        <v>4</v>
      </c>
      <c r="U743" s="72" t="s">
        <v>14</v>
      </c>
      <c r="V743" s="72" t="s">
        <v>1942</v>
      </c>
      <c r="W743" s="72" t="s">
        <v>1938</v>
      </c>
      <c r="X743" s="72" t="s">
        <v>2928</v>
      </c>
      <c r="Y743" s="72" t="s">
        <v>3064</v>
      </c>
      <c r="Z743" s="72" t="s">
        <v>4</v>
      </c>
      <c r="AA743" s="147" t="s">
        <v>2928</v>
      </c>
    </row>
    <row r="744" spans="1:27" ht="18.600000000000001" customHeight="1">
      <c r="A744" s="140" t="str">
        <f>IF(priority(Main[[#This Row],[Comments]])&lt;&gt;0, priority(Main[[#This Row],[Comments]]),"")</f>
        <v/>
      </c>
      <c r="B744" s="90" t="s">
        <v>1625</v>
      </c>
      <c r="C744" s="72" t="s">
        <v>4</v>
      </c>
      <c r="D744" s="73" t="s">
        <v>690</v>
      </c>
      <c r="E744" s="74"/>
      <c r="F744" s="74"/>
      <c r="G744" s="75" t="str">
        <f>IF(stdProdLT(Main[[#This Row],[Comments]])=0.1,"N/A",IF(stdProdLT(Main[[#This Row],[Comments]])=0,"",stdProdLT(Main[[#This Row],[Comments]])))</f>
        <v/>
      </c>
      <c r="H744" s="76" t="str">
        <f>IF(AND(Main[[#This Row],[In Stock Date]]&lt;&gt;"",Main[[#This Row],[Revised Due Date]]&lt;&gt;""),Main[[#This Row],[In Stock Date]]-Main[[#This Row],[Revised Due Date]],"")</f>
        <v/>
      </c>
      <c r="I744" s="72" t="s">
        <v>422</v>
      </c>
      <c r="J744" s="72" t="s">
        <v>4</v>
      </c>
      <c r="K744" s="72" t="s">
        <v>4</v>
      </c>
      <c r="L744" s="74"/>
      <c r="M744" s="77" t="str">
        <f>IF(Main[[#This Row],[Tech Start Date]]&lt;1/1/1990,"",IF(Main[[#This Row],[Class]]="C",WORKDAY(Main[[#This Row],[Tech Start Date]],9),IF(Main[[#This Row],[Class]]="B", WORKDAY(Main[[#This Row],[Tech Start Date]],6),IF(Main[[#This Row],[Class]]="A",WORKDAY(Main[[#This Row],[Tech Start Date]],2),""))))</f>
        <v/>
      </c>
      <c r="N744" s="77" t="str">
        <f>IF(Main[[#This Row],[Tech Start Date]]&lt;1/1/1990,"",IF(Main[[#This Row],[Class]]="C",WORKDAY(Main[[#This Row],[Tech Start Date]],19),IF(Main[[#This Row],[Class]]="B", WORKDAY(Main[[#This Row],[Tech Start Date]],12),IF(Main[[#This Row],[Class]]="A",WORKDAY(Main[[#This Row],[Tech Start Date]],4),""))))</f>
        <v/>
      </c>
      <c r="O744" s="77" t="str">
        <f>IF(Main[[#This Row],[Tech Start Date]]&lt;1/1/1990,"",IF(Main[[#This Row],[Class]]="C",WORKDAY(Main[[#This Row],[Tech Start Date]],23),IF(Main[[#This Row],[Class]]="B", WORKDAY(Main[[#This Row],[Tech Start Date]],15),IF(Main[[#This Row],[Class]]="A",WORKDAY(Main[[#This Row],[Tech Start Date]],5),""))))</f>
        <v/>
      </c>
      <c r="P744" s="77" t="str">
        <f>IF(Main[[#This Row],[Tech Start Date]]&lt;1/1/1990,"",IF(Main[[#This Row],[Class]]="C",WORKDAY(Main[[#This Row],[Tech Start Date]],28),IF(Main[[#This Row],[Class]]="B", WORKDAY(Main[[#This Row],[Tech Start Date]],19),IF(Main[[#This Row],[Class]]="A",WORKDAY(Main[[#This Row],[Tech Start Date]],9),""))))</f>
        <v/>
      </c>
      <c r="Q744" s="74"/>
      <c r="R744" s="74"/>
      <c r="S744" s="72" t="s">
        <v>23</v>
      </c>
      <c r="T744" s="80" t="s">
        <v>4</v>
      </c>
      <c r="U744" s="72" t="s">
        <v>14</v>
      </c>
      <c r="V744" s="72" t="s">
        <v>1935</v>
      </c>
      <c r="W744" s="72" t="s">
        <v>1936</v>
      </c>
      <c r="X744" s="72" t="s">
        <v>422</v>
      </c>
      <c r="Y744" s="72" t="s">
        <v>3175</v>
      </c>
      <c r="Z744" s="72" t="s">
        <v>30</v>
      </c>
      <c r="AA744" s="147" t="s">
        <v>3616</v>
      </c>
    </row>
    <row r="745" spans="1:27" ht="18.600000000000001" customHeight="1">
      <c r="A745" s="140" t="str">
        <f>IF(priority(Main[[#This Row],[Comments]])&lt;&gt;0, priority(Main[[#This Row],[Comments]]),"")</f>
        <v/>
      </c>
      <c r="B745" s="90" t="s">
        <v>1629</v>
      </c>
      <c r="C745" s="72" t="s">
        <v>694</v>
      </c>
      <c r="D745" s="73" t="s">
        <v>695</v>
      </c>
      <c r="E745" s="74"/>
      <c r="F745" s="74">
        <v>40527</v>
      </c>
      <c r="G745" s="75" t="str">
        <f>IF(stdProdLT(Main[[#This Row],[Comments]])=0.1,"N/A",IF(stdProdLT(Main[[#This Row],[Comments]])=0,"",stdProdLT(Main[[#This Row],[Comments]])))</f>
        <v/>
      </c>
      <c r="H745" s="76" t="str">
        <f>IF(AND(Main[[#This Row],[In Stock Date]]&lt;&gt;"",Main[[#This Row],[Revised Due Date]]&lt;&gt;""),Main[[#This Row],[In Stock Date]]-Main[[#This Row],[Revised Due Date]],"")</f>
        <v/>
      </c>
      <c r="I745" s="72" t="s">
        <v>4</v>
      </c>
      <c r="J745" s="72" t="s">
        <v>4</v>
      </c>
      <c r="K745" s="72" t="s">
        <v>4</v>
      </c>
      <c r="L745" s="74"/>
      <c r="M745" s="77" t="str">
        <f>IF(Main[[#This Row],[Tech Start Date]]&lt;1/1/1990,"",IF(Main[[#This Row],[Class]]="C",WORKDAY(Main[[#This Row],[Tech Start Date]],9),IF(Main[[#This Row],[Class]]="B", WORKDAY(Main[[#This Row],[Tech Start Date]],6),IF(Main[[#This Row],[Class]]="A",WORKDAY(Main[[#This Row],[Tech Start Date]],2),""))))</f>
        <v/>
      </c>
      <c r="N745" s="77" t="str">
        <f>IF(Main[[#This Row],[Tech Start Date]]&lt;1/1/1990,"",IF(Main[[#This Row],[Class]]="C",WORKDAY(Main[[#This Row],[Tech Start Date]],19),IF(Main[[#This Row],[Class]]="B", WORKDAY(Main[[#This Row],[Tech Start Date]],12),IF(Main[[#This Row],[Class]]="A",WORKDAY(Main[[#This Row],[Tech Start Date]],4),""))))</f>
        <v/>
      </c>
      <c r="O745" s="77" t="str">
        <f>IF(Main[[#This Row],[Tech Start Date]]&lt;1/1/1990,"",IF(Main[[#This Row],[Class]]="C",WORKDAY(Main[[#This Row],[Tech Start Date]],23),IF(Main[[#This Row],[Class]]="B", WORKDAY(Main[[#This Row],[Tech Start Date]],15),IF(Main[[#This Row],[Class]]="A",WORKDAY(Main[[#This Row],[Tech Start Date]],5),""))))</f>
        <v/>
      </c>
      <c r="P745" s="77" t="str">
        <f>IF(Main[[#This Row],[Tech Start Date]]&lt;1/1/1990,"",IF(Main[[#This Row],[Class]]="C",WORKDAY(Main[[#This Row],[Tech Start Date]],28),IF(Main[[#This Row],[Class]]="B", WORKDAY(Main[[#This Row],[Tech Start Date]],19),IF(Main[[#This Row],[Class]]="A",WORKDAY(Main[[#This Row],[Tech Start Date]],9),""))))</f>
        <v/>
      </c>
      <c r="Q745" s="74">
        <v>40480</v>
      </c>
      <c r="R745" s="74"/>
      <c r="S745" s="72" t="s">
        <v>11</v>
      </c>
      <c r="T745" s="80" t="s">
        <v>4</v>
      </c>
      <c r="U745" s="72" t="s">
        <v>14</v>
      </c>
      <c r="V745" s="72" t="s">
        <v>1933</v>
      </c>
      <c r="W745" s="72" t="s">
        <v>1938</v>
      </c>
      <c r="X745" s="72" t="s">
        <v>2963</v>
      </c>
      <c r="Y745" s="72" t="s">
        <v>3114</v>
      </c>
      <c r="Z745" s="72" t="s">
        <v>4</v>
      </c>
      <c r="AA745" s="147" t="s">
        <v>2963</v>
      </c>
    </row>
    <row r="746" spans="1:27" ht="18.600000000000001" customHeight="1">
      <c r="A746" s="140" t="str">
        <f>IF(priority(Main[[#This Row],[Comments]])&lt;&gt;0, priority(Main[[#This Row],[Comments]]),"")</f>
        <v/>
      </c>
      <c r="B746" s="90" t="s">
        <v>1630</v>
      </c>
      <c r="C746" s="72" t="s">
        <v>4</v>
      </c>
      <c r="D746" s="73" t="s">
        <v>696</v>
      </c>
      <c r="E746" s="74"/>
      <c r="F746" s="74"/>
      <c r="G746" s="75" t="str">
        <f>IF(stdProdLT(Main[[#This Row],[Comments]])=0.1,"N/A",IF(stdProdLT(Main[[#This Row],[Comments]])=0,"",stdProdLT(Main[[#This Row],[Comments]])))</f>
        <v/>
      </c>
      <c r="H746" s="76" t="str">
        <f>IF(AND(Main[[#This Row],[In Stock Date]]&lt;&gt;"",Main[[#This Row],[Revised Due Date]]&lt;&gt;""),Main[[#This Row],[In Stock Date]]-Main[[#This Row],[Revised Due Date]],"")</f>
        <v/>
      </c>
      <c r="I746" s="72" t="s">
        <v>4</v>
      </c>
      <c r="J746" s="72" t="s">
        <v>4</v>
      </c>
      <c r="K746" s="72" t="s">
        <v>4</v>
      </c>
      <c r="L746" s="74"/>
      <c r="M746" s="77" t="str">
        <f>IF(Main[[#This Row],[Tech Start Date]]&lt;1/1/1990,"",IF(Main[[#This Row],[Class]]="C",WORKDAY(Main[[#This Row],[Tech Start Date]],9),IF(Main[[#This Row],[Class]]="B", WORKDAY(Main[[#This Row],[Tech Start Date]],6),IF(Main[[#This Row],[Class]]="A",WORKDAY(Main[[#This Row],[Tech Start Date]],2),""))))</f>
        <v/>
      </c>
      <c r="N746" s="77" t="str">
        <f>IF(Main[[#This Row],[Tech Start Date]]&lt;1/1/1990,"",IF(Main[[#This Row],[Class]]="C",WORKDAY(Main[[#This Row],[Tech Start Date]],19),IF(Main[[#This Row],[Class]]="B", WORKDAY(Main[[#This Row],[Tech Start Date]],12),IF(Main[[#This Row],[Class]]="A",WORKDAY(Main[[#This Row],[Tech Start Date]],4),""))))</f>
        <v/>
      </c>
      <c r="O746" s="77" t="str">
        <f>IF(Main[[#This Row],[Tech Start Date]]&lt;1/1/1990,"",IF(Main[[#This Row],[Class]]="C",WORKDAY(Main[[#This Row],[Tech Start Date]],23),IF(Main[[#This Row],[Class]]="B", WORKDAY(Main[[#This Row],[Tech Start Date]],15),IF(Main[[#This Row],[Class]]="A",WORKDAY(Main[[#This Row],[Tech Start Date]],5),""))))</f>
        <v/>
      </c>
      <c r="P746" s="77" t="str">
        <f>IF(Main[[#This Row],[Tech Start Date]]&lt;1/1/1990,"",IF(Main[[#This Row],[Class]]="C",WORKDAY(Main[[#This Row],[Tech Start Date]],28),IF(Main[[#This Row],[Class]]="B", WORKDAY(Main[[#This Row],[Tech Start Date]],19),IF(Main[[#This Row],[Class]]="A",WORKDAY(Main[[#This Row],[Tech Start Date]],9),""))))</f>
        <v/>
      </c>
      <c r="Q746" s="74"/>
      <c r="R746" s="74"/>
      <c r="S746" s="72" t="s">
        <v>6</v>
      </c>
      <c r="T746" s="80" t="s">
        <v>4</v>
      </c>
      <c r="U746" s="72" t="s">
        <v>14</v>
      </c>
      <c r="V746" s="72" t="s">
        <v>1932</v>
      </c>
      <c r="W746" s="72" t="s">
        <v>1940</v>
      </c>
      <c r="X746" s="72" t="s">
        <v>2074</v>
      </c>
      <c r="Y746" s="72" t="s">
        <v>3089</v>
      </c>
      <c r="Z746" s="72" t="s">
        <v>4</v>
      </c>
      <c r="AA746" s="147" t="s">
        <v>2074</v>
      </c>
    </row>
    <row r="747" spans="1:27" ht="18.600000000000001" customHeight="1">
      <c r="A747" s="140" t="str">
        <f>IF(priority(Main[[#This Row],[Comments]])&lt;&gt;0, priority(Main[[#This Row],[Comments]]),"")</f>
        <v/>
      </c>
      <c r="B747" s="90" t="s">
        <v>2412</v>
      </c>
      <c r="C747" s="72" t="s">
        <v>4</v>
      </c>
      <c r="D747" s="73" t="s">
        <v>2413</v>
      </c>
      <c r="E747" s="74"/>
      <c r="F747" s="74"/>
      <c r="G747" s="75" t="str">
        <f>IF(stdProdLT(Main[[#This Row],[Comments]])=0.1,"N/A",IF(stdProdLT(Main[[#This Row],[Comments]])=0,"",stdProdLT(Main[[#This Row],[Comments]])))</f>
        <v/>
      </c>
      <c r="H747" s="76" t="str">
        <f>IF(AND(Main[[#This Row],[In Stock Date]]&lt;&gt;"",Main[[#This Row],[Revised Due Date]]&lt;&gt;""),Main[[#This Row],[In Stock Date]]-Main[[#This Row],[Revised Due Date]],"")</f>
        <v/>
      </c>
      <c r="I747" s="72" t="s">
        <v>4</v>
      </c>
      <c r="J747" s="72" t="s">
        <v>70</v>
      </c>
      <c r="K747" s="72" t="s">
        <v>4</v>
      </c>
      <c r="L747" s="74"/>
      <c r="M747" s="77" t="str">
        <f>IF(Main[[#This Row],[Tech Start Date]]&lt;1/1/1990,"",IF(Main[[#This Row],[Class]]="C",WORKDAY(Main[[#This Row],[Tech Start Date]],9),IF(Main[[#This Row],[Class]]="B", WORKDAY(Main[[#This Row],[Tech Start Date]],6),IF(Main[[#This Row],[Class]]="A",WORKDAY(Main[[#This Row],[Tech Start Date]],2),""))))</f>
        <v/>
      </c>
      <c r="N747" s="77" t="str">
        <f>IF(Main[[#This Row],[Tech Start Date]]&lt;1/1/1990,"",IF(Main[[#This Row],[Class]]="C",WORKDAY(Main[[#This Row],[Tech Start Date]],19),IF(Main[[#This Row],[Class]]="B", WORKDAY(Main[[#This Row],[Tech Start Date]],12),IF(Main[[#This Row],[Class]]="A",WORKDAY(Main[[#This Row],[Tech Start Date]],4),""))))</f>
        <v/>
      </c>
      <c r="O747" s="77" t="str">
        <f>IF(Main[[#This Row],[Tech Start Date]]&lt;1/1/1990,"",IF(Main[[#This Row],[Class]]="C",WORKDAY(Main[[#This Row],[Tech Start Date]],23),IF(Main[[#This Row],[Class]]="B", WORKDAY(Main[[#This Row],[Tech Start Date]],15),IF(Main[[#This Row],[Class]]="A",WORKDAY(Main[[#This Row],[Tech Start Date]],5),""))))</f>
        <v/>
      </c>
      <c r="P747" s="77" t="str">
        <f>IF(Main[[#This Row],[Tech Start Date]]&lt;1/1/1990,"",IF(Main[[#This Row],[Class]]="C",WORKDAY(Main[[#This Row],[Tech Start Date]],28),IF(Main[[#This Row],[Class]]="B", WORKDAY(Main[[#This Row],[Tech Start Date]],19),IF(Main[[#This Row],[Class]]="A",WORKDAY(Main[[#This Row],[Tech Start Date]],9),""))))</f>
        <v/>
      </c>
      <c r="Q747" s="74">
        <v>40877</v>
      </c>
      <c r="R747" s="74"/>
      <c r="S747" s="72" t="s">
        <v>6</v>
      </c>
      <c r="T747" s="80" t="s">
        <v>4</v>
      </c>
      <c r="U747" s="72" t="s">
        <v>14</v>
      </c>
      <c r="V747" s="72" t="s">
        <v>1935</v>
      </c>
      <c r="W747" s="72" t="s">
        <v>1936</v>
      </c>
      <c r="X747" s="72" t="s">
        <v>30</v>
      </c>
      <c r="Y747" s="72" t="s">
        <v>3177</v>
      </c>
      <c r="Z747" s="72" t="s">
        <v>30</v>
      </c>
      <c r="AA747" s="147" t="s">
        <v>74</v>
      </c>
    </row>
    <row r="748" spans="1:27" ht="18.600000000000001" customHeight="1">
      <c r="A748" s="140" t="str">
        <f>IF(priority(Main[[#This Row],[Comments]])&lt;&gt;0, priority(Main[[#This Row],[Comments]]),"")</f>
        <v/>
      </c>
      <c r="B748" s="90" t="s">
        <v>1631</v>
      </c>
      <c r="C748" s="72" t="s">
        <v>4</v>
      </c>
      <c r="D748" s="73" t="s">
        <v>697</v>
      </c>
      <c r="E748" s="74"/>
      <c r="F748" s="74"/>
      <c r="G748" s="75" t="str">
        <f>IF(stdProdLT(Main[[#This Row],[Comments]])=0.1,"N/A",IF(stdProdLT(Main[[#This Row],[Comments]])=0,"",stdProdLT(Main[[#This Row],[Comments]])))</f>
        <v/>
      </c>
      <c r="H748" s="76" t="str">
        <f>IF(AND(Main[[#This Row],[In Stock Date]]&lt;&gt;"",Main[[#This Row],[Revised Due Date]]&lt;&gt;""),Main[[#This Row],[In Stock Date]]-Main[[#This Row],[Revised Due Date]],"")</f>
        <v/>
      </c>
      <c r="I748" s="72" t="s">
        <v>4</v>
      </c>
      <c r="J748" s="72" t="s">
        <v>4</v>
      </c>
      <c r="K748" s="72" t="s">
        <v>4</v>
      </c>
      <c r="L748" s="74"/>
      <c r="M748" s="77" t="str">
        <f>IF(Main[[#This Row],[Tech Start Date]]&lt;1/1/1990,"",IF(Main[[#This Row],[Class]]="C",WORKDAY(Main[[#This Row],[Tech Start Date]],9),IF(Main[[#This Row],[Class]]="B", WORKDAY(Main[[#This Row],[Tech Start Date]],6),IF(Main[[#This Row],[Class]]="A",WORKDAY(Main[[#This Row],[Tech Start Date]],2),""))))</f>
        <v/>
      </c>
      <c r="N748" s="77" t="str">
        <f>IF(Main[[#This Row],[Tech Start Date]]&lt;1/1/1990,"",IF(Main[[#This Row],[Class]]="C",WORKDAY(Main[[#This Row],[Tech Start Date]],19),IF(Main[[#This Row],[Class]]="B", WORKDAY(Main[[#This Row],[Tech Start Date]],12),IF(Main[[#This Row],[Class]]="A",WORKDAY(Main[[#This Row],[Tech Start Date]],4),""))))</f>
        <v/>
      </c>
      <c r="O748" s="77" t="str">
        <f>IF(Main[[#This Row],[Tech Start Date]]&lt;1/1/1990,"",IF(Main[[#This Row],[Class]]="C",WORKDAY(Main[[#This Row],[Tech Start Date]],23),IF(Main[[#This Row],[Class]]="B", WORKDAY(Main[[#This Row],[Tech Start Date]],15),IF(Main[[#This Row],[Class]]="A",WORKDAY(Main[[#This Row],[Tech Start Date]],5),""))))</f>
        <v/>
      </c>
      <c r="P748" s="77" t="str">
        <f>IF(Main[[#This Row],[Tech Start Date]]&lt;1/1/1990,"",IF(Main[[#This Row],[Class]]="C",WORKDAY(Main[[#This Row],[Tech Start Date]],28),IF(Main[[#This Row],[Class]]="B", WORKDAY(Main[[#This Row],[Tech Start Date]],19),IF(Main[[#This Row],[Class]]="A",WORKDAY(Main[[#This Row],[Tech Start Date]],9),""))))</f>
        <v/>
      </c>
      <c r="Q748" s="74"/>
      <c r="R748" s="74"/>
      <c r="S748" s="72" t="s">
        <v>6</v>
      </c>
      <c r="T748" s="80" t="s">
        <v>4</v>
      </c>
      <c r="U748" s="72" t="s">
        <v>14</v>
      </c>
      <c r="V748" s="72" t="s">
        <v>1932</v>
      </c>
      <c r="W748" s="72" t="s">
        <v>4</v>
      </c>
      <c r="X748" s="72" t="s">
        <v>718</v>
      </c>
      <c r="Y748" s="72" t="s">
        <v>3157</v>
      </c>
      <c r="Z748" s="72" t="s">
        <v>4</v>
      </c>
      <c r="AA748" s="147" t="s">
        <v>718</v>
      </c>
    </row>
    <row r="749" spans="1:27" ht="18.600000000000001" customHeight="1">
      <c r="A749" s="140" t="str">
        <f>IF(priority(Main[[#This Row],[Comments]])&lt;&gt;0, priority(Main[[#This Row],[Comments]]),"")</f>
        <v/>
      </c>
      <c r="B749" s="90" t="s">
        <v>1632</v>
      </c>
      <c r="C749" s="72" t="s">
        <v>698</v>
      </c>
      <c r="D749" s="73" t="s">
        <v>699</v>
      </c>
      <c r="E749" s="74"/>
      <c r="F749" s="74">
        <v>40664</v>
      </c>
      <c r="G749" s="75" t="str">
        <f>IF(stdProdLT(Main[[#This Row],[Comments]])=0.1,"N/A",IF(stdProdLT(Main[[#This Row],[Comments]])=0,"",stdProdLT(Main[[#This Row],[Comments]])))</f>
        <v/>
      </c>
      <c r="H749" s="76" t="str">
        <f>IF(AND(Main[[#This Row],[In Stock Date]]&lt;&gt;"",Main[[#This Row],[Revised Due Date]]&lt;&gt;""),Main[[#This Row],[In Stock Date]]-Main[[#This Row],[Revised Due Date]],"")</f>
        <v/>
      </c>
      <c r="I749" s="72" t="s">
        <v>4</v>
      </c>
      <c r="J749" s="72" t="s">
        <v>4</v>
      </c>
      <c r="K749" s="72" t="s">
        <v>4</v>
      </c>
      <c r="L749" s="74"/>
      <c r="M749" s="77" t="str">
        <f>IF(Main[[#This Row],[Tech Start Date]]&lt;1/1/1990,"",IF(Main[[#This Row],[Class]]="C",WORKDAY(Main[[#This Row],[Tech Start Date]],9),IF(Main[[#This Row],[Class]]="B", WORKDAY(Main[[#This Row],[Tech Start Date]],6),IF(Main[[#This Row],[Class]]="A",WORKDAY(Main[[#This Row],[Tech Start Date]],2),""))))</f>
        <v/>
      </c>
      <c r="N749" s="77" t="str">
        <f>IF(Main[[#This Row],[Tech Start Date]]&lt;1/1/1990,"",IF(Main[[#This Row],[Class]]="C",WORKDAY(Main[[#This Row],[Tech Start Date]],19),IF(Main[[#This Row],[Class]]="B", WORKDAY(Main[[#This Row],[Tech Start Date]],12),IF(Main[[#This Row],[Class]]="A",WORKDAY(Main[[#This Row],[Tech Start Date]],4),""))))</f>
        <v/>
      </c>
      <c r="O749" s="77" t="str">
        <f>IF(Main[[#This Row],[Tech Start Date]]&lt;1/1/1990,"",IF(Main[[#This Row],[Class]]="C",WORKDAY(Main[[#This Row],[Tech Start Date]],23),IF(Main[[#This Row],[Class]]="B", WORKDAY(Main[[#This Row],[Tech Start Date]],15),IF(Main[[#This Row],[Class]]="A",WORKDAY(Main[[#This Row],[Tech Start Date]],5),""))))</f>
        <v/>
      </c>
      <c r="P749" s="77" t="str">
        <f>IF(Main[[#This Row],[Tech Start Date]]&lt;1/1/1990,"",IF(Main[[#This Row],[Class]]="C",WORKDAY(Main[[#This Row],[Tech Start Date]],28),IF(Main[[#This Row],[Class]]="B", WORKDAY(Main[[#This Row],[Tech Start Date]],19),IF(Main[[#This Row],[Class]]="A",WORKDAY(Main[[#This Row],[Tech Start Date]],9),""))))</f>
        <v/>
      </c>
      <c r="Q749" s="74">
        <v>40557</v>
      </c>
      <c r="R749" s="74"/>
      <c r="S749" s="72" t="s">
        <v>11</v>
      </c>
      <c r="T749" s="80" t="s">
        <v>4</v>
      </c>
      <c r="U749" s="72" t="s">
        <v>14</v>
      </c>
      <c r="V749" s="72" t="s">
        <v>1932</v>
      </c>
      <c r="W749" s="72" t="s">
        <v>1940</v>
      </c>
      <c r="X749" s="72" t="s">
        <v>2912</v>
      </c>
      <c r="Y749" s="72" t="s">
        <v>3178</v>
      </c>
      <c r="Z749" s="72" t="s">
        <v>4</v>
      </c>
      <c r="AA749" s="147" t="s">
        <v>2912</v>
      </c>
    </row>
    <row r="750" spans="1:27" ht="18.600000000000001" customHeight="1">
      <c r="A750" s="140" t="str">
        <f>IF(priority(Main[[#This Row],[Comments]])&lt;&gt;0, priority(Main[[#This Row],[Comments]]),"")</f>
        <v/>
      </c>
      <c r="B750" s="90" t="s">
        <v>1633</v>
      </c>
      <c r="C750" s="72" t="s">
        <v>4</v>
      </c>
      <c r="D750" s="73" t="s">
        <v>700</v>
      </c>
      <c r="E750" s="74"/>
      <c r="F750" s="74"/>
      <c r="G750" s="75" t="str">
        <f>IF(stdProdLT(Main[[#This Row],[Comments]])=0.1,"N/A",IF(stdProdLT(Main[[#This Row],[Comments]])=0,"",stdProdLT(Main[[#This Row],[Comments]])))</f>
        <v/>
      </c>
      <c r="H750" s="76" t="str">
        <f>IF(AND(Main[[#This Row],[In Stock Date]]&lt;&gt;"",Main[[#This Row],[Revised Due Date]]&lt;&gt;""),Main[[#This Row],[In Stock Date]]-Main[[#This Row],[Revised Due Date]],"")</f>
        <v/>
      </c>
      <c r="I750" s="72" t="s">
        <v>4</v>
      </c>
      <c r="J750" s="72" t="s">
        <v>4</v>
      </c>
      <c r="K750" s="81" t="s">
        <v>4</v>
      </c>
      <c r="L750" s="74"/>
      <c r="M750" s="77" t="str">
        <f>IF(Main[[#This Row],[Tech Start Date]]&lt;1/1/1990,"",IF(Main[[#This Row],[Class]]="C",WORKDAY(Main[[#This Row],[Tech Start Date]],9),IF(Main[[#This Row],[Class]]="B", WORKDAY(Main[[#This Row],[Tech Start Date]],6),IF(Main[[#This Row],[Class]]="A",WORKDAY(Main[[#This Row],[Tech Start Date]],2),""))))</f>
        <v/>
      </c>
      <c r="N750" s="77" t="str">
        <f>IF(Main[[#This Row],[Tech Start Date]]&lt;1/1/1990,"",IF(Main[[#This Row],[Class]]="C",WORKDAY(Main[[#This Row],[Tech Start Date]],19),IF(Main[[#This Row],[Class]]="B", WORKDAY(Main[[#This Row],[Tech Start Date]],12),IF(Main[[#This Row],[Class]]="A",WORKDAY(Main[[#This Row],[Tech Start Date]],4),""))))</f>
        <v/>
      </c>
      <c r="O750" s="77" t="str">
        <f>IF(Main[[#This Row],[Tech Start Date]]&lt;1/1/1990,"",IF(Main[[#This Row],[Class]]="C",WORKDAY(Main[[#This Row],[Tech Start Date]],23),IF(Main[[#This Row],[Class]]="B", WORKDAY(Main[[#This Row],[Tech Start Date]],15),IF(Main[[#This Row],[Class]]="A",WORKDAY(Main[[#This Row],[Tech Start Date]],5),""))))</f>
        <v/>
      </c>
      <c r="P750" s="77" t="str">
        <f>IF(Main[[#This Row],[Tech Start Date]]&lt;1/1/1990,"",IF(Main[[#This Row],[Class]]="C",WORKDAY(Main[[#This Row],[Tech Start Date]],28),IF(Main[[#This Row],[Class]]="B", WORKDAY(Main[[#This Row],[Tech Start Date]],19),IF(Main[[#This Row],[Class]]="A",WORKDAY(Main[[#This Row],[Tech Start Date]],9),""))))</f>
        <v/>
      </c>
      <c r="Q750" s="74"/>
      <c r="R750" s="74"/>
      <c r="S750" s="72" t="s">
        <v>11</v>
      </c>
      <c r="T750" s="80" t="s">
        <v>4</v>
      </c>
      <c r="U750" s="72" t="s">
        <v>14</v>
      </c>
      <c r="V750" s="72" t="s">
        <v>1932</v>
      </c>
      <c r="W750" s="72" t="s">
        <v>4</v>
      </c>
      <c r="X750" s="72" t="s">
        <v>718</v>
      </c>
      <c r="Y750" s="72" t="s">
        <v>3109</v>
      </c>
      <c r="Z750" s="72" t="s">
        <v>4</v>
      </c>
      <c r="AA750" s="147" t="s">
        <v>3589</v>
      </c>
    </row>
    <row r="751" spans="1:27" ht="18.600000000000001" customHeight="1">
      <c r="A751" s="140" t="str">
        <f>IF(priority(Main[[#This Row],[Comments]])&lt;&gt;0, priority(Main[[#This Row],[Comments]]),"")</f>
        <v/>
      </c>
      <c r="B751" s="90" t="s">
        <v>1823</v>
      </c>
      <c r="C751" s="72" t="s">
        <v>4</v>
      </c>
      <c r="D751" s="73" t="s">
        <v>847</v>
      </c>
      <c r="E751" s="74">
        <v>40430.597812499997</v>
      </c>
      <c r="F751" s="74">
        <v>40574</v>
      </c>
      <c r="G751" s="75" t="str">
        <f>IF(stdProdLT(Main[[#This Row],[Comments]])=0.1,"N/A",IF(stdProdLT(Main[[#This Row],[Comments]])=0,"",stdProdLT(Main[[#This Row],[Comments]])))</f>
        <v/>
      </c>
      <c r="H751" s="76">
        <f>IF(AND(Main[[#This Row],[In Stock Date]]&lt;&gt;"",Main[[#This Row],[Revised Due Date]]&lt;&gt;""),Main[[#This Row],[In Stock Date]]-Main[[#This Row],[Revised Due Date]],"")</f>
        <v>384</v>
      </c>
      <c r="I751" s="72" t="s">
        <v>81</v>
      </c>
      <c r="J751" s="72" t="s">
        <v>52</v>
      </c>
      <c r="K751" s="81" t="s">
        <v>1944</v>
      </c>
      <c r="L751" s="74"/>
      <c r="M751" s="77" t="str">
        <f>IF(Main[[#This Row],[Tech Start Date]]&lt;1/1/1990,"",IF(Main[[#This Row],[Class]]="C",WORKDAY(Main[[#This Row],[Tech Start Date]],9),IF(Main[[#This Row],[Class]]="B", WORKDAY(Main[[#This Row],[Tech Start Date]],6),IF(Main[[#This Row],[Class]]="A",WORKDAY(Main[[#This Row],[Tech Start Date]],2),""))))</f>
        <v/>
      </c>
      <c r="N751" s="77" t="str">
        <f>IF(Main[[#This Row],[Tech Start Date]]&lt;1/1/1990,"",IF(Main[[#This Row],[Class]]="C",WORKDAY(Main[[#This Row],[Tech Start Date]],19),IF(Main[[#This Row],[Class]]="B", WORKDAY(Main[[#This Row],[Tech Start Date]],12),IF(Main[[#This Row],[Class]]="A",WORKDAY(Main[[#This Row],[Tech Start Date]],4),""))))</f>
        <v/>
      </c>
      <c r="O751" s="77" t="str">
        <f>IF(Main[[#This Row],[Tech Start Date]]&lt;1/1/1990,"",IF(Main[[#This Row],[Class]]="C",WORKDAY(Main[[#This Row],[Tech Start Date]],23),IF(Main[[#This Row],[Class]]="B", WORKDAY(Main[[#This Row],[Tech Start Date]],15),IF(Main[[#This Row],[Class]]="A",WORKDAY(Main[[#This Row],[Tech Start Date]],5),""))))</f>
        <v/>
      </c>
      <c r="P751" s="77" t="str">
        <f>IF(Main[[#This Row],[Tech Start Date]]&lt;1/1/1990,"",IF(Main[[#This Row],[Class]]="C",WORKDAY(Main[[#This Row],[Tech Start Date]],28),IF(Main[[#This Row],[Class]]="B", WORKDAY(Main[[#This Row],[Tech Start Date]],19),IF(Main[[#This Row],[Class]]="A",WORKDAY(Main[[#This Row],[Tech Start Date]],9),""))))</f>
        <v/>
      </c>
      <c r="Q751" s="74">
        <v>40190</v>
      </c>
      <c r="R751" s="74">
        <v>40190</v>
      </c>
      <c r="S751" s="72" t="s">
        <v>17</v>
      </c>
      <c r="T751" s="80" t="s">
        <v>4</v>
      </c>
      <c r="U751" s="72" t="s">
        <v>29</v>
      </c>
      <c r="V751" s="72" t="s">
        <v>1935</v>
      </c>
      <c r="W751" s="72" t="s">
        <v>1937</v>
      </c>
      <c r="X751" s="72" t="s">
        <v>50</v>
      </c>
      <c r="Y751" s="72" t="s">
        <v>3072</v>
      </c>
      <c r="Z751" s="72" t="s">
        <v>81</v>
      </c>
      <c r="AA751" s="147" t="s">
        <v>65</v>
      </c>
    </row>
    <row r="752" spans="1:27" ht="18.600000000000001" customHeight="1">
      <c r="A752" s="140" t="str">
        <f>IF(priority(Main[[#This Row],[Comments]])&lt;&gt;0, priority(Main[[#This Row],[Comments]]),"")</f>
        <v/>
      </c>
      <c r="B752" s="90" t="s">
        <v>2126</v>
      </c>
      <c r="C752" s="72" t="s">
        <v>2111</v>
      </c>
      <c r="D752" s="73" t="s">
        <v>2112</v>
      </c>
      <c r="E752" s="74"/>
      <c r="F752" s="74">
        <v>40831</v>
      </c>
      <c r="G752" s="75" t="str">
        <f>IF(stdProdLT(Main[[#This Row],[Comments]])=0.1,"N/A",IF(stdProdLT(Main[[#This Row],[Comments]])=0,"",stdProdLT(Main[[#This Row],[Comments]])))</f>
        <v/>
      </c>
      <c r="H752" s="76" t="str">
        <f>IF(AND(Main[[#This Row],[In Stock Date]]&lt;&gt;"",Main[[#This Row],[Revised Due Date]]&lt;&gt;""),Main[[#This Row],[In Stock Date]]-Main[[#This Row],[Revised Due Date]],"")</f>
        <v/>
      </c>
      <c r="I752" s="72" t="s">
        <v>4</v>
      </c>
      <c r="J752" s="72" t="s">
        <v>4</v>
      </c>
      <c r="K752" s="72" t="s">
        <v>4</v>
      </c>
      <c r="L752" s="74"/>
      <c r="M752" s="77" t="str">
        <f>IF(Main[[#This Row],[Tech Start Date]]&lt;1/1/1990,"",IF(Main[[#This Row],[Class]]="C",WORKDAY(Main[[#This Row],[Tech Start Date]],9),IF(Main[[#This Row],[Class]]="B", WORKDAY(Main[[#This Row],[Tech Start Date]],6),IF(Main[[#This Row],[Class]]="A",WORKDAY(Main[[#This Row],[Tech Start Date]],2),""))))</f>
        <v/>
      </c>
      <c r="N752" s="77" t="str">
        <f>IF(Main[[#This Row],[Tech Start Date]]&lt;1/1/1990,"",IF(Main[[#This Row],[Class]]="C",WORKDAY(Main[[#This Row],[Tech Start Date]],19),IF(Main[[#This Row],[Class]]="B", WORKDAY(Main[[#This Row],[Tech Start Date]],12),IF(Main[[#This Row],[Class]]="A",WORKDAY(Main[[#This Row],[Tech Start Date]],4),""))))</f>
        <v/>
      </c>
      <c r="O752" s="77" t="str">
        <f>IF(Main[[#This Row],[Tech Start Date]]&lt;1/1/1990,"",IF(Main[[#This Row],[Class]]="C",WORKDAY(Main[[#This Row],[Tech Start Date]],23),IF(Main[[#This Row],[Class]]="B", WORKDAY(Main[[#This Row],[Tech Start Date]],15),IF(Main[[#This Row],[Class]]="A",WORKDAY(Main[[#This Row],[Tech Start Date]],5),""))))</f>
        <v/>
      </c>
      <c r="P752" s="77" t="str">
        <f>IF(Main[[#This Row],[Tech Start Date]]&lt;1/1/1990,"",IF(Main[[#This Row],[Class]]="C",WORKDAY(Main[[#This Row],[Tech Start Date]],28),IF(Main[[#This Row],[Class]]="B", WORKDAY(Main[[#This Row],[Tech Start Date]],19),IF(Main[[#This Row],[Class]]="A",WORKDAY(Main[[#This Row],[Tech Start Date]],9),""))))</f>
        <v/>
      </c>
      <c r="Q752" s="74">
        <v>40786</v>
      </c>
      <c r="R752" s="74"/>
      <c r="S752" s="72" t="s">
        <v>11</v>
      </c>
      <c r="T752" s="80" t="s">
        <v>4</v>
      </c>
      <c r="U752" s="72" t="s">
        <v>12</v>
      </c>
      <c r="V752" s="72" t="s">
        <v>1935</v>
      </c>
      <c r="W752" s="72" t="s">
        <v>1940</v>
      </c>
      <c r="X752" s="72" t="s">
        <v>2915</v>
      </c>
      <c r="Y752" s="72" t="s">
        <v>3041</v>
      </c>
      <c r="Z752" s="72" t="s">
        <v>4</v>
      </c>
      <c r="AA752" s="147" t="s">
        <v>2915</v>
      </c>
    </row>
    <row r="753" spans="1:27" ht="18.600000000000001" customHeight="1">
      <c r="A753" s="140" t="str">
        <f>IF(priority(Main[[#This Row],[Comments]])&lt;&gt;0, priority(Main[[#This Row],[Comments]]),"")</f>
        <v/>
      </c>
      <c r="B753" s="90" t="s">
        <v>2104</v>
      </c>
      <c r="C753" s="72" t="s">
        <v>4</v>
      </c>
      <c r="D753" s="73" t="s">
        <v>2105</v>
      </c>
      <c r="E753" s="74"/>
      <c r="F753" s="74"/>
      <c r="G753" s="75" t="str">
        <f>IF(stdProdLT(Main[[#This Row],[Comments]])=0.1,"N/A",IF(stdProdLT(Main[[#This Row],[Comments]])=0,"",stdProdLT(Main[[#This Row],[Comments]])))</f>
        <v/>
      </c>
      <c r="H753" s="76" t="str">
        <f>IF(AND(Main[[#This Row],[In Stock Date]]&lt;&gt;"",Main[[#This Row],[Revised Due Date]]&lt;&gt;""),Main[[#This Row],[In Stock Date]]-Main[[#This Row],[Revised Due Date]],"")</f>
        <v/>
      </c>
      <c r="I753" s="72" t="s">
        <v>535</v>
      </c>
      <c r="J753" s="72" t="s">
        <v>28</v>
      </c>
      <c r="K753" s="72" t="s">
        <v>1941</v>
      </c>
      <c r="L753" s="74"/>
      <c r="M753" s="77" t="str">
        <f>IF(Main[[#This Row],[Tech Start Date]]&lt;1/1/1990,"",IF(Main[[#This Row],[Class]]="C",WORKDAY(Main[[#This Row],[Tech Start Date]],9),IF(Main[[#This Row],[Class]]="B", WORKDAY(Main[[#This Row],[Tech Start Date]],6),IF(Main[[#This Row],[Class]]="A",WORKDAY(Main[[#This Row],[Tech Start Date]],2),""))))</f>
        <v/>
      </c>
      <c r="N753" s="77" t="str">
        <f>IF(Main[[#This Row],[Tech Start Date]]&lt;1/1/1990,"",IF(Main[[#This Row],[Class]]="C",WORKDAY(Main[[#This Row],[Tech Start Date]],19),IF(Main[[#This Row],[Class]]="B", WORKDAY(Main[[#This Row],[Tech Start Date]],12),IF(Main[[#This Row],[Class]]="A",WORKDAY(Main[[#This Row],[Tech Start Date]],4),""))))</f>
        <v/>
      </c>
      <c r="O753" s="77" t="str">
        <f>IF(Main[[#This Row],[Tech Start Date]]&lt;1/1/1990,"",IF(Main[[#This Row],[Class]]="C",WORKDAY(Main[[#This Row],[Tech Start Date]],23),IF(Main[[#This Row],[Class]]="B", WORKDAY(Main[[#This Row],[Tech Start Date]],15),IF(Main[[#This Row],[Class]]="A",WORKDAY(Main[[#This Row],[Tech Start Date]],5),""))))</f>
        <v/>
      </c>
      <c r="P753" s="77" t="str">
        <f>IF(Main[[#This Row],[Tech Start Date]]&lt;1/1/1990,"",IF(Main[[#This Row],[Class]]="C",WORKDAY(Main[[#This Row],[Tech Start Date]],28),IF(Main[[#This Row],[Class]]="B", WORKDAY(Main[[#This Row],[Tech Start Date]],19),IF(Main[[#This Row],[Class]]="A",WORKDAY(Main[[#This Row],[Tech Start Date]],9),""))))</f>
        <v/>
      </c>
      <c r="Q753" s="74"/>
      <c r="R753" s="74"/>
      <c r="S753" s="72" t="s">
        <v>6</v>
      </c>
      <c r="T753" s="80" t="s">
        <v>4</v>
      </c>
      <c r="U753" s="72" t="s">
        <v>14</v>
      </c>
      <c r="V753" s="72" t="s">
        <v>1935</v>
      </c>
      <c r="W753" s="72" t="s">
        <v>1936</v>
      </c>
      <c r="X753" s="72" t="s">
        <v>2950</v>
      </c>
      <c r="Y753" s="72" t="s">
        <v>3087</v>
      </c>
      <c r="Z753" s="72" t="s">
        <v>44</v>
      </c>
      <c r="AA753" s="147" t="s">
        <v>2950</v>
      </c>
    </row>
    <row r="754" spans="1:27" ht="18.600000000000001" customHeight="1">
      <c r="A754" s="140" t="str">
        <f>IF(priority(Main[[#This Row],[Comments]])&lt;&gt;0, priority(Main[[#This Row],[Comments]]),"")</f>
        <v/>
      </c>
      <c r="B754" s="90" t="s">
        <v>1411</v>
      </c>
      <c r="C754" s="72" t="s">
        <v>4</v>
      </c>
      <c r="D754" s="73" t="s">
        <v>486</v>
      </c>
      <c r="E754" s="74">
        <v>40485.329618055555</v>
      </c>
      <c r="F754" s="74"/>
      <c r="G754" s="75" t="str">
        <f>IF(stdProdLT(Main[[#This Row],[Comments]])=0.1,"N/A",IF(stdProdLT(Main[[#This Row],[Comments]])=0,"",stdProdLT(Main[[#This Row],[Comments]])))</f>
        <v/>
      </c>
      <c r="H754" s="76" t="str">
        <f>IF(AND(Main[[#This Row],[In Stock Date]]&lt;&gt;"",Main[[#This Row],[Revised Due Date]]&lt;&gt;""),Main[[#This Row],[In Stock Date]]-Main[[#This Row],[Revised Due Date]],"")</f>
        <v/>
      </c>
      <c r="I754" s="72" t="s">
        <v>4</v>
      </c>
      <c r="J754" s="72" t="s">
        <v>28</v>
      </c>
      <c r="K754" s="81" t="s">
        <v>1944</v>
      </c>
      <c r="L754" s="74"/>
      <c r="M754" s="77" t="str">
        <f>IF(Main[[#This Row],[Tech Start Date]]&lt;1/1/1990,"",IF(Main[[#This Row],[Class]]="C",WORKDAY(Main[[#This Row],[Tech Start Date]],9),IF(Main[[#This Row],[Class]]="B", WORKDAY(Main[[#This Row],[Tech Start Date]],6),IF(Main[[#This Row],[Class]]="A",WORKDAY(Main[[#This Row],[Tech Start Date]],2),""))))</f>
        <v/>
      </c>
      <c r="N754" s="77" t="str">
        <f>IF(Main[[#This Row],[Tech Start Date]]&lt;1/1/1990,"",IF(Main[[#This Row],[Class]]="C",WORKDAY(Main[[#This Row],[Tech Start Date]],19),IF(Main[[#This Row],[Class]]="B", WORKDAY(Main[[#This Row],[Tech Start Date]],12),IF(Main[[#This Row],[Class]]="A",WORKDAY(Main[[#This Row],[Tech Start Date]],4),""))))</f>
        <v/>
      </c>
      <c r="O754" s="77" t="str">
        <f>IF(Main[[#This Row],[Tech Start Date]]&lt;1/1/1990,"",IF(Main[[#This Row],[Class]]="C",WORKDAY(Main[[#This Row],[Tech Start Date]],23),IF(Main[[#This Row],[Class]]="B", WORKDAY(Main[[#This Row],[Tech Start Date]],15),IF(Main[[#This Row],[Class]]="A",WORKDAY(Main[[#This Row],[Tech Start Date]],5),""))))</f>
        <v/>
      </c>
      <c r="P754" s="77" t="str">
        <f>IF(Main[[#This Row],[Tech Start Date]]&lt;1/1/1990,"",IF(Main[[#This Row],[Class]]="C",WORKDAY(Main[[#This Row],[Tech Start Date]],28),IF(Main[[#This Row],[Class]]="B", WORKDAY(Main[[#This Row],[Tech Start Date]],19),IF(Main[[#This Row],[Class]]="A",WORKDAY(Main[[#This Row],[Tech Start Date]],9),""))))</f>
        <v/>
      </c>
      <c r="Q754" s="74"/>
      <c r="R754" s="74"/>
      <c r="S754" s="72" t="s">
        <v>17</v>
      </c>
      <c r="T754" s="80" t="s">
        <v>4</v>
      </c>
      <c r="U754" s="72" t="s">
        <v>29</v>
      </c>
      <c r="V754" s="72" t="s">
        <v>1932</v>
      </c>
      <c r="W754" s="72" t="s">
        <v>1946</v>
      </c>
      <c r="X754" s="72" t="s">
        <v>2074</v>
      </c>
      <c r="Y754" s="72" t="s">
        <v>3089</v>
      </c>
      <c r="Z754" s="72" t="s">
        <v>4</v>
      </c>
      <c r="AA754" s="147" t="s">
        <v>2074</v>
      </c>
    </row>
    <row r="755" spans="1:27" ht="18.600000000000001" customHeight="1">
      <c r="A755" s="140" t="str">
        <f>IF(priority(Main[[#This Row],[Comments]])&lt;&gt;0, priority(Main[[#This Row],[Comments]]),"")</f>
        <v/>
      </c>
      <c r="B755" s="90" t="s">
        <v>1835</v>
      </c>
      <c r="C755" s="72" t="s">
        <v>42</v>
      </c>
      <c r="D755" s="73" t="s">
        <v>880</v>
      </c>
      <c r="E755" s="74">
        <v>39932.455243055556</v>
      </c>
      <c r="F755" s="74"/>
      <c r="G755" s="75" t="str">
        <f>IF(stdProdLT(Main[[#This Row],[Comments]])=0.1,"N/A",IF(stdProdLT(Main[[#This Row],[Comments]])=0,"",stdProdLT(Main[[#This Row],[Comments]])))</f>
        <v/>
      </c>
      <c r="H755" s="76" t="str">
        <f>IF(AND(Main[[#This Row],[In Stock Date]]&lt;&gt;"",Main[[#This Row],[Revised Due Date]]&lt;&gt;""),Main[[#This Row],[In Stock Date]]-Main[[#This Row],[Revised Due Date]],"")</f>
        <v/>
      </c>
      <c r="I755" s="72" t="s">
        <v>4</v>
      </c>
      <c r="J755" s="72" t="s">
        <v>4</v>
      </c>
      <c r="K755" s="72" t="s">
        <v>4</v>
      </c>
      <c r="L755" s="74"/>
      <c r="M755" s="77" t="str">
        <f>IF(Main[[#This Row],[Tech Start Date]]&lt;1/1/1990,"",IF(Main[[#This Row],[Class]]="C",WORKDAY(Main[[#This Row],[Tech Start Date]],9),IF(Main[[#This Row],[Class]]="B", WORKDAY(Main[[#This Row],[Tech Start Date]],6),IF(Main[[#This Row],[Class]]="A",WORKDAY(Main[[#This Row],[Tech Start Date]],2),""))))</f>
        <v/>
      </c>
      <c r="N755" s="77" t="str">
        <f>IF(Main[[#This Row],[Tech Start Date]]&lt;1/1/1990,"",IF(Main[[#This Row],[Class]]="C",WORKDAY(Main[[#This Row],[Tech Start Date]],19),IF(Main[[#This Row],[Class]]="B", WORKDAY(Main[[#This Row],[Tech Start Date]],12),IF(Main[[#This Row],[Class]]="A",WORKDAY(Main[[#This Row],[Tech Start Date]],4),""))))</f>
        <v/>
      </c>
      <c r="O755" s="77" t="str">
        <f>IF(Main[[#This Row],[Tech Start Date]]&lt;1/1/1990,"",IF(Main[[#This Row],[Class]]="C",WORKDAY(Main[[#This Row],[Tech Start Date]],23),IF(Main[[#This Row],[Class]]="B", WORKDAY(Main[[#This Row],[Tech Start Date]],15),IF(Main[[#This Row],[Class]]="A",WORKDAY(Main[[#This Row],[Tech Start Date]],5),""))))</f>
        <v/>
      </c>
      <c r="P755" s="77" t="str">
        <f>IF(Main[[#This Row],[Tech Start Date]]&lt;1/1/1990,"",IF(Main[[#This Row],[Class]]="C",WORKDAY(Main[[#This Row],[Tech Start Date]],28),IF(Main[[#This Row],[Class]]="B", WORKDAY(Main[[#This Row],[Tech Start Date]],19),IF(Main[[#This Row],[Class]]="A",WORKDAY(Main[[#This Row],[Tech Start Date]],9),""))))</f>
        <v/>
      </c>
      <c r="Q755" s="74">
        <v>40165</v>
      </c>
      <c r="R755" s="74">
        <v>40298</v>
      </c>
      <c r="S755" s="72" t="s">
        <v>17</v>
      </c>
      <c r="T755" s="80" t="s">
        <v>4</v>
      </c>
      <c r="U755" s="72" t="s">
        <v>29</v>
      </c>
      <c r="V755" s="72" t="s">
        <v>1933</v>
      </c>
      <c r="W755" s="72" t="s">
        <v>1936</v>
      </c>
      <c r="X755" s="72" t="s">
        <v>403</v>
      </c>
      <c r="Y755" s="72" t="s">
        <v>4</v>
      </c>
      <c r="Z755" s="72" t="s">
        <v>4</v>
      </c>
      <c r="AA755" s="147" t="s">
        <v>3618</v>
      </c>
    </row>
    <row r="756" spans="1:27" ht="18.600000000000001" customHeight="1">
      <c r="A756" s="140" t="str">
        <f>IF(priority(Main[[#This Row],[Comments]])&lt;&gt;0, priority(Main[[#This Row],[Comments]]),"")</f>
        <v/>
      </c>
      <c r="B756" s="90" t="s">
        <v>1737</v>
      </c>
      <c r="C756" s="72" t="s">
        <v>4</v>
      </c>
      <c r="D756" s="73" t="s">
        <v>785</v>
      </c>
      <c r="E756" s="74"/>
      <c r="F756" s="74"/>
      <c r="G756" s="75" t="str">
        <f>IF(stdProdLT(Main[[#This Row],[Comments]])=0.1,"N/A",IF(stdProdLT(Main[[#This Row],[Comments]])=0,"",stdProdLT(Main[[#This Row],[Comments]])))</f>
        <v/>
      </c>
      <c r="H756" s="76" t="str">
        <f>IF(AND(Main[[#This Row],[In Stock Date]]&lt;&gt;"",Main[[#This Row],[Revised Due Date]]&lt;&gt;""),Main[[#This Row],[In Stock Date]]-Main[[#This Row],[Revised Due Date]],"")</f>
        <v/>
      </c>
      <c r="I756" s="72" t="s">
        <v>4</v>
      </c>
      <c r="J756" s="72" t="s">
        <v>4</v>
      </c>
      <c r="K756" s="81" t="s">
        <v>4</v>
      </c>
      <c r="L756" s="74"/>
      <c r="M756" s="77" t="str">
        <f>IF(Main[[#This Row],[Tech Start Date]]&lt;1/1/1990,"",IF(Main[[#This Row],[Class]]="C",WORKDAY(Main[[#This Row],[Tech Start Date]],9),IF(Main[[#This Row],[Class]]="B", WORKDAY(Main[[#This Row],[Tech Start Date]],6),IF(Main[[#This Row],[Class]]="A",WORKDAY(Main[[#This Row],[Tech Start Date]],2),""))))</f>
        <v/>
      </c>
      <c r="N756" s="77" t="str">
        <f>IF(Main[[#This Row],[Tech Start Date]]&lt;1/1/1990,"",IF(Main[[#This Row],[Class]]="C",WORKDAY(Main[[#This Row],[Tech Start Date]],19),IF(Main[[#This Row],[Class]]="B", WORKDAY(Main[[#This Row],[Tech Start Date]],12),IF(Main[[#This Row],[Class]]="A",WORKDAY(Main[[#This Row],[Tech Start Date]],4),""))))</f>
        <v/>
      </c>
      <c r="O756" s="77" t="str">
        <f>IF(Main[[#This Row],[Tech Start Date]]&lt;1/1/1990,"",IF(Main[[#This Row],[Class]]="C",WORKDAY(Main[[#This Row],[Tech Start Date]],23),IF(Main[[#This Row],[Class]]="B", WORKDAY(Main[[#This Row],[Tech Start Date]],15),IF(Main[[#This Row],[Class]]="A",WORKDAY(Main[[#This Row],[Tech Start Date]],5),""))))</f>
        <v/>
      </c>
      <c r="P756" s="77" t="str">
        <f>IF(Main[[#This Row],[Tech Start Date]]&lt;1/1/1990,"",IF(Main[[#This Row],[Class]]="C",WORKDAY(Main[[#This Row],[Tech Start Date]],28),IF(Main[[#This Row],[Class]]="B", WORKDAY(Main[[#This Row],[Tech Start Date]],19),IF(Main[[#This Row],[Class]]="A",WORKDAY(Main[[#This Row],[Tech Start Date]],9),""))))</f>
        <v/>
      </c>
      <c r="Q756" s="74"/>
      <c r="R756" s="74"/>
      <c r="S756" s="72" t="s">
        <v>4</v>
      </c>
      <c r="T756" s="80" t="s">
        <v>4</v>
      </c>
      <c r="U756" s="72" t="s">
        <v>14</v>
      </c>
      <c r="V756" s="72" t="s">
        <v>1935</v>
      </c>
      <c r="W756" s="72" t="s">
        <v>4</v>
      </c>
      <c r="X756" s="72" t="s">
        <v>50</v>
      </c>
      <c r="Y756" s="72" t="s">
        <v>4</v>
      </c>
      <c r="Z756" s="72" t="s">
        <v>4</v>
      </c>
      <c r="AA756" s="147" t="s">
        <v>4</v>
      </c>
    </row>
    <row r="757" spans="1:27" ht="18.600000000000001" customHeight="1">
      <c r="A757" s="140" t="str">
        <f>IF(priority(Main[[#This Row],[Comments]])&lt;&gt;0, priority(Main[[#This Row],[Comments]]),"")</f>
        <v/>
      </c>
      <c r="B757" s="90" t="s">
        <v>1582</v>
      </c>
      <c r="C757" s="72" t="s">
        <v>72</v>
      </c>
      <c r="D757" s="73" t="s">
        <v>652</v>
      </c>
      <c r="E757" s="74"/>
      <c r="F757" s="74"/>
      <c r="G757" s="75" t="str">
        <f>IF(stdProdLT(Main[[#This Row],[Comments]])=0.1,"N/A",IF(stdProdLT(Main[[#This Row],[Comments]])=0,"",stdProdLT(Main[[#This Row],[Comments]])))</f>
        <v/>
      </c>
      <c r="H757" s="76" t="str">
        <f>IF(AND(Main[[#This Row],[In Stock Date]]&lt;&gt;"",Main[[#This Row],[Revised Due Date]]&lt;&gt;""),Main[[#This Row],[In Stock Date]]-Main[[#This Row],[Revised Due Date]],"")</f>
        <v/>
      </c>
      <c r="I757" s="72" t="s">
        <v>4</v>
      </c>
      <c r="J757" s="72" t="s">
        <v>4</v>
      </c>
      <c r="K757" s="72" t="s">
        <v>4</v>
      </c>
      <c r="L757" s="74"/>
      <c r="M757" s="77" t="str">
        <f>IF(Main[[#This Row],[Tech Start Date]]&lt;1/1/1990,"",IF(Main[[#This Row],[Class]]="C",WORKDAY(Main[[#This Row],[Tech Start Date]],9),IF(Main[[#This Row],[Class]]="B", WORKDAY(Main[[#This Row],[Tech Start Date]],6),IF(Main[[#This Row],[Class]]="A",WORKDAY(Main[[#This Row],[Tech Start Date]],2),""))))</f>
        <v/>
      </c>
      <c r="N757" s="77" t="str">
        <f>IF(Main[[#This Row],[Tech Start Date]]&lt;1/1/1990,"",IF(Main[[#This Row],[Class]]="C",WORKDAY(Main[[#This Row],[Tech Start Date]],19),IF(Main[[#This Row],[Class]]="B", WORKDAY(Main[[#This Row],[Tech Start Date]],12),IF(Main[[#This Row],[Class]]="A",WORKDAY(Main[[#This Row],[Tech Start Date]],4),""))))</f>
        <v/>
      </c>
      <c r="O757" s="77" t="str">
        <f>IF(Main[[#This Row],[Tech Start Date]]&lt;1/1/1990,"",IF(Main[[#This Row],[Class]]="C",WORKDAY(Main[[#This Row],[Tech Start Date]],23),IF(Main[[#This Row],[Class]]="B", WORKDAY(Main[[#This Row],[Tech Start Date]],15),IF(Main[[#This Row],[Class]]="A",WORKDAY(Main[[#This Row],[Tech Start Date]],5),""))))</f>
        <v/>
      </c>
      <c r="P757" s="77" t="str">
        <f>IF(Main[[#This Row],[Tech Start Date]]&lt;1/1/1990,"",IF(Main[[#This Row],[Class]]="C",WORKDAY(Main[[#This Row],[Tech Start Date]],28),IF(Main[[#This Row],[Class]]="B", WORKDAY(Main[[#This Row],[Tech Start Date]],19),IF(Main[[#This Row],[Class]]="A",WORKDAY(Main[[#This Row],[Tech Start Date]],9),""))))</f>
        <v/>
      </c>
      <c r="Q757" s="74"/>
      <c r="R757" s="74"/>
      <c r="S757" s="72" t="s">
        <v>49</v>
      </c>
      <c r="T757" s="80" t="s">
        <v>4</v>
      </c>
      <c r="U757" s="72" t="s">
        <v>12</v>
      </c>
      <c r="V757" s="72" t="s">
        <v>1933</v>
      </c>
      <c r="W757" s="72" t="s">
        <v>1934</v>
      </c>
      <c r="X757" s="72" t="s">
        <v>2985</v>
      </c>
      <c r="Y757" s="72" t="s">
        <v>3166</v>
      </c>
      <c r="Z757" s="72" t="s">
        <v>4</v>
      </c>
      <c r="AA757" s="147" t="s">
        <v>2985</v>
      </c>
    </row>
    <row r="758" spans="1:27" ht="18.600000000000001" customHeight="1">
      <c r="A758" s="140" t="str">
        <f>IF(priority(Main[[#This Row],[Comments]])&lt;&gt;0, priority(Main[[#This Row],[Comments]]),"")</f>
        <v/>
      </c>
      <c r="B758" s="90" t="s">
        <v>1583</v>
      </c>
      <c r="C758" s="72" t="s">
        <v>72</v>
      </c>
      <c r="D758" s="73" t="s">
        <v>653</v>
      </c>
      <c r="E758" s="74"/>
      <c r="F758" s="74">
        <v>40313</v>
      </c>
      <c r="G758" s="75" t="str">
        <f>IF(stdProdLT(Main[[#This Row],[Comments]])=0.1,"N/A",IF(stdProdLT(Main[[#This Row],[Comments]])=0,"",stdProdLT(Main[[#This Row],[Comments]])))</f>
        <v/>
      </c>
      <c r="H758" s="76" t="str">
        <f>IF(AND(Main[[#This Row],[In Stock Date]]&lt;&gt;"",Main[[#This Row],[Revised Due Date]]&lt;&gt;""),Main[[#This Row],[In Stock Date]]-Main[[#This Row],[Revised Due Date]],"")</f>
        <v/>
      </c>
      <c r="I758" s="72" t="s">
        <v>4</v>
      </c>
      <c r="J758" s="72" t="s">
        <v>4</v>
      </c>
      <c r="K758" s="81" t="s">
        <v>4</v>
      </c>
      <c r="L758" s="74"/>
      <c r="M758" s="77" t="str">
        <f>IF(Main[[#This Row],[Tech Start Date]]&lt;1/1/1990,"",IF(Main[[#This Row],[Class]]="C",WORKDAY(Main[[#This Row],[Tech Start Date]],9),IF(Main[[#This Row],[Class]]="B", WORKDAY(Main[[#This Row],[Tech Start Date]],6),IF(Main[[#This Row],[Class]]="A",WORKDAY(Main[[#This Row],[Tech Start Date]],2),""))))</f>
        <v/>
      </c>
      <c r="N758" s="77" t="str">
        <f>IF(Main[[#This Row],[Tech Start Date]]&lt;1/1/1990,"",IF(Main[[#This Row],[Class]]="C",WORKDAY(Main[[#This Row],[Tech Start Date]],19),IF(Main[[#This Row],[Class]]="B", WORKDAY(Main[[#This Row],[Tech Start Date]],12),IF(Main[[#This Row],[Class]]="A",WORKDAY(Main[[#This Row],[Tech Start Date]],4),""))))</f>
        <v/>
      </c>
      <c r="O758" s="77" t="str">
        <f>IF(Main[[#This Row],[Tech Start Date]]&lt;1/1/1990,"",IF(Main[[#This Row],[Class]]="C",WORKDAY(Main[[#This Row],[Tech Start Date]],23),IF(Main[[#This Row],[Class]]="B", WORKDAY(Main[[#This Row],[Tech Start Date]],15),IF(Main[[#This Row],[Class]]="A",WORKDAY(Main[[#This Row],[Tech Start Date]],5),""))))</f>
        <v/>
      </c>
      <c r="P758" s="77" t="str">
        <f>IF(Main[[#This Row],[Tech Start Date]]&lt;1/1/1990,"",IF(Main[[#This Row],[Class]]="C",WORKDAY(Main[[#This Row],[Tech Start Date]],28),IF(Main[[#This Row],[Class]]="B", WORKDAY(Main[[#This Row],[Tech Start Date]],19),IF(Main[[#This Row],[Class]]="A",WORKDAY(Main[[#This Row],[Tech Start Date]],9),""))))</f>
        <v/>
      </c>
      <c r="Q758" s="74">
        <v>40233</v>
      </c>
      <c r="R758" s="74"/>
      <c r="S758" s="72" t="s">
        <v>11</v>
      </c>
      <c r="T758" s="80" t="s">
        <v>4</v>
      </c>
      <c r="U758" s="72" t="s">
        <v>14</v>
      </c>
      <c r="V758" s="72" t="s">
        <v>1935</v>
      </c>
      <c r="W758" s="72" t="s">
        <v>1940</v>
      </c>
      <c r="X758" s="72" t="s">
        <v>2908</v>
      </c>
      <c r="Y758" s="72" t="s">
        <v>3030</v>
      </c>
      <c r="Z758" s="72" t="s">
        <v>4</v>
      </c>
      <c r="AA758" s="147" t="s">
        <v>2908</v>
      </c>
    </row>
    <row r="759" spans="1:27" ht="18.600000000000001" customHeight="1">
      <c r="A759" s="140" t="str">
        <f>IF(priority(Main[[#This Row],[Comments]])&lt;&gt;0, priority(Main[[#This Row],[Comments]]),"")</f>
        <v/>
      </c>
      <c r="B759" s="90" t="s">
        <v>1584</v>
      </c>
      <c r="C759" s="72" t="s">
        <v>160</v>
      </c>
      <c r="D759" s="73" t="s">
        <v>654</v>
      </c>
      <c r="E759" s="74"/>
      <c r="F759" s="74">
        <v>40513</v>
      </c>
      <c r="G759" s="75" t="str">
        <f>IF(stdProdLT(Main[[#This Row],[Comments]])=0.1,"N/A",IF(stdProdLT(Main[[#This Row],[Comments]])=0,"",stdProdLT(Main[[#This Row],[Comments]])))</f>
        <v/>
      </c>
      <c r="H759" s="76" t="str">
        <f>IF(AND(Main[[#This Row],[In Stock Date]]&lt;&gt;"",Main[[#This Row],[Revised Due Date]]&lt;&gt;""),Main[[#This Row],[In Stock Date]]-Main[[#This Row],[Revised Due Date]],"")</f>
        <v/>
      </c>
      <c r="I759" s="72" t="s">
        <v>4</v>
      </c>
      <c r="J759" s="72" t="s">
        <v>28</v>
      </c>
      <c r="K759" s="81" t="s">
        <v>4</v>
      </c>
      <c r="L759" s="74"/>
      <c r="M759" s="77" t="str">
        <f>IF(Main[[#This Row],[Tech Start Date]]&lt;1/1/1990,"",IF(Main[[#This Row],[Class]]="C",WORKDAY(Main[[#This Row],[Tech Start Date]],9),IF(Main[[#This Row],[Class]]="B", WORKDAY(Main[[#This Row],[Tech Start Date]],6),IF(Main[[#This Row],[Class]]="A",WORKDAY(Main[[#This Row],[Tech Start Date]],2),""))))</f>
        <v/>
      </c>
      <c r="N759" s="77" t="str">
        <f>IF(Main[[#This Row],[Tech Start Date]]&lt;1/1/1990,"",IF(Main[[#This Row],[Class]]="C",WORKDAY(Main[[#This Row],[Tech Start Date]],19),IF(Main[[#This Row],[Class]]="B", WORKDAY(Main[[#This Row],[Tech Start Date]],12),IF(Main[[#This Row],[Class]]="A",WORKDAY(Main[[#This Row],[Tech Start Date]],4),""))))</f>
        <v/>
      </c>
      <c r="O759" s="77" t="str">
        <f>IF(Main[[#This Row],[Tech Start Date]]&lt;1/1/1990,"",IF(Main[[#This Row],[Class]]="C",WORKDAY(Main[[#This Row],[Tech Start Date]],23),IF(Main[[#This Row],[Class]]="B", WORKDAY(Main[[#This Row],[Tech Start Date]],15),IF(Main[[#This Row],[Class]]="A",WORKDAY(Main[[#This Row],[Tech Start Date]],5),""))))</f>
        <v/>
      </c>
      <c r="P759" s="77" t="str">
        <f>IF(Main[[#This Row],[Tech Start Date]]&lt;1/1/1990,"",IF(Main[[#This Row],[Class]]="C",WORKDAY(Main[[#This Row],[Tech Start Date]],28),IF(Main[[#This Row],[Class]]="B", WORKDAY(Main[[#This Row],[Tech Start Date]],19),IF(Main[[#This Row],[Class]]="A",WORKDAY(Main[[#This Row],[Tech Start Date]],9),""))))</f>
        <v/>
      </c>
      <c r="Q759" s="74">
        <v>40382</v>
      </c>
      <c r="R759" s="74"/>
      <c r="S759" s="72" t="s">
        <v>11</v>
      </c>
      <c r="T759" s="80" t="s">
        <v>4</v>
      </c>
      <c r="U759" s="72" t="s">
        <v>14</v>
      </c>
      <c r="V759" s="72" t="s">
        <v>1932</v>
      </c>
      <c r="W759" s="72" t="s">
        <v>1940</v>
      </c>
      <c r="X759" s="72" t="s">
        <v>2939</v>
      </c>
      <c r="Y759" s="72" t="s">
        <v>3081</v>
      </c>
      <c r="Z759" s="72" t="s">
        <v>129</v>
      </c>
      <c r="AA759" s="147" t="s">
        <v>2939</v>
      </c>
    </row>
    <row r="760" spans="1:27" ht="18.600000000000001" customHeight="1">
      <c r="A760" s="140" t="str">
        <f>IF(priority(Main[[#This Row],[Comments]])&lt;&gt;0, priority(Main[[#This Row],[Comments]]),"")</f>
        <v/>
      </c>
      <c r="B760" s="90" t="s">
        <v>1585</v>
      </c>
      <c r="C760" s="72" t="s">
        <v>4</v>
      </c>
      <c r="D760" s="73" t="s">
        <v>655</v>
      </c>
      <c r="E760" s="74">
        <v>40477.486574074072</v>
      </c>
      <c r="F760" s="74"/>
      <c r="G760" s="75" t="str">
        <f>IF(stdProdLT(Main[[#This Row],[Comments]])=0.1,"N/A",IF(stdProdLT(Main[[#This Row],[Comments]])=0,"",stdProdLT(Main[[#This Row],[Comments]])))</f>
        <v/>
      </c>
      <c r="H760" s="76" t="str">
        <f>IF(AND(Main[[#This Row],[In Stock Date]]&lt;&gt;"",Main[[#This Row],[Revised Due Date]]&lt;&gt;""),Main[[#This Row],[In Stock Date]]-Main[[#This Row],[Revised Due Date]],"")</f>
        <v/>
      </c>
      <c r="I760" s="72" t="s">
        <v>4</v>
      </c>
      <c r="J760" s="72" t="s">
        <v>4</v>
      </c>
      <c r="K760" s="72" t="s">
        <v>4</v>
      </c>
      <c r="L760" s="74"/>
      <c r="M760" s="77" t="str">
        <f>IF(Main[[#This Row],[Tech Start Date]]&lt;1/1/1990,"",IF(Main[[#This Row],[Class]]="C",WORKDAY(Main[[#This Row],[Tech Start Date]],9),IF(Main[[#This Row],[Class]]="B", WORKDAY(Main[[#This Row],[Tech Start Date]],6),IF(Main[[#This Row],[Class]]="A",WORKDAY(Main[[#This Row],[Tech Start Date]],2),""))))</f>
        <v/>
      </c>
      <c r="N760" s="77" t="str">
        <f>IF(Main[[#This Row],[Tech Start Date]]&lt;1/1/1990,"",IF(Main[[#This Row],[Class]]="C",WORKDAY(Main[[#This Row],[Tech Start Date]],19),IF(Main[[#This Row],[Class]]="B", WORKDAY(Main[[#This Row],[Tech Start Date]],12),IF(Main[[#This Row],[Class]]="A",WORKDAY(Main[[#This Row],[Tech Start Date]],4),""))))</f>
        <v/>
      </c>
      <c r="O760" s="77" t="str">
        <f>IF(Main[[#This Row],[Tech Start Date]]&lt;1/1/1990,"",IF(Main[[#This Row],[Class]]="C",WORKDAY(Main[[#This Row],[Tech Start Date]],23),IF(Main[[#This Row],[Class]]="B", WORKDAY(Main[[#This Row],[Tech Start Date]],15),IF(Main[[#This Row],[Class]]="A",WORKDAY(Main[[#This Row],[Tech Start Date]],5),""))))</f>
        <v/>
      </c>
      <c r="P760" s="77" t="str">
        <f>IF(Main[[#This Row],[Tech Start Date]]&lt;1/1/1990,"",IF(Main[[#This Row],[Class]]="C",WORKDAY(Main[[#This Row],[Tech Start Date]],28),IF(Main[[#This Row],[Class]]="B", WORKDAY(Main[[#This Row],[Tech Start Date]],19),IF(Main[[#This Row],[Class]]="A",WORKDAY(Main[[#This Row],[Tech Start Date]],9),""))))</f>
        <v/>
      </c>
      <c r="Q760" s="74">
        <v>40511</v>
      </c>
      <c r="R760" s="74"/>
      <c r="S760" s="72" t="s">
        <v>6</v>
      </c>
      <c r="T760" s="80" t="s">
        <v>4</v>
      </c>
      <c r="U760" s="72" t="s">
        <v>7</v>
      </c>
      <c r="V760" s="72" t="s">
        <v>1932</v>
      </c>
      <c r="W760" s="72" t="s">
        <v>4</v>
      </c>
      <c r="X760" s="72" t="s">
        <v>2902</v>
      </c>
      <c r="Y760" s="72" t="s">
        <v>3016</v>
      </c>
      <c r="Z760" s="72" t="s">
        <v>4</v>
      </c>
      <c r="AA760" s="147" t="s">
        <v>2902</v>
      </c>
    </row>
    <row r="761" spans="1:27" ht="18.600000000000001" customHeight="1">
      <c r="A761" s="140" t="str">
        <f>IF(priority(Main[[#This Row],[Comments]])&lt;&gt;0, priority(Main[[#This Row],[Comments]]),"")</f>
        <v/>
      </c>
      <c r="B761" s="90" t="s">
        <v>1586</v>
      </c>
      <c r="C761" s="72" t="s">
        <v>4</v>
      </c>
      <c r="D761" s="73" t="s">
        <v>656</v>
      </c>
      <c r="E761" s="74"/>
      <c r="F761" s="74"/>
      <c r="G761" s="75" t="str">
        <f>IF(stdProdLT(Main[[#This Row],[Comments]])=0.1,"N/A",IF(stdProdLT(Main[[#This Row],[Comments]])=0,"",stdProdLT(Main[[#This Row],[Comments]])))</f>
        <v/>
      </c>
      <c r="H761" s="76" t="str">
        <f>IF(AND(Main[[#This Row],[In Stock Date]]&lt;&gt;"",Main[[#This Row],[Revised Due Date]]&lt;&gt;""),Main[[#This Row],[In Stock Date]]-Main[[#This Row],[Revised Due Date]],"")</f>
        <v/>
      </c>
      <c r="I761" s="72" t="s">
        <v>4</v>
      </c>
      <c r="J761" s="72" t="s">
        <v>4</v>
      </c>
      <c r="K761" s="72" t="s">
        <v>4</v>
      </c>
      <c r="L761" s="74"/>
      <c r="M761" s="77" t="str">
        <f>IF(Main[[#This Row],[Tech Start Date]]&lt;1/1/1990,"",IF(Main[[#This Row],[Class]]="C",WORKDAY(Main[[#This Row],[Tech Start Date]],9),IF(Main[[#This Row],[Class]]="B", WORKDAY(Main[[#This Row],[Tech Start Date]],6),IF(Main[[#This Row],[Class]]="A",WORKDAY(Main[[#This Row],[Tech Start Date]],2),""))))</f>
        <v/>
      </c>
      <c r="N761" s="77" t="str">
        <f>IF(Main[[#This Row],[Tech Start Date]]&lt;1/1/1990,"",IF(Main[[#This Row],[Class]]="C",WORKDAY(Main[[#This Row],[Tech Start Date]],19),IF(Main[[#This Row],[Class]]="B", WORKDAY(Main[[#This Row],[Tech Start Date]],12),IF(Main[[#This Row],[Class]]="A",WORKDAY(Main[[#This Row],[Tech Start Date]],4),""))))</f>
        <v/>
      </c>
      <c r="O761" s="77" t="str">
        <f>IF(Main[[#This Row],[Tech Start Date]]&lt;1/1/1990,"",IF(Main[[#This Row],[Class]]="C",WORKDAY(Main[[#This Row],[Tech Start Date]],23),IF(Main[[#This Row],[Class]]="B", WORKDAY(Main[[#This Row],[Tech Start Date]],15),IF(Main[[#This Row],[Class]]="A",WORKDAY(Main[[#This Row],[Tech Start Date]],5),""))))</f>
        <v/>
      </c>
      <c r="P761" s="77" t="str">
        <f>IF(Main[[#This Row],[Tech Start Date]]&lt;1/1/1990,"",IF(Main[[#This Row],[Class]]="C",WORKDAY(Main[[#This Row],[Tech Start Date]],28),IF(Main[[#This Row],[Class]]="B", WORKDAY(Main[[#This Row],[Tech Start Date]],19),IF(Main[[#This Row],[Class]]="A",WORKDAY(Main[[#This Row],[Tech Start Date]],9),""))))</f>
        <v/>
      </c>
      <c r="Q761" s="74">
        <v>40619</v>
      </c>
      <c r="R761" s="74"/>
      <c r="S761" s="72" t="s">
        <v>6</v>
      </c>
      <c r="T761" s="80" t="s">
        <v>4</v>
      </c>
      <c r="U761" s="72" t="s">
        <v>14</v>
      </c>
      <c r="V761" s="72" t="s">
        <v>1942</v>
      </c>
      <c r="W761" s="72" t="s">
        <v>4</v>
      </c>
      <c r="X761" s="72" t="s">
        <v>2987</v>
      </c>
      <c r="Y761" s="72" t="s">
        <v>3170</v>
      </c>
      <c r="Z761" s="72" t="s">
        <v>4</v>
      </c>
      <c r="AA761" s="147" t="s">
        <v>2987</v>
      </c>
    </row>
    <row r="762" spans="1:27" ht="18.600000000000001" customHeight="1">
      <c r="A762" s="140" t="str">
        <f>IF(priority(Main[[#This Row],[Comments]])&lt;&gt;0, priority(Main[[#This Row],[Comments]]),"")</f>
        <v/>
      </c>
      <c r="B762" s="90" t="s">
        <v>2129</v>
      </c>
      <c r="C762" s="72" t="s">
        <v>4</v>
      </c>
      <c r="D762" s="73" t="s">
        <v>2130</v>
      </c>
      <c r="E762" s="74">
        <v>40772.421967592592</v>
      </c>
      <c r="F762" s="74"/>
      <c r="G762" s="75" t="str">
        <f>IF(stdProdLT(Main[[#This Row],[Comments]])=0.1,"N/A",IF(stdProdLT(Main[[#This Row],[Comments]])=0,"",stdProdLT(Main[[#This Row],[Comments]])))</f>
        <v/>
      </c>
      <c r="H762" s="76" t="str">
        <f>IF(AND(Main[[#This Row],[In Stock Date]]&lt;&gt;"",Main[[#This Row],[Revised Due Date]]&lt;&gt;""),Main[[#This Row],[In Stock Date]]-Main[[#This Row],[Revised Due Date]],"")</f>
        <v/>
      </c>
      <c r="I762" s="72" t="s">
        <v>923</v>
      </c>
      <c r="J762" s="72" t="s">
        <v>52</v>
      </c>
      <c r="K762" s="72" t="s">
        <v>4</v>
      </c>
      <c r="L762" s="74"/>
      <c r="M762" s="77" t="str">
        <f>IF(Main[[#This Row],[Tech Start Date]]&lt;1/1/1990,"",IF(Main[[#This Row],[Class]]="C",WORKDAY(Main[[#This Row],[Tech Start Date]],9),IF(Main[[#This Row],[Class]]="B", WORKDAY(Main[[#This Row],[Tech Start Date]],6),IF(Main[[#This Row],[Class]]="A",WORKDAY(Main[[#This Row],[Tech Start Date]],2),""))))</f>
        <v/>
      </c>
      <c r="N762" s="77" t="str">
        <f>IF(Main[[#This Row],[Tech Start Date]]&lt;1/1/1990,"",IF(Main[[#This Row],[Class]]="C",WORKDAY(Main[[#This Row],[Tech Start Date]],19),IF(Main[[#This Row],[Class]]="B", WORKDAY(Main[[#This Row],[Tech Start Date]],12),IF(Main[[#This Row],[Class]]="A",WORKDAY(Main[[#This Row],[Tech Start Date]],4),""))))</f>
        <v/>
      </c>
      <c r="O762" s="77" t="str">
        <f>IF(Main[[#This Row],[Tech Start Date]]&lt;1/1/1990,"",IF(Main[[#This Row],[Class]]="C",WORKDAY(Main[[#This Row],[Tech Start Date]],23),IF(Main[[#This Row],[Class]]="B", WORKDAY(Main[[#This Row],[Tech Start Date]],15),IF(Main[[#This Row],[Class]]="A",WORKDAY(Main[[#This Row],[Tech Start Date]],5),""))))</f>
        <v/>
      </c>
      <c r="P762" s="77" t="str">
        <f>IF(Main[[#This Row],[Tech Start Date]]&lt;1/1/1990,"",IF(Main[[#This Row],[Class]]="C",WORKDAY(Main[[#This Row],[Tech Start Date]],28),IF(Main[[#This Row],[Class]]="B", WORKDAY(Main[[#This Row],[Tech Start Date]],19),IF(Main[[#This Row],[Class]]="A",WORKDAY(Main[[#This Row],[Tech Start Date]],9),""))))</f>
        <v/>
      </c>
      <c r="Q762" s="74"/>
      <c r="R762" s="74"/>
      <c r="S762" s="72" t="s">
        <v>6</v>
      </c>
      <c r="T762" s="80" t="s">
        <v>4</v>
      </c>
      <c r="U762" s="72" t="s">
        <v>29</v>
      </c>
      <c r="V762" s="72" t="s">
        <v>1932</v>
      </c>
      <c r="W762" s="72" t="s">
        <v>1936</v>
      </c>
      <c r="X762" s="72" t="s">
        <v>949</v>
      </c>
      <c r="Y762" s="72" t="s">
        <v>3071</v>
      </c>
      <c r="Z762" s="72" t="s">
        <v>129</v>
      </c>
      <c r="AA762" s="147" t="s">
        <v>949</v>
      </c>
    </row>
    <row r="763" spans="1:27" ht="18.600000000000001" customHeight="1">
      <c r="A763" s="140" t="str">
        <f>IF(priority(Main[[#This Row],[Comments]])&lt;&gt;0, priority(Main[[#This Row],[Comments]]),"")</f>
        <v/>
      </c>
      <c r="B763" s="90" t="s">
        <v>1588</v>
      </c>
      <c r="C763" s="72" t="s">
        <v>4</v>
      </c>
      <c r="D763" s="73" t="s">
        <v>660</v>
      </c>
      <c r="E763" s="74">
        <v>40626.478437500002</v>
      </c>
      <c r="F763" s="74"/>
      <c r="G763" s="75" t="str">
        <f>IF(stdProdLT(Main[[#This Row],[Comments]])=0.1,"N/A",IF(stdProdLT(Main[[#This Row],[Comments]])=0,"",stdProdLT(Main[[#This Row],[Comments]])))</f>
        <v/>
      </c>
      <c r="H763" s="76" t="str">
        <f>IF(AND(Main[[#This Row],[In Stock Date]]&lt;&gt;"",Main[[#This Row],[Revised Due Date]]&lt;&gt;""),Main[[#This Row],[In Stock Date]]-Main[[#This Row],[Revised Due Date]],"")</f>
        <v/>
      </c>
      <c r="I763" s="72" t="s">
        <v>374</v>
      </c>
      <c r="J763" s="72" t="s">
        <v>28</v>
      </c>
      <c r="K763" s="72" t="s">
        <v>1941</v>
      </c>
      <c r="L763" s="74"/>
      <c r="M763" s="77" t="str">
        <f>IF(Main[[#This Row],[Tech Start Date]]&lt;1/1/1990,"",IF(Main[[#This Row],[Class]]="C",WORKDAY(Main[[#This Row],[Tech Start Date]],9),IF(Main[[#This Row],[Class]]="B", WORKDAY(Main[[#This Row],[Tech Start Date]],6),IF(Main[[#This Row],[Class]]="A",WORKDAY(Main[[#This Row],[Tech Start Date]],2),""))))</f>
        <v/>
      </c>
      <c r="N763" s="77" t="str">
        <f>IF(Main[[#This Row],[Tech Start Date]]&lt;1/1/1990,"",IF(Main[[#This Row],[Class]]="C",WORKDAY(Main[[#This Row],[Tech Start Date]],19),IF(Main[[#This Row],[Class]]="B", WORKDAY(Main[[#This Row],[Tech Start Date]],12),IF(Main[[#This Row],[Class]]="A",WORKDAY(Main[[#This Row],[Tech Start Date]],4),""))))</f>
        <v/>
      </c>
      <c r="O763" s="77" t="str">
        <f>IF(Main[[#This Row],[Tech Start Date]]&lt;1/1/1990,"",IF(Main[[#This Row],[Class]]="C",WORKDAY(Main[[#This Row],[Tech Start Date]],23),IF(Main[[#This Row],[Class]]="B", WORKDAY(Main[[#This Row],[Tech Start Date]],15),IF(Main[[#This Row],[Class]]="A",WORKDAY(Main[[#This Row],[Tech Start Date]],5),""))))</f>
        <v/>
      </c>
      <c r="P763" s="77" t="str">
        <f>IF(Main[[#This Row],[Tech Start Date]]&lt;1/1/1990,"",IF(Main[[#This Row],[Class]]="C",WORKDAY(Main[[#This Row],[Tech Start Date]],28),IF(Main[[#This Row],[Class]]="B", WORKDAY(Main[[#This Row],[Tech Start Date]],19),IF(Main[[#This Row],[Class]]="A",WORKDAY(Main[[#This Row],[Tech Start Date]],9),""))))</f>
        <v/>
      </c>
      <c r="Q763" s="74"/>
      <c r="R763" s="74"/>
      <c r="S763" s="72" t="s">
        <v>6</v>
      </c>
      <c r="T763" s="80" t="s">
        <v>4</v>
      </c>
      <c r="U763" s="72" t="s">
        <v>29</v>
      </c>
      <c r="V763" s="72" t="s">
        <v>1935</v>
      </c>
      <c r="W763" s="72" t="s">
        <v>1936</v>
      </c>
      <c r="X763" s="72" t="s">
        <v>74</v>
      </c>
      <c r="Y763" s="72" t="s">
        <v>3118</v>
      </c>
      <c r="Z763" s="72" t="s">
        <v>420</v>
      </c>
      <c r="AA763" s="147" t="s">
        <v>74</v>
      </c>
    </row>
    <row r="764" spans="1:27" ht="18.600000000000001" customHeight="1">
      <c r="A764" s="140" t="str">
        <f>IF(priority(Main[[#This Row],[Comments]])&lt;&gt;0, priority(Main[[#This Row],[Comments]]),"")</f>
        <v/>
      </c>
      <c r="B764" s="90" t="s">
        <v>2416</v>
      </c>
      <c r="C764" s="72" t="s">
        <v>47</v>
      </c>
      <c r="D764" s="73" t="s">
        <v>2417</v>
      </c>
      <c r="E764" s="74">
        <v>40847.703090277777</v>
      </c>
      <c r="F764" s="74"/>
      <c r="G764" s="75" t="str">
        <f>IF(stdProdLT(Main[[#This Row],[Comments]])=0.1,"N/A",IF(stdProdLT(Main[[#This Row],[Comments]])=0,"",stdProdLT(Main[[#This Row],[Comments]])))</f>
        <v/>
      </c>
      <c r="H764" s="76" t="str">
        <f>IF(AND(Main[[#This Row],[In Stock Date]]&lt;&gt;"",Main[[#This Row],[Revised Due Date]]&lt;&gt;""),Main[[#This Row],[In Stock Date]]-Main[[#This Row],[Revised Due Date]],"")</f>
        <v/>
      </c>
      <c r="I764" s="72" t="s">
        <v>69</v>
      </c>
      <c r="J764" s="72" t="s">
        <v>28</v>
      </c>
      <c r="K764" s="72" t="s">
        <v>1941</v>
      </c>
      <c r="L764" s="74"/>
      <c r="M764" s="77" t="str">
        <f>IF(Main[[#This Row],[Tech Start Date]]&lt;1/1/1990,"",IF(Main[[#This Row],[Class]]="C",WORKDAY(Main[[#This Row],[Tech Start Date]],9),IF(Main[[#This Row],[Class]]="B", WORKDAY(Main[[#This Row],[Tech Start Date]],6),IF(Main[[#This Row],[Class]]="A",WORKDAY(Main[[#This Row],[Tech Start Date]],2),""))))</f>
        <v/>
      </c>
      <c r="N764" s="77" t="str">
        <f>IF(Main[[#This Row],[Tech Start Date]]&lt;1/1/1990,"",IF(Main[[#This Row],[Class]]="C",WORKDAY(Main[[#This Row],[Tech Start Date]],19),IF(Main[[#This Row],[Class]]="B", WORKDAY(Main[[#This Row],[Tech Start Date]],12),IF(Main[[#This Row],[Class]]="A",WORKDAY(Main[[#This Row],[Tech Start Date]],4),""))))</f>
        <v/>
      </c>
      <c r="O764" s="77" t="str">
        <f>IF(Main[[#This Row],[Tech Start Date]]&lt;1/1/1990,"",IF(Main[[#This Row],[Class]]="C",WORKDAY(Main[[#This Row],[Tech Start Date]],23),IF(Main[[#This Row],[Class]]="B", WORKDAY(Main[[#This Row],[Tech Start Date]],15),IF(Main[[#This Row],[Class]]="A",WORKDAY(Main[[#This Row],[Tech Start Date]],5),""))))</f>
        <v/>
      </c>
      <c r="P764" s="77" t="str">
        <f>IF(Main[[#This Row],[Tech Start Date]]&lt;1/1/1990,"",IF(Main[[#This Row],[Class]]="C",WORKDAY(Main[[#This Row],[Tech Start Date]],28),IF(Main[[#This Row],[Class]]="B", WORKDAY(Main[[#This Row],[Tech Start Date]],19),IF(Main[[#This Row],[Class]]="A",WORKDAY(Main[[#This Row],[Tech Start Date]],9),""))))</f>
        <v/>
      </c>
      <c r="Q764" s="74">
        <v>40862</v>
      </c>
      <c r="R764" s="74"/>
      <c r="S764" s="72" t="s">
        <v>6</v>
      </c>
      <c r="T764" s="80" t="s">
        <v>4</v>
      </c>
      <c r="U764" s="72" t="s">
        <v>29</v>
      </c>
      <c r="V764" s="72" t="s">
        <v>1935</v>
      </c>
      <c r="W764" s="72" t="s">
        <v>1936</v>
      </c>
      <c r="X764" s="72" t="s">
        <v>2949</v>
      </c>
      <c r="Y764" s="72" t="s">
        <v>3097</v>
      </c>
      <c r="Z764" s="72" t="s">
        <v>30</v>
      </c>
      <c r="AA764" s="147" t="s">
        <v>2949</v>
      </c>
    </row>
    <row r="765" spans="1:27" ht="18.600000000000001" customHeight="1">
      <c r="A765" s="140" t="str">
        <f>IF(priority(Main[[#This Row],[Comments]])&lt;&gt;0, priority(Main[[#This Row],[Comments]]),"")</f>
        <v/>
      </c>
      <c r="B765" s="90" t="s">
        <v>1652</v>
      </c>
      <c r="C765" s="72" t="s">
        <v>4</v>
      </c>
      <c r="D765" s="73" t="s">
        <v>2139</v>
      </c>
      <c r="E765" s="74">
        <v>40696.439942129633</v>
      </c>
      <c r="F765" s="74"/>
      <c r="G765" s="75" t="str">
        <f>IF(stdProdLT(Main[[#This Row],[Comments]])=0.1,"N/A",IF(stdProdLT(Main[[#This Row],[Comments]])=0,"",stdProdLT(Main[[#This Row],[Comments]])))</f>
        <v/>
      </c>
      <c r="H765" s="76" t="str">
        <f>IF(AND(Main[[#This Row],[In Stock Date]]&lt;&gt;"",Main[[#This Row],[Revised Due Date]]&lt;&gt;""),Main[[#This Row],[In Stock Date]]-Main[[#This Row],[Revised Due Date]],"")</f>
        <v/>
      </c>
      <c r="I765" s="72" t="s">
        <v>953</v>
      </c>
      <c r="J765" s="72" t="s">
        <v>4</v>
      </c>
      <c r="K765" s="72" t="s">
        <v>4</v>
      </c>
      <c r="L765" s="74"/>
      <c r="M765" s="77" t="str">
        <f>IF(Main[[#This Row],[Tech Start Date]]&lt;1/1/1990,"",IF(Main[[#This Row],[Class]]="C",WORKDAY(Main[[#This Row],[Tech Start Date]],9),IF(Main[[#This Row],[Class]]="B", WORKDAY(Main[[#This Row],[Tech Start Date]],6),IF(Main[[#This Row],[Class]]="A",WORKDAY(Main[[#This Row],[Tech Start Date]],2),""))))</f>
        <v/>
      </c>
      <c r="N765" s="77" t="str">
        <f>IF(Main[[#This Row],[Tech Start Date]]&lt;1/1/1990,"",IF(Main[[#This Row],[Class]]="C",WORKDAY(Main[[#This Row],[Tech Start Date]],19),IF(Main[[#This Row],[Class]]="B", WORKDAY(Main[[#This Row],[Tech Start Date]],12),IF(Main[[#This Row],[Class]]="A",WORKDAY(Main[[#This Row],[Tech Start Date]],4),""))))</f>
        <v/>
      </c>
      <c r="O765" s="77" t="str">
        <f>IF(Main[[#This Row],[Tech Start Date]]&lt;1/1/1990,"",IF(Main[[#This Row],[Class]]="C",WORKDAY(Main[[#This Row],[Tech Start Date]],23),IF(Main[[#This Row],[Class]]="B", WORKDAY(Main[[#This Row],[Tech Start Date]],15),IF(Main[[#This Row],[Class]]="A",WORKDAY(Main[[#This Row],[Tech Start Date]],5),""))))</f>
        <v/>
      </c>
      <c r="P765" s="77" t="str">
        <f>IF(Main[[#This Row],[Tech Start Date]]&lt;1/1/1990,"",IF(Main[[#This Row],[Class]]="C",WORKDAY(Main[[#This Row],[Tech Start Date]],28),IF(Main[[#This Row],[Class]]="B", WORKDAY(Main[[#This Row],[Tech Start Date]],19),IF(Main[[#This Row],[Class]]="A",WORKDAY(Main[[#This Row],[Tech Start Date]],9),""))))</f>
        <v/>
      </c>
      <c r="Q765" s="74"/>
      <c r="R765" s="74">
        <v>40815</v>
      </c>
      <c r="S765" s="72" t="s">
        <v>6</v>
      </c>
      <c r="T765" s="80" t="s">
        <v>4</v>
      </c>
      <c r="U765" s="72" t="s">
        <v>29</v>
      </c>
      <c r="V765" s="72" t="s">
        <v>1933</v>
      </c>
      <c r="W765" s="72" t="s">
        <v>1940</v>
      </c>
      <c r="X765" s="72" t="s">
        <v>953</v>
      </c>
      <c r="Y765" s="72" t="s">
        <v>3082</v>
      </c>
      <c r="Z765" s="72" t="s">
        <v>2075</v>
      </c>
      <c r="AA765" s="147" t="s">
        <v>953</v>
      </c>
    </row>
    <row r="766" spans="1:27" ht="18.600000000000001" customHeight="1">
      <c r="A766" s="140" t="str">
        <f>IF(priority(Main[[#This Row],[Comments]])&lt;&gt;0, priority(Main[[#This Row],[Comments]]),"")</f>
        <v/>
      </c>
      <c r="B766" s="90" t="s">
        <v>1440</v>
      </c>
      <c r="C766" s="72" t="s">
        <v>4</v>
      </c>
      <c r="D766" s="73" t="s">
        <v>2418</v>
      </c>
      <c r="E766" s="74">
        <v>40561.285520833335</v>
      </c>
      <c r="F766" s="74"/>
      <c r="G766" s="75" t="str">
        <f>IF(stdProdLT(Main[[#This Row],[Comments]])=0.1,"N/A",IF(stdProdLT(Main[[#This Row],[Comments]])=0,"",stdProdLT(Main[[#This Row],[Comments]])))</f>
        <v/>
      </c>
      <c r="H766" s="76" t="str">
        <f>IF(AND(Main[[#This Row],[In Stock Date]]&lt;&gt;"",Main[[#This Row],[Revised Due Date]]&lt;&gt;""),Main[[#This Row],[In Stock Date]]-Main[[#This Row],[Revised Due Date]],"")</f>
        <v/>
      </c>
      <c r="I766" s="72" t="s">
        <v>923</v>
      </c>
      <c r="J766" s="72" t="s">
        <v>52</v>
      </c>
      <c r="K766" s="72" t="s">
        <v>1939</v>
      </c>
      <c r="L766" s="74"/>
      <c r="M766" s="77" t="str">
        <f>IF(Main[[#This Row],[Tech Start Date]]&lt;1/1/1990,"",IF(Main[[#This Row],[Class]]="C",WORKDAY(Main[[#This Row],[Tech Start Date]],9),IF(Main[[#This Row],[Class]]="B", WORKDAY(Main[[#This Row],[Tech Start Date]],6),IF(Main[[#This Row],[Class]]="A",WORKDAY(Main[[#This Row],[Tech Start Date]],2),""))))</f>
        <v/>
      </c>
      <c r="N766" s="77" t="str">
        <f>IF(Main[[#This Row],[Tech Start Date]]&lt;1/1/1990,"",IF(Main[[#This Row],[Class]]="C",WORKDAY(Main[[#This Row],[Tech Start Date]],19),IF(Main[[#This Row],[Class]]="B", WORKDAY(Main[[#This Row],[Tech Start Date]],12),IF(Main[[#This Row],[Class]]="A",WORKDAY(Main[[#This Row],[Tech Start Date]],4),""))))</f>
        <v/>
      </c>
      <c r="O766" s="77" t="str">
        <f>IF(Main[[#This Row],[Tech Start Date]]&lt;1/1/1990,"",IF(Main[[#This Row],[Class]]="C",WORKDAY(Main[[#This Row],[Tech Start Date]],23),IF(Main[[#This Row],[Class]]="B", WORKDAY(Main[[#This Row],[Tech Start Date]],15),IF(Main[[#This Row],[Class]]="A",WORKDAY(Main[[#This Row],[Tech Start Date]],5),""))))</f>
        <v/>
      </c>
      <c r="P766" s="77" t="str">
        <f>IF(Main[[#This Row],[Tech Start Date]]&lt;1/1/1990,"",IF(Main[[#This Row],[Class]]="C",WORKDAY(Main[[#This Row],[Tech Start Date]],28),IF(Main[[#This Row],[Class]]="B", WORKDAY(Main[[#This Row],[Tech Start Date]],19),IF(Main[[#This Row],[Class]]="A",WORKDAY(Main[[#This Row],[Tech Start Date]],9),""))))</f>
        <v/>
      </c>
      <c r="Q766" s="74">
        <v>40595</v>
      </c>
      <c r="R766" s="74"/>
      <c r="S766" s="72" t="s">
        <v>6</v>
      </c>
      <c r="T766" s="80" t="s">
        <v>4</v>
      </c>
      <c r="U766" s="72" t="s">
        <v>29</v>
      </c>
      <c r="V766" s="72" t="s">
        <v>1932</v>
      </c>
      <c r="W766" s="72" t="s">
        <v>1934</v>
      </c>
      <c r="X766" s="72" t="s">
        <v>2906</v>
      </c>
      <c r="Y766" s="72" t="s">
        <v>3025</v>
      </c>
      <c r="Z766" s="72" t="s">
        <v>129</v>
      </c>
      <c r="AA766" s="147" t="s">
        <v>2906</v>
      </c>
    </row>
    <row r="767" spans="1:27" ht="18.600000000000001" customHeight="1">
      <c r="A767" s="140" t="str">
        <f>IF(priority(Main[[#This Row],[Comments]])&lt;&gt;0, priority(Main[[#This Row],[Comments]]),"")</f>
        <v/>
      </c>
      <c r="B767" s="90" t="s">
        <v>1591</v>
      </c>
      <c r="C767" s="72" t="s">
        <v>4</v>
      </c>
      <c r="D767" s="73" t="s">
        <v>662</v>
      </c>
      <c r="E767" s="74"/>
      <c r="F767" s="74"/>
      <c r="G767" s="75" t="str">
        <f>IF(stdProdLT(Main[[#This Row],[Comments]])=0.1,"N/A",IF(stdProdLT(Main[[#This Row],[Comments]])=0,"",stdProdLT(Main[[#This Row],[Comments]])))</f>
        <v/>
      </c>
      <c r="H767" s="76" t="str">
        <f>IF(AND(Main[[#This Row],[In Stock Date]]&lt;&gt;"",Main[[#This Row],[Revised Due Date]]&lt;&gt;""),Main[[#This Row],[In Stock Date]]-Main[[#This Row],[Revised Due Date]],"")</f>
        <v/>
      </c>
      <c r="I767" s="72" t="s">
        <v>4</v>
      </c>
      <c r="J767" s="72" t="s">
        <v>4</v>
      </c>
      <c r="K767" s="72" t="s">
        <v>4</v>
      </c>
      <c r="L767" s="74"/>
      <c r="M767" s="77" t="str">
        <f>IF(Main[[#This Row],[Tech Start Date]]&lt;1/1/1990,"",IF(Main[[#This Row],[Class]]="C",WORKDAY(Main[[#This Row],[Tech Start Date]],9),IF(Main[[#This Row],[Class]]="B", WORKDAY(Main[[#This Row],[Tech Start Date]],6),IF(Main[[#This Row],[Class]]="A",WORKDAY(Main[[#This Row],[Tech Start Date]],2),""))))</f>
        <v/>
      </c>
      <c r="N767" s="77" t="str">
        <f>IF(Main[[#This Row],[Tech Start Date]]&lt;1/1/1990,"",IF(Main[[#This Row],[Class]]="C",WORKDAY(Main[[#This Row],[Tech Start Date]],19),IF(Main[[#This Row],[Class]]="B", WORKDAY(Main[[#This Row],[Tech Start Date]],12),IF(Main[[#This Row],[Class]]="A",WORKDAY(Main[[#This Row],[Tech Start Date]],4),""))))</f>
        <v/>
      </c>
      <c r="O767" s="77" t="str">
        <f>IF(Main[[#This Row],[Tech Start Date]]&lt;1/1/1990,"",IF(Main[[#This Row],[Class]]="C",WORKDAY(Main[[#This Row],[Tech Start Date]],23),IF(Main[[#This Row],[Class]]="B", WORKDAY(Main[[#This Row],[Tech Start Date]],15),IF(Main[[#This Row],[Class]]="A",WORKDAY(Main[[#This Row],[Tech Start Date]],5),""))))</f>
        <v/>
      </c>
      <c r="P767" s="77" t="str">
        <f>IF(Main[[#This Row],[Tech Start Date]]&lt;1/1/1990,"",IF(Main[[#This Row],[Class]]="C",WORKDAY(Main[[#This Row],[Tech Start Date]],28),IF(Main[[#This Row],[Class]]="B", WORKDAY(Main[[#This Row],[Tech Start Date]],19),IF(Main[[#This Row],[Class]]="A",WORKDAY(Main[[#This Row],[Tech Start Date]],9),""))))</f>
        <v/>
      </c>
      <c r="Q767" s="74"/>
      <c r="R767" s="74"/>
      <c r="S767" s="72" t="s">
        <v>6</v>
      </c>
      <c r="T767" s="80" t="s">
        <v>4</v>
      </c>
      <c r="U767" s="72" t="s">
        <v>12</v>
      </c>
      <c r="V767" s="72" t="s">
        <v>1932</v>
      </c>
      <c r="W767" s="72" t="s">
        <v>4</v>
      </c>
      <c r="X767" s="72" t="s">
        <v>718</v>
      </c>
      <c r="Y767" s="72" t="s">
        <v>3157</v>
      </c>
      <c r="Z767" s="72" t="s">
        <v>4</v>
      </c>
      <c r="AA767" s="147" t="s">
        <v>718</v>
      </c>
    </row>
    <row r="768" spans="1:27" ht="18.600000000000001" customHeight="1">
      <c r="A768" s="140" t="str">
        <f>IF(priority(Main[[#This Row],[Comments]])&lt;&gt;0, priority(Main[[#This Row],[Comments]]),"")</f>
        <v/>
      </c>
      <c r="B768" s="90" t="s">
        <v>1592</v>
      </c>
      <c r="C768" s="72" t="s">
        <v>4</v>
      </c>
      <c r="D768" s="73" t="s">
        <v>663</v>
      </c>
      <c r="E768" s="74"/>
      <c r="F768" s="74"/>
      <c r="G768" s="75" t="str">
        <f>IF(stdProdLT(Main[[#This Row],[Comments]])=0.1,"N/A",IF(stdProdLT(Main[[#This Row],[Comments]])=0,"",stdProdLT(Main[[#This Row],[Comments]])))</f>
        <v/>
      </c>
      <c r="H768" s="76" t="str">
        <f>IF(AND(Main[[#This Row],[In Stock Date]]&lt;&gt;"",Main[[#This Row],[Revised Due Date]]&lt;&gt;""),Main[[#This Row],[In Stock Date]]-Main[[#This Row],[Revised Due Date]],"")</f>
        <v/>
      </c>
      <c r="I768" s="72" t="s">
        <v>4</v>
      </c>
      <c r="J768" s="72" t="s">
        <v>4</v>
      </c>
      <c r="K768" s="81" t="s">
        <v>4</v>
      </c>
      <c r="L768" s="74"/>
      <c r="M768" s="77" t="str">
        <f>IF(Main[[#This Row],[Tech Start Date]]&lt;1/1/1990,"",IF(Main[[#This Row],[Class]]="C",WORKDAY(Main[[#This Row],[Tech Start Date]],9),IF(Main[[#This Row],[Class]]="B", WORKDAY(Main[[#This Row],[Tech Start Date]],6),IF(Main[[#This Row],[Class]]="A",WORKDAY(Main[[#This Row],[Tech Start Date]],2),""))))</f>
        <v/>
      </c>
      <c r="N768" s="77" t="str">
        <f>IF(Main[[#This Row],[Tech Start Date]]&lt;1/1/1990,"",IF(Main[[#This Row],[Class]]="C",WORKDAY(Main[[#This Row],[Tech Start Date]],19),IF(Main[[#This Row],[Class]]="B", WORKDAY(Main[[#This Row],[Tech Start Date]],12),IF(Main[[#This Row],[Class]]="A",WORKDAY(Main[[#This Row],[Tech Start Date]],4),""))))</f>
        <v/>
      </c>
      <c r="O768" s="77" t="str">
        <f>IF(Main[[#This Row],[Tech Start Date]]&lt;1/1/1990,"",IF(Main[[#This Row],[Class]]="C",WORKDAY(Main[[#This Row],[Tech Start Date]],23),IF(Main[[#This Row],[Class]]="B", WORKDAY(Main[[#This Row],[Tech Start Date]],15),IF(Main[[#This Row],[Class]]="A",WORKDAY(Main[[#This Row],[Tech Start Date]],5),""))))</f>
        <v/>
      </c>
      <c r="P768" s="77" t="str">
        <f>IF(Main[[#This Row],[Tech Start Date]]&lt;1/1/1990,"",IF(Main[[#This Row],[Class]]="C",WORKDAY(Main[[#This Row],[Tech Start Date]],28),IF(Main[[#This Row],[Class]]="B", WORKDAY(Main[[#This Row],[Tech Start Date]],19),IF(Main[[#This Row],[Class]]="A",WORKDAY(Main[[#This Row],[Tech Start Date]],9),""))))</f>
        <v/>
      </c>
      <c r="Q768" s="74"/>
      <c r="R768" s="74"/>
      <c r="S768" s="72" t="s">
        <v>6</v>
      </c>
      <c r="T768" s="80" t="s">
        <v>4</v>
      </c>
      <c r="U768" s="72" t="s">
        <v>14</v>
      </c>
      <c r="V768" s="72" t="s">
        <v>1932</v>
      </c>
      <c r="W768" s="72" t="s">
        <v>1940</v>
      </c>
      <c r="X768" s="72" t="s">
        <v>718</v>
      </c>
      <c r="Y768" s="72" t="s">
        <v>3171</v>
      </c>
      <c r="Z768" s="72" t="s">
        <v>4</v>
      </c>
      <c r="AA768" s="147" t="s">
        <v>3613</v>
      </c>
    </row>
    <row r="769" spans="1:27" ht="18.600000000000001" customHeight="1">
      <c r="A769" s="140" t="str">
        <f>IF(priority(Main[[#This Row],[Comments]])&lt;&gt;0, priority(Main[[#This Row],[Comments]]),"")</f>
        <v/>
      </c>
      <c r="B769" s="90" t="s">
        <v>1593</v>
      </c>
      <c r="C769" s="72" t="s">
        <v>4</v>
      </c>
      <c r="D769" s="73" t="s">
        <v>664</v>
      </c>
      <c r="E769" s="74"/>
      <c r="F769" s="74"/>
      <c r="G769" s="75" t="str">
        <f>IF(stdProdLT(Main[[#This Row],[Comments]])=0.1,"N/A",IF(stdProdLT(Main[[#This Row],[Comments]])=0,"",stdProdLT(Main[[#This Row],[Comments]])))</f>
        <v/>
      </c>
      <c r="H769" s="76" t="str">
        <f>IF(AND(Main[[#This Row],[In Stock Date]]&lt;&gt;"",Main[[#This Row],[Revised Due Date]]&lt;&gt;""),Main[[#This Row],[In Stock Date]]-Main[[#This Row],[Revised Due Date]],"")</f>
        <v/>
      </c>
      <c r="I769" s="72" t="s">
        <v>4</v>
      </c>
      <c r="J769" s="72" t="s">
        <v>4</v>
      </c>
      <c r="K769" s="72" t="s">
        <v>4</v>
      </c>
      <c r="L769" s="74"/>
      <c r="M769" s="77" t="str">
        <f>IF(Main[[#This Row],[Tech Start Date]]&lt;1/1/1990,"",IF(Main[[#This Row],[Class]]="C",WORKDAY(Main[[#This Row],[Tech Start Date]],9),IF(Main[[#This Row],[Class]]="B", WORKDAY(Main[[#This Row],[Tech Start Date]],6),IF(Main[[#This Row],[Class]]="A",WORKDAY(Main[[#This Row],[Tech Start Date]],2),""))))</f>
        <v/>
      </c>
      <c r="N769" s="77" t="str">
        <f>IF(Main[[#This Row],[Tech Start Date]]&lt;1/1/1990,"",IF(Main[[#This Row],[Class]]="C",WORKDAY(Main[[#This Row],[Tech Start Date]],19),IF(Main[[#This Row],[Class]]="B", WORKDAY(Main[[#This Row],[Tech Start Date]],12),IF(Main[[#This Row],[Class]]="A",WORKDAY(Main[[#This Row],[Tech Start Date]],4),""))))</f>
        <v/>
      </c>
      <c r="O769" s="77" t="str">
        <f>IF(Main[[#This Row],[Tech Start Date]]&lt;1/1/1990,"",IF(Main[[#This Row],[Class]]="C",WORKDAY(Main[[#This Row],[Tech Start Date]],23),IF(Main[[#This Row],[Class]]="B", WORKDAY(Main[[#This Row],[Tech Start Date]],15),IF(Main[[#This Row],[Class]]="A",WORKDAY(Main[[#This Row],[Tech Start Date]],5),""))))</f>
        <v/>
      </c>
      <c r="P769" s="77" t="str">
        <f>IF(Main[[#This Row],[Tech Start Date]]&lt;1/1/1990,"",IF(Main[[#This Row],[Class]]="C",WORKDAY(Main[[#This Row],[Tech Start Date]],28),IF(Main[[#This Row],[Class]]="B", WORKDAY(Main[[#This Row],[Tech Start Date]],19),IF(Main[[#This Row],[Class]]="A",WORKDAY(Main[[#This Row],[Tech Start Date]],9),""))))</f>
        <v/>
      </c>
      <c r="Q769" s="74"/>
      <c r="R769" s="74"/>
      <c r="S769" s="72" t="s">
        <v>11</v>
      </c>
      <c r="T769" s="80" t="s">
        <v>4</v>
      </c>
      <c r="U769" s="72" t="s">
        <v>12</v>
      </c>
      <c r="V769" s="72" t="s">
        <v>1932</v>
      </c>
      <c r="W769" s="72" t="s">
        <v>1936</v>
      </c>
      <c r="X769" s="72" t="s">
        <v>933</v>
      </c>
      <c r="Y769" s="72" t="s">
        <v>3079</v>
      </c>
      <c r="Z769" s="72" t="s">
        <v>4</v>
      </c>
      <c r="AA769" s="147" t="s">
        <v>3614</v>
      </c>
    </row>
    <row r="770" spans="1:27" ht="18.600000000000001" customHeight="1">
      <c r="A770" s="140" t="str">
        <f>IF(priority(Main[[#This Row],[Comments]])&lt;&gt;0, priority(Main[[#This Row],[Comments]]),"")</f>
        <v/>
      </c>
      <c r="B770" s="90" t="s">
        <v>1594</v>
      </c>
      <c r="C770" s="72" t="s">
        <v>4</v>
      </c>
      <c r="D770" s="73" t="s">
        <v>97</v>
      </c>
      <c r="E770" s="74"/>
      <c r="F770" s="74"/>
      <c r="G770" s="75" t="str">
        <f>IF(stdProdLT(Main[[#This Row],[Comments]])=0.1,"N/A",IF(stdProdLT(Main[[#This Row],[Comments]])=0,"",stdProdLT(Main[[#This Row],[Comments]])))</f>
        <v/>
      </c>
      <c r="H770" s="76" t="str">
        <f>IF(AND(Main[[#This Row],[In Stock Date]]&lt;&gt;"",Main[[#This Row],[Revised Due Date]]&lt;&gt;""),Main[[#This Row],[In Stock Date]]-Main[[#This Row],[Revised Due Date]],"")</f>
        <v/>
      </c>
      <c r="I770" s="72" t="s">
        <v>4</v>
      </c>
      <c r="J770" s="72" t="s">
        <v>4</v>
      </c>
      <c r="K770" s="72" t="s">
        <v>4</v>
      </c>
      <c r="L770" s="74"/>
      <c r="M770" s="77" t="str">
        <f>IF(Main[[#This Row],[Tech Start Date]]&lt;1/1/1990,"",IF(Main[[#This Row],[Class]]="C",WORKDAY(Main[[#This Row],[Tech Start Date]],9),IF(Main[[#This Row],[Class]]="B", WORKDAY(Main[[#This Row],[Tech Start Date]],6),IF(Main[[#This Row],[Class]]="A",WORKDAY(Main[[#This Row],[Tech Start Date]],2),""))))</f>
        <v/>
      </c>
      <c r="N770" s="77" t="str">
        <f>IF(Main[[#This Row],[Tech Start Date]]&lt;1/1/1990,"",IF(Main[[#This Row],[Class]]="C",WORKDAY(Main[[#This Row],[Tech Start Date]],19),IF(Main[[#This Row],[Class]]="B", WORKDAY(Main[[#This Row],[Tech Start Date]],12),IF(Main[[#This Row],[Class]]="A",WORKDAY(Main[[#This Row],[Tech Start Date]],4),""))))</f>
        <v/>
      </c>
      <c r="O770" s="77" t="str">
        <f>IF(Main[[#This Row],[Tech Start Date]]&lt;1/1/1990,"",IF(Main[[#This Row],[Class]]="C",WORKDAY(Main[[#This Row],[Tech Start Date]],23),IF(Main[[#This Row],[Class]]="B", WORKDAY(Main[[#This Row],[Tech Start Date]],15),IF(Main[[#This Row],[Class]]="A",WORKDAY(Main[[#This Row],[Tech Start Date]],5),""))))</f>
        <v/>
      </c>
      <c r="P770" s="77" t="str">
        <f>IF(Main[[#This Row],[Tech Start Date]]&lt;1/1/1990,"",IF(Main[[#This Row],[Class]]="C",WORKDAY(Main[[#This Row],[Tech Start Date]],28),IF(Main[[#This Row],[Class]]="B", WORKDAY(Main[[#This Row],[Tech Start Date]],19),IF(Main[[#This Row],[Class]]="A",WORKDAY(Main[[#This Row],[Tech Start Date]],9),""))))</f>
        <v/>
      </c>
      <c r="Q770" s="74">
        <v>40858</v>
      </c>
      <c r="R770" s="74"/>
      <c r="S770" s="72" t="s">
        <v>17</v>
      </c>
      <c r="T770" s="80" t="s">
        <v>4</v>
      </c>
      <c r="U770" s="72" t="s">
        <v>14</v>
      </c>
      <c r="V770" s="72" t="s">
        <v>1932</v>
      </c>
      <c r="W770" s="72" t="s">
        <v>1937</v>
      </c>
      <c r="X770" s="72" t="s">
        <v>50</v>
      </c>
      <c r="Y770" s="72" t="s">
        <v>3046</v>
      </c>
      <c r="Z770" s="72" t="s">
        <v>4</v>
      </c>
      <c r="AA770" s="147" t="s">
        <v>2912</v>
      </c>
    </row>
    <row r="771" spans="1:27" ht="18.600000000000001" customHeight="1">
      <c r="A771" s="140" t="str">
        <f>IF(priority(Main[[#This Row],[Comments]])&lt;&gt;0, priority(Main[[#This Row],[Comments]]),"")</f>
        <v/>
      </c>
      <c r="B771" s="90" t="s">
        <v>1868</v>
      </c>
      <c r="C771" s="72" t="s">
        <v>67</v>
      </c>
      <c r="D771" s="73" t="s">
        <v>917</v>
      </c>
      <c r="E771" s="74">
        <v>39981.49428240741</v>
      </c>
      <c r="F771" s="74"/>
      <c r="G771" s="75" t="str">
        <f>IF(stdProdLT(Main[[#This Row],[Comments]])=0.1,"N/A",IF(stdProdLT(Main[[#This Row],[Comments]])=0,"",stdProdLT(Main[[#This Row],[Comments]])))</f>
        <v/>
      </c>
      <c r="H771" s="76" t="str">
        <f>IF(AND(Main[[#This Row],[In Stock Date]]&lt;&gt;"",Main[[#This Row],[Revised Due Date]]&lt;&gt;""),Main[[#This Row],[In Stock Date]]-Main[[#This Row],[Revised Due Date]],"")</f>
        <v/>
      </c>
      <c r="I771" s="72" t="s">
        <v>986</v>
      </c>
      <c r="J771" s="72" t="s">
        <v>4</v>
      </c>
      <c r="K771" s="81" t="s">
        <v>1944</v>
      </c>
      <c r="L771" s="74"/>
      <c r="M771" s="77" t="str">
        <f>IF(Main[[#This Row],[Tech Start Date]]&lt;1/1/1990,"",IF(Main[[#This Row],[Class]]="C",WORKDAY(Main[[#This Row],[Tech Start Date]],9),IF(Main[[#This Row],[Class]]="B", WORKDAY(Main[[#This Row],[Tech Start Date]],6),IF(Main[[#This Row],[Class]]="A",WORKDAY(Main[[#This Row],[Tech Start Date]],2),""))))</f>
        <v/>
      </c>
      <c r="N771" s="77" t="str">
        <f>IF(Main[[#This Row],[Tech Start Date]]&lt;1/1/1990,"",IF(Main[[#This Row],[Class]]="C",WORKDAY(Main[[#This Row],[Tech Start Date]],19),IF(Main[[#This Row],[Class]]="B", WORKDAY(Main[[#This Row],[Tech Start Date]],12),IF(Main[[#This Row],[Class]]="A",WORKDAY(Main[[#This Row],[Tech Start Date]],4),""))))</f>
        <v/>
      </c>
      <c r="O771" s="77" t="str">
        <f>IF(Main[[#This Row],[Tech Start Date]]&lt;1/1/1990,"",IF(Main[[#This Row],[Class]]="C",WORKDAY(Main[[#This Row],[Tech Start Date]],23),IF(Main[[#This Row],[Class]]="B", WORKDAY(Main[[#This Row],[Tech Start Date]],15),IF(Main[[#This Row],[Class]]="A",WORKDAY(Main[[#This Row],[Tech Start Date]],5),""))))</f>
        <v/>
      </c>
      <c r="P771" s="77" t="str">
        <f>IF(Main[[#This Row],[Tech Start Date]]&lt;1/1/1990,"",IF(Main[[#This Row],[Class]]="C",WORKDAY(Main[[#This Row],[Tech Start Date]],28),IF(Main[[#This Row],[Class]]="B", WORKDAY(Main[[#This Row],[Tech Start Date]],19),IF(Main[[#This Row],[Class]]="A",WORKDAY(Main[[#This Row],[Tech Start Date]],9),""))))</f>
        <v/>
      </c>
      <c r="Q771" s="74">
        <v>40057</v>
      </c>
      <c r="R771" s="74">
        <v>40908</v>
      </c>
      <c r="S771" s="72" t="s">
        <v>17</v>
      </c>
      <c r="T771" s="80" t="s">
        <v>4</v>
      </c>
      <c r="U771" s="72" t="s">
        <v>29</v>
      </c>
      <c r="V771" s="72" t="s">
        <v>1935</v>
      </c>
      <c r="W771" s="72" t="s">
        <v>1937</v>
      </c>
      <c r="X771" s="72" t="s">
        <v>2904</v>
      </c>
      <c r="Y771" s="72" t="s">
        <v>3115</v>
      </c>
      <c r="Z771" s="72" t="s">
        <v>420</v>
      </c>
      <c r="AA771" s="147" t="s">
        <v>2942</v>
      </c>
    </row>
    <row r="772" spans="1:27" ht="18.600000000000001" customHeight="1">
      <c r="A772" s="140" t="str">
        <f>IF(priority(Main[[#This Row],[Comments]])&lt;&gt;0, priority(Main[[#This Row],[Comments]]),"")</f>
        <v/>
      </c>
      <c r="B772" s="90" t="s">
        <v>1850</v>
      </c>
      <c r="C772" s="72" t="s">
        <v>4</v>
      </c>
      <c r="D772" s="73" t="s">
        <v>896</v>
      </c>
      <c r="E772" s="74">
        <v>40045.443194444444</v>
      </c>
      <c r="F772" s="74"/>
      <c r="G772" s="75" t="str">
        <f>IF(stdProdLT(Main[[#This Row],[Comments]])=0.1,"N/A",IF(stdProdLT(Main[[#This Row],[Comments]])=0,"",stdProdLT(Main[[#This Row],[Comments]])))</f>
        <v/>
      </c>
      <c r="H772" s="76" t="str">
        <f>IF(AND(Main[[#This Row],[In Stock Date]]&lt;&gt;"",Main[[#This Row],[Revised Due Date]]&lt;&gt;""),Main[[#This Row],[In Stock Date]]-Main[[#This Row],[Revised Due Date]],"")</f>
        <v/>
      </c>
      <c r="I772" s="72" t="s">
        <v>897</v>
      </c>
      <c r="J772" s="72" t="s">
        <v>4</v>
      </c>
      <c r="K772" s="72" t="s">
        <v>1944</v>
      </c>
      <c r="L772" s="74"/>
      <c r="M772" s="77" t="str">
        <f>IF(Main[[#This Row],[Tech Start Date]]&lt;1/1/1990,"",IF(Main[[#This Row],[Class]]="C",WORKDAY(Main[[#This Row],[Tech Start Date]],9),IF(Main[[#This Row],[Class]]="B", WORKDAY(Main[[#This Row],[Tech Start Date]],6),IF(Main[[#This Row],[Class]]="A",WORKDAY(Main[[#This Row],[Tech Start Date]],2),""))))</f>
        <v/>
      </c>
      <c r="N772" s="77" t="str">
        <f>IF(Main[[#This Row],[Tech Start Date]]&lt;1/1/1990,"",IF(Main[[#This Row],[Class]]="C",WORKDAY(Main[[#This Row],[Tech Start Date]],19),IF(Main[[#This Row],[Class]]="B", WORKDAY(Main[[#This Row],[Tech Start Date]],12),IF(Main[[#This Row],[Class]]="A",WORKDAY(Main[[#This Row],[Tech Start Date]],4),""))))</f>
        <v/>
      </c>
      <c r="O772" s="77" t="str">
        <f>IF(Main[[#This Row],[Tech Start Date]]&lt;1/1/1990,"",IF(Main[[#This Row],[Class]]="C",WORKDAY(Main[[#This Row],[Tech Start Date]],23),IF(Main[[#This Row],[Class]]="B", WORKDAY(Main[[#This Row],[Tech Start Date]],15),IF(Main[[#This Row],[Class]]="A",WORKDAY(Main[[#This Row],[Tech Start Date]],5),""))))</f>
        <v/>
      </c>
      <c r="P772" s="77" t="str">
        <f>IF(Main[[#This Row],[Tech Start Date]]&lt;1/1/1990,"",IF(Main[[#This Row],[Class]]="C",WORKDAY(Main[[#This Row],[Tech Start Date]],28),IF(Main[[#This Row],[Class]]="B", WORKDAY(Main[[#This Row],[Tech Start Date]],19),IF(Main[[#This Row],[Class]]="A",WORKDAY(Main[[#This Row],[Tech Start Date]],9),""))))</f>
        <v/>
      </c>
      <c r="Q772" s="74">
        <v>40359</v>
      </c>
      <c r="R772" s="74">
        <v>40420</v>
      </c>
      <c r="S772" s="72" t="s">
        <v>6</v>
      </c>
      <c r="T772" s="80" t="s">
        <v>4</v>
      </c>
      <c r="U772" s="72" t="s">
        <v>29</v>
      </c>
      <c r="V772" s="72" t="s">
        <v>1932</v>
      </c>
      <c r="W772" s="72" t="s">
        <v>1936</v>
      </c>
      <c r="X772" s="72" t="s">
        <v>981</v>
      </c>
      <c r="Y772" s="72" t="s">
        <v>3172</v>
      </c>
      <c r="Z772" s="72" t="s">
        <v>4</v>
      </c>
      <c r="AA772" s="147" t="s">
        <v>981</v>
      </c>
    </row>
    <row r="773" spans="1:27" ht="18.600000000000001" customHeight="1">
      <c r="A773" s="140" t="str">
        <f>IF(priority(Main[[#This Row],[Comments]])&lt;&gt;0, priority(Main[[#This Row],[Comments]]),"")</f>
        <v/>
      </c>
      <c r="B773" s="90" t="s">
        <v>1596</v>
      </c>
      <c r="C773" s="72" t="s">
        <v>47</v>
      </c>
      <c r="D773" s="73" t="s">
        <v>667</v>
      </c>
      <c r="E773" s="74"/>
      <c r="F773" s="74"/>
      <c r="G773" s="75" t="str">
        <f>IF(stdProdLT(Main[[#This Row],[Comments]])=0.1,"N/A",IF(stdProdLT(Main[[#This Row],[Comments]])=0,"",stdProdLT(Main[[#This Row],[Comments]])))</f>
        <v/>
      </c>
      <c r="H773" s="76" t="str">
        <f>IF(AND(Main[[#This Row],[In Stock Date]]&lt;&gt;"",Main[[#This Row],[Revised Due Date]]&lt;&gt;""),Main[[#This Row],[In Stock Date]]-Main[[#This Row],[Revised Due Date]],"")</f>
        <v/>
      </c>
      <c r="I773" s="72" t="s">
        <v>4</v>
      </c>
      <c r="J773" s="72" t="s">
        <v>4</v>
      </c>
      <c r="K773" s="72" t="s">
        <v>4</v>
      </c>
      <c r="L773" s="74"/>
      <c r="M773" s="77" t="str">
        <f>IF(Main[[#This Row],[Tech Start Date]]&lt;1/1/1990,"",IF(Main[[#This Row],[Class]]="C",WORKDAY(Main[[#This Row],[Tech Start Date]],9),IF(Main[[#This Row],[Class]]="B", WORKDAY(Main[[#This Row],[Tech Start Date]],6),IF(Main[[#This Row],[Class]]="A",WORKDAY(Main[[#This Row],[Tech Start Date]],2),""))))</f>
        <v/>
      </c>
      <c r="N773" s="77" t="str">
        <f>IF(Main[[#This Row],[Tech Start Date]]&lt;1/1/1990,"",IF(Main[[#This Row],[Class]]="C",WORKDAY(Main[[#This Row],[Tech Start Date]],19),IF(Main[[#This Row],[Class]]="B", WORKDAY(Main[[#This Row],[Tech Start Date]],12),IF(Main[[#This Row],[Class]]="A",WORKDAY(Main[[#This Row],[Tech Start Date]],4),""))))</f>
        <v/>
      </c>
      <c r="O773" s="77" t="str">
        <f>IF(Main[[#This Row],[Tech Start Date]]&lt;1/1/1990,"",IF(Main[[#This Row],[Class]]="C",WORKDAY(Main[[#This Row],[Tech Start Date]],23),IF(Main[[#This Row],[Class]]="B", WORKDAY(Main[[#This Row],[Tech Start Date]],15),IF(Main[[#This Row],[Class]]="A",WORKDAY(Main[[#This Row],[Tech Start Date]],5),""))))</f>
        <v/>
      </c>
      <c r="P773" s="77" t="str">
        <f>IF(Main[[#This Row],[Tech Start Date]]&lt;1/1/1990,"",IF(Main[[#This Row],[Class]]="C",WORKDAY(Main[[#This Row],[Tech Start Date]],28),IF(Main[[#This Row],[Class]]="B", WORKDAY(Main[[#This Row],[Tech Start Date]],19),IF(Main[[#This Row],[Class]]="A",WORKDAY(Main[[#This Row],[Tech Start Date]],9),""))))</f>
        <v/>
      </c>
      <c r="Q773" s="74"/>
      <c r="R773" s="74"/>
      <c r="S773" s="72" t="s">
        <v>17</v>
      </c>
      <c r="T773" s="80" t="s">
        <v>4</v>
      </c>
      <c r="U773" s="72" t="s">
        <v>14</v>
      </c>
      <c r="V773" s="72" t="s">
        <v>1935</v>
      </c>
      <c r="W773" s="72" t="s">
        <v>4</v>
      </c>
      <c r="X773" s="72" t="s">
        <v>2943</v>
      </c>
      <c r="Y773" s="72" t="s">
        <v>3035</v>
      </c>
      <c r="Z773" s="72" t="s">
        <v>4</v>
      </c>
      <c r="AA773" s="147" t="s">
        <v>2943</v>
      </c>
    </row>
    <row r="774" spans="1:27" ht="18.600000000000001" customHeight="1">
      <c r="A774" s="140" t="str">
        <f>IF(priority(Main[[#This Row],[Comments]])&lt;&gt;0, priority(Main[[#This Row],[Comments]]),"")</f>
        <v/>
      </c>
      <c r="B774" s="90" t="s">
        <v>1597</v>
      </c>
      <c r="C774" s="72" t="s">
        <v>281</v>
      </c>
      <c r="D774" s="73" t="s">
        <v>668</v>
      </c>
      <c r="E774" s="74"/>
      <c r="F774" s="74">
        <v>40567</v>
      </c>
      <c r="G774" s="75" t="str">
        <f>IF(stdProdLT(Main[[#This Row],[Comments]])=0.1,"N/A",IF(stdProdLT(Main[[#This Row],[Comments]])=0,"",stdProdLT(Main[[#This Row],[Comments]])))</f>
        <v/>
      </c>
      <c r="H774" s="76" t="str">
        <f>IF(AND(Main[[#This Row],[In Stock Date]]&lt;&gt;"",Main[[#This Row],[Revised Due Date]]&lt;&gt;""),Main[[#This Row],[In Stock Date]]-Main[[#This Row],[Revised Due Date]],"")</f>
        <v/>
      </c>
      <c r="I774" s="72" t="s">
        <v>4</v>
      </c>
      <c r="J774" s="72" t="s">
        <v>4</v>
      </c>
      <c r="K774" s="72" t="s">
        <v>4</v>
      </c>
      <c r="L774" s="74"/>
      <c r="M774" s="77" t="str">
        <f>IF(Main[[#This Row],[Tech Start Date]]&lt;1/1/1990,"",IF(Main[[#This Row],[Class]]="C",WORKDAY(Main[[#This Row],[Tech Start Date]],9),IF(Main[[#This Row],[Class]]="B", WORKDAY(Main[[#This Row],[Tech Start Date]],6),IF(Main[[#This Row],[Class]]="A",WORKDAY(Main[[#This Row],[Tech Start Date]],2),""))))</f>
        <v/>
      </c>
      <c r="N774" s="77" t="str">
        <f>IF(Main[[#This Row],[Tech Start Date]]&lt;1/1/1990,"",IF(Main[[#This Row],[Class]]="C",WORKDAY(Main[[#This Row],[Tech Start Date]],19),IF(Main[[#This Row],[Class]]="B", WORKDAY(Main[[#This Row],[Tech Start Date]],12),IF(Main[[#This Row],[Class]]="A",WORKDAY(Main[[#This Row],[Tech Start Date]],4),""))))</f>
        <v/>
      </c>
      <c r="O774" s="77" t="str">
        <f>IF(Main[[#This Row],[Tech Start Date]]&lt;1/1/1990,"",IF(Main[[#This Row],[Class]]="C",WORKDAY(Main[[#This Row],[Tech Start Date]],23),IF(Main[[#This Row],[Class]]="B", WORKDAY(Main[[#This Row],[Tech Start Date]],15),IF(Main[[#This Row],[Class]]="A",WORKDAY(Main[[#This Row],[Tech Start Date]],5),""))))</f>
        <v/>
      </c>
      <c r="P774" s="77" t="str">
        <f>IF(Main[[#This Row],[Tech Start Date]]&lt;1/1/1990,"",IF(Main[[#This Row],[Class]]="C",WORKDAY(Main[[#This Row],[Tech Start Date]],28),IF(Main[[#This Row],[Class]]="B", WORKDAY(Main[[#This Row],[Tech Start Date]],19),IF(Main[[#This Row],[Class]]="A",WORKDAY(Main[[#This Row],[Tech Start Date]],9),""))))</f>
        <v/>
      </c>
      <c r="Q774" s="74">
        <v>40427</v>
      </c>
      <c r="R774" s="74"/>
      <c r="S774" s="72" t="s">
        <v>11</v>
      </c>
      <c r="T774" s="80" t="s">
        <v>4</v>
      </c>
      <c r="U774" s="72" t="s">
        <v>12</v>
      </c>
      <c r="V774" s="72" t="s">
        <v>1932</v>
      </c>
      <c r="W774" s="72" t="s">
        <v>1940</v>
      </c>
      <c r="X774" s="72" t="s">
        <v>2927</v>
      </c>
      <c r="Y774" s="72" t="s">
        <v>4</v>
      </c>
      <c r="Z774" s="72" t="s">
        <v>4</v>
      </c>
      <c r="AA774" s="147" t="s">
        <v>2927</v>
      </c>
    </row>
    <row r="775" spans="1:27" ht="18.600000000000001" customHeight="1">
      <c r="A775" s="140" t="str">
        <f>IF(priority(Main[[#This Row],[Comments]])&lt;&gt;0, priority(Main[[#This Row],[Comments]]),"")</f>
        <v/>
      </c>
      <c r="B775" s="90" t="s">
        <v>2440</v>
      </c>
      <c r="C775" s="72" t="s">
        <v>4</v>
      </c>
      <c r="D775" s="73" t="s">
        <v>2788</v>
      </c>
      <c r="E775" s="74">
        <v>40905.580543981479</v>
      </c>
      <c r="F775" s="74"/>
      <c r="G775" s="75" t="str">
        <f>IF(stdProdLT(Main[[#This Row],[Comments]])=0.1,"N/A",IF(stdProdLT(Main[[#This Row],[Comments]])=0,"",stdProdLT(Main[[#This Row],[Comments]])))</f>
        <v/>
      </c>
      <c r="H775" s="76" t="str">
        <f>IF(AND(Main[[#This Row],[In Stock Date]]&lt;&gt;"",Main[[#This Row],[Revised Due Date]]&lt;&gt;""),Main[[#This Row],[In Stock Date]]-Main[[#This Row],[Revised Due Date]],"")</f>
        <v/>
      </c>
      <c r="I775" s="72" t="s">
        <v>2066</v>
      </c>
      <c r="J775" s="72" t="s">
        <v>28</v>
      </c>
      <c r="K775" s="81" t="s">
        <v>1941</v>
      </c>
      <c r="L775" s="74"/>
      <c r="M775" s="77" t="str">
        <f>IF(Main[[#This Row],[Tech Start Date]]&lt;1/1/1990,"",IF(Main[[#This Row],[Class]]="C",WORKDAY(Main[[#This Row],[Tech Start Date]],9),IF(Main[[#This Row],[Class]]="B", WORKDAY(Main[[#This Row],[Tech Start Date]],6),IF(Main[[#This Row],[Class]]="A",WORKDAY(Main[[#This Row],[Tech Start Date]],2),""))))</f>
        <v/>
      </c>
      <c r="N775" s="77" t="str">
        <f>IF(Main[[#This Row],[Tech Start Date]]&lt;1/1/1990,"",IF(Main[[#This Row],[Class]]="C",WORKDAY(Main[[#This Row],[Tech Start Date]],19),IF(Main[[#This Row],[Class]]="B", WORKDAY(Main[[#This Row],[Tech Start Date]],12),IF(Main[[#This Row],[Class]]="A",WORKDAY(Main[[#This Row],[Tech Start Date]],4),""))))</f>
        <v/>
      </c>
      <c r="O775" s="77" t="str">
        <f>IF(Main[[#This Row],[Tech Start Date]]&lt;1/1/1990,"",IF(Main[[#This Row],[Class]]="C",WORKDAY(Main[[#This Row],[Tech Start Date]],23),IF(Main[[#This Row],[Class]]="B", WORKDAY(Main[[#This Row],[Tech Start Date]],15),IF(Main[[#This Row],[Class]]="A",WORKDAY(Main[[#This Row],[Tech Start Date]],5),""))))</f>
        <v/>
      </c>
      <c r="P775" s="77" t="str">
        <f>IF(Main[[#This Row],[Tech Start Date]]&lt;1/1/1990,"",IF(Main[[#This Row],[Class]]="C",WORKDAY(Main[[#This Row],[Tech Start Date]],28),IF(Main[[#This Row],[Class]]="B", WORKDAY(Main[[#This Row],[Tech Start Date]],19),IF(Main[[#This Row],[Class]]="A",WORKDAY(Main[[#This Row],[Tech Start Date]],9),""))))</f>
        <v/>
      </c>
      <c r="Q775" s="74">
        <v>40967</v>
      </c>
      <c r="R775" s="74"/>
      <c r="S775" s="72" t="s">
        <v>6</v>
      </c>
      <c r="T775" s="80" t="s">
        <v>4</v>
      </c>
      <c r="U775" s="72" t="s">
        <v>29</v>
      </c>
      <c r="V775" s="72" t="s">
        <v>1935</v>
      </c>
      <c r="W775" s="72" t="s">
        <v>1936</v>
      </c>
      <c r="X775" s="72" t="s">
        <v>30</v>
      </c>
      <c r="Y775" s="72" t="s">
        <v>3027</v>
      </c>
      <c r="Z775" s="72" t="s">
        <v>30</v>
      </c>
      <c r="AA775" s="147" t="s">
        <v>30</v>
      </c>
    </row>
    <row r="776" spans="1:27" ht="18.600000000000001" customHeight="1">
      <c r="A776" s="140" t="str">
        <f>IF(priority(Main[[#This Row],[Comments]])&lt;&gt;0, priority(Main[[#This Row],[Comments]]),"")</f>
        <v/>
      </c>
      <c r="B776" s="90" t="s">
        <v>1600</v>
      </c>
      <c r="C776" s="72" t="s">
        <v>72</v>
      </c>
      <c r="D776" s="73" t="s">
        <v>670</v>
      </c>
      <c r="E776" s="74"/>
      <c r="F776" s="74"/>
      <c r="G776" s="75" t="str">
        <f>IF(stdProdLT(Main[[#This Row],[Comments]])=0.1,"N/A",IF(stdProdLT(Main[[#This Row],[Comments]])=0,"",stdProdLT(Main[[#This Row],[Comments]])))</f>
        <v/>
      </c>
      <c r="H776" s="76" t="str">
        <f>IF(AND(Main[[#This Row],[In Stock Date]]&lt;&gt;"",Main[[#This Row],[Revised Due Date]]&lt;&gt;""),Main[[#This Row],[In Stock Date]]-Main[[#This Row],[Revised Due Date]],"")</f>
        <v/>
      </c>
      <c r="I776" s="72" t="s">
        <v>4</v>
      </c>
      <c r="J776" s="72" t="s">
        <v>4</v>
      </c>
      <c r="K776" s="81" t="s">
        <v>4</v>
      </c>
      <c r="L776" s="74"/>
      <c r="M776" s="77" t="str">
        <f>IF(Main[[#This Row],[Tech Start Date]]&lt;1/1/1990,"",IF(Main[[#This Row],[Class]]="C",WORKDAY(Main[[#This Row],[Tech Start Date]],9),IF(Main[[#This Row],[Class]]="B", WORKDAY(Main[[#This Row],[Tech Start Date]],6),IF(Main[[#This Row],[Class]]="A",WORKDAY(Main[[#This Row],[Tech Start Date]],2),""))))</f>
        <v/>
      </c>
      <c r="N776" s="77" t="str">
        <f>IF(Main[[#This Row],[Tech Start Date]]&lt;1/1/1990,"",IF(Main[[#This Row],[Class]]="C",WORKDAY(Main[[#This Row],[Tech Start Date]],19),IF(Main[[#This Row],[Class]]="B", WORKDAY(Main[[#This Row],[Tech Start Date]],12),IF(Main[[#This Row],[Class]]="A",WORKDAY(Main[[#This Row],[Tech Start Date]],4),""))))</f>
        <v/>
      </c>
      <c r="O776" s="77" t="str">
        <f>IF(Main[[#This Row],[Tech Start Date]]&lt;1/1/1990,"",IF(Main[[#This Row],[Class]]="C",WORKDAY(Main[[#This Row],[Tech Start Date]],23),IF(Main[[#This Row],[Class]]="B", WORKDAY(Main[[#This Row],[Tech Start Date]],15),IF(Main[[#This Row],[Class]]="A",WORKDAY(Main[[#This Row],[Tech Start Date]],5),""))))</f>
        <v/>
      </c>
      <c r="P776" s="77" t="str">
        <f>IF(Main[[#This Row],[Tech Start Date]]&lt;1/1/1990,"",IF(Main[[#This Row],[Class]]="C",WORKDAY(Main[[#This Row],[Tech Start Date]],28),IF(Main[[#This Row],[Class]]="B", WORKDAY(Main[[#This Row],[Tech Start Date]],19),IF(Main[[#This Row],[Class]]="A",WORKDAY(Main[[#This Row],[Tech Start Date]],9),""))))</f>
        <v/>
      </c>
      <c r="Q776" s="74"/>
      <c r="R776" s="74"/>
      <c r="S776" s="72" t="s">
        <v>49</v>
      </c>
      <c r="T776" s="80" t="s">
        <v>4</v>
      </c>
      <c r="U776" s="72" t="s">
        <v>12</v>
      </c>
      <c r="V776" s="72" t="s">
        <v>1933</v>
      </c>
      <c r="W776" s="72" t="s">
        <v>1934</v>
      </c>
      <c r="X776" s="72" t="s">
        <v>2985</v>
      </c>
      <c r="Y776" s="72" t="s">
        <v>3166</v>
      </c>
      <c r="Z776" s="72" t="s">
        <v>4</v>
      </c>
      <c r="AA776" s="147" t="s">
        <v>2985</v>
      </c>
    </row>
    <row r="777" spans="1:27" ht="18.600000000000001" customHeight="1">
      <c r="A777" s="140" t="str">
        <f>IF(priority(Main[[#This Row],[Comments]])&lt;&gt;0, priority(Main[[#This Row],[Comments]]),"")</f>
        <v/>
      </c>
      <c r="B777" s="90" t="s">
        <v>1601</v>
      </c>
      <c r="C777" s="72" t="s">
        <v>33</v>
      </c>
      <c r="D777" s="73" t="s">
        <v>671</v>
      </c>
      <c r="E777" s="74"/>
      <c r="F777" s="74">
        <v>40566</v>
      </c>
      <c r="G777" s="75" t="str">
        <f>IF(stdProdLT(Main[[#This Row],[Comments]])=0.1,"N/A",IF(stdProdLT(Main[[#This Row],[Comments]])=0,"",stdProdLT(Main[[#This Row],[Comments]])))</f>
        <v/>
      </c>
      <c r="H777" s="76" t="str">
        <f>IF(AND(Main[[#This Row],[In Stock Date]]&lt;&gt;"",Main[[#This Row],[Revised Due Date]]&lt;&gt;""),Main[[#This Row],[In Stock Date]]-Main[[#This Row],[Revised Due Date]],"")</f>
        <v/>
      </c>
      <c r="I777" s="72" t="s">
        <v>4</v>
      </c>
      <c r="J777" s="72" t="s">
        <v>4</v>
      </c>
      <c r="K777" s="72" t="s">
        <v>4</v>
      </c>
      <c r="L777" s="74"/>
      <c r="M777" s="77" t="str">
        <f>IF(Main[[#This Row],[Tech Start Date]]&lt;1/1/1990,"",IF(Main[[#This Row],[Class]]="C",WORKDAY(Main[[#This Row],[Tech Start Date]],9),IF(Main[[#This Row],[Class]]="B", WORKDAY(Main[[#This Row],[Tech Start Date]],6),IF(Main[[#This Row],[Class]]="A",WORKDAY(Main[[#This Row],[Tech Start Date]],2),""))))</f>
        <v/>
      </c>
      <c r="N777" s="77" t="str">
        <f>IF(Main[[#This Row],[Tech Start Date]]&lt;1/1/1990,"",IF(Main[[#This Row],[Class]]="C",WORKDAY(Main[[#This Row],[Tech Start Date]],19),IF(Main[[#This Row],[Class]]="B", WORKDAY(Main[[#This Row],[Tech Start Date]],12),IF(Main[[#This Row],[Class]]="A",WORKDAY(Main[[#This Row],[Tech Start Date]],4),""))))</f>
        <v/>
      </c>
      <c r="O777" s="77" t="str">
        <f>IF(Main[[#This Row],[Tech Start Date]]&lt;1/1/1990,"",IF(Main[[#This Row],[Class]]="C",WORKDAY(Main[[#This Row],[Tech Start Date]],23),IF(Main[[#This Row],[Class]]="B", WORKDAY(Main[[#This Row],[Tech Start Date]],15),IF(Main[[#This Row],[Class]]="A",WORKDAY(Main[[#This Row],[Tech Start Date]],5),""))))</f>
        <v/>
      </c>
      <c r="P777" s="77" t="str">
        <f>IF(Main[[#This Row],[Tech Start Date]]&lt;1/1/1990,"",IF(Main[[#This Row],[Class]]="C",WORKDAY(Main[[#This Row],[Tech Start Date]],28),IF(Main[[#This Row],[Class]]="B", WORKDAY(Main[[#This Row],[Tech Start Date]],19),IF(Main[[#This Row],[Class]]="A",WORKDAY(Main[[#This Row],[Tech Start Date]],9),""))))</f>
        <v/>
      </c>
      <c r="Q777" s="74">
        <v>40532</v>
      </c>
      <c r="R777" s="74"/>
      <c r="S777" s="72" t="s">
        <v>11</v>
      </c>
      <c r="T777" s="80" t="s">
        <v>4</v>
      </c>
      <c r="U777" s="72" t="s">
        <v>12</v>
      </c>
      <c r="V777" s="72" t="s">
        <v>1933</v>
      </c>
      <c r="W777" s="72" t="s">
        <v>1940</v>
      </c>
      <c r="X777" s="72" t="s">
        <v>2959</v>
      </c>
      <c r="Y777" s="72" t="s">
        <v>3108</v>
      </c>
      <c r="Z777" s="72" t="s">
        <v>4</v>
      </c>
      <c r="AA777" s="147" t="s">
        <v>2959</v>
      </c>
    </row>
    <row r="778" spans="1:27" ht="18.600000000000001" customHeight="1">
      <c r="A778" s="140" t="str">
        <f>IF(priority(Main[[#This Row],[Comments]])&lt;&gt;0, priority(Main[[#This Row],[Comments]]),"")</f>
        <v/>
      </c>
      <c r="B778" s="90" t="s">
        <v>1602</v>
      </c>
      <c r="C778" s="72" t="s">
        <v>351</v>
      </c>
      <c r="D778" s="73" t="s">
        <v>672</v>
      </c>
      <c r="E778" s="74"/>
      <c r="F778" s="74"/>
      <c r="G778" s="75" t="str">
        <f>IF(stdProdLT(Main[[#This Row],[Comments]])=0.1,"N/A",IF(stdProdLT(Main[[#This Row],[Comments]])=0,"",stdProdLT(Main[[#This Row],[Comments]])))</f>
        <v/>
      </c>
      <c r="H778" s="76" t="str">
        <f>IF(AND(Main[[#This Row],[In Stock Date]]&lt;&gt;"",Main[[#This Row],[Revised Due Date]]&lt;&gt;""),Main[[#This Row],[In Stock Date]]-Main[[#This Row],[Revised Due Date]],"")</f>
        <v/>
      </c>
      <c r="I778" s="72" t="s">
        <v>4</v>
      </c>
      <c r="J778" s="72" t="s">
        <v>4</v>
      </c>
      <c r="K778" s="72" t="s">
        <v>4</v>
      </c>
      <c r="L778" s="74"/>
      <c r="M778" s="77" t="str">
        <f>IF(Main[[#This Row],[Tech Start Date]]&lt;1/1/1990,"",IF(Main[[#This Row],[Class]]="C",WORKDAY(Main[[#This Row],[Tech Start Date]],9),IF(Main[[#This Row],[Class]]="B", WORKDAY(Main[[#This Row],[Tech Start Date]],6),IF(Main[[#This Row],[Class]]="A",WORKDAY(Main[[#This Row],[Tech Start Date]],2),""))))</f>
        <v/>
      </c>
      <c r="N778" s="77" t="str">
        <f>IF(Main[[#This Row],[Tech Start Date]]&lt;1/1/1990,"",IF(Main[[#This Row],[Class]]="C",WORKDAY(Main[[#This Row],[Tech Start Date]],19),IF(Main[[#This Row],[Class]]="B", WORKDAY(Main[[#This Row],[Tech Start Date]],12),IF(Main[[#This Row],[Class]]="A",WORKDAY(Main[[#This Row],[Tech Start Date]],4),""))))</f>
        <v/>
      </c>
      <c r="O778" s="77" t="str">
        <f>IF(Main[[#This Row],[Tech Start Date]]&lt;1/1/1990,"",IF(Main[[#This Row],[Class]]="C",WORKDAY(Main[[#This Row],[Tech Start Date]],23),IF(Main[[#This Row],[Class]]="B", WORKDAY(Main[[#This Row],[Tech Start Date]],15),IF(Main[[#This Row],[Class]]="A",WORKDAY(Main[[#This Row],[Tech Start Date]],5),""))))</f>
        <v/>
      </c>
      <c r="P778" s="77" t="str">
        <f>IF(Main[[#This Row],[Tech Start Date]]&lt;1/1/1990,"",IF(Main[[#This Row],[Class]]="C",WORKDAY(Main[[#This Row],[Tech Start Date]],28),IF(Main[[#This Row],[Class]]="B", WORKDAY(Main[[#This Row],[Tech Start Date]],19),IF(Main[[#This Row],[Class]]="A",WORKDAY(Main[[#This Row],[Tech Start Date]],9),""))))</f>
        <v/>
      </c>
      <c r="Q778" s="74">
        <v>40494</v>
      </c>
      <c r="R778" s="74"/>
      <c r="S778" s="72" t="s">
        <v>11</v>
      </c>
      <c r="T778" s="80" t="s">
        <v>4</v>
      </c>
      <c r="U778" s="72" t="s">
        <v>14</v>
      </c>
      <c r="V778" s="72" t="s">
        <v>1942</v>
      </c>
      <c r="W778" s="72" t="s">
        <v>4</v>
      </c>
      <c r="X778" s="72" t="s">
        <v>2908</v>
      </c>
      <c r="Y778" s="72" t="s">
        <v>3030</v>
      </c>
      <c r="Z778" s="72" t="s">
        <v>4</v>
      </c>
      <c r="AA778" s="147" t="s">
        <v>2908</v>
      </c>
    </row>
    <row r="779" spans="1:27" ht="18.600000000000001" customHeight="1">
      <c r="A779" s="140" t="str">
        <f>IF(priority(Main[[#This Row],[Comments]])&lt;&gt;0, priority(Main[[#This Row],[Comments]]),"")</f>
        <v/>
      </c>
      <c r="B779" s="90" t="s">
        <v>1603</v>
      </c>
      <c r="C779" s="72" t="s">
        <v>4</v>
      </c>
      <c r="D779" s="73" t="s">
        <v>673</v>
      </c>
      <c r="E779" s="74">
        <v>40462.471782407411</v>
      </c>
      <c r="F779" s="74"/>
      <c r="G779" s="75" t="str">
        <f>IF(stdProdLT(Main[[#This Row],[Comments]])=0.1,"N/A",IF(stdProdLT(Main[[#This Row],[Comments]])=0,"",stdProdLT(Main[[#This Row],[Comments]])))</f>
        <v/>
      </c>
      <c r="H779" s="76" t="str">
        <f>IF(AND(Main[[#This Row],[In Stock Date]]&lt;&gt;"",Main[[#This Row],[Revised Due Date]]&lt;&gt;""),Main[[#This Row],[In Stock Date]]-Main[[#This Row],[Revised Due Date]],"")</f>
        <v/>
      </c>
      <c r="I779" s="72" t="s">
        <v>4</v>
      </c>
      <c r="J779" s="72" t="s">
        <v>4</v>
      </c>
      <c r="K779" s="72" t="s">
        <v>4</v>
      </c>
      <c r="L779" s="74"/>
      <c r="M779" s="77" t="str">
        <f>IF(Main[[#This Row],[Tech Start Date]]&lt;1/1/1990,"",IF(Main[[#This Row],[Class]]="C",WORKDAY(Main[[#This Row],[Tech Start Date]],9),IF(Main[[#This Row],[Class]]="B", WORKDAY(Main[[#This Row],[Tech Start Date]],6),IF(Main[[#This Row],[Class]]="A",WORKDAY(Main[[#This Row],[Tech Start Date]],2),""))))</f>
        <v/>
      </c>
      <c r="N779" s="77" t="str">
        <f>IF(Main[[#This Row],[Tech Start Date]]&lt;1/1/1990,"",IF(Main[[#This Row],[Class]]="C",WORKDAY(Main[[#This Row],[Tech Start Date]],19),IF(Main[[#This Row],[Class]]="B", WORKDAY(Main[[#This Row],[Tech Start Date]],12),IF(Main[[#This Row],[Class]]="A",WORKDAY(Main[[#This Row],[Tech Start Date]],4),""))))</f>
        <v/>
      </c>
      <c r="O779" s="77" t="str">
        <f>IF(Main[[#This Row],[Tech Start Date]]&lt;1/1/1990,"",IF(Main[[#This Row],[Class]]="C",WORKDAY(Main[[#This Row],[Tech Start Date]],23),IF(Main[[#This Row],[Class]]="B", WORKDAY(Main[[#This Row],[Tech Start Date]],15),IF(Main[[#This Row],[Class]]="A",WORKDAY(Main[[#This Row],[Tech Start Date]],5),""))))</f>
        <v/>
      </c>
      <c r="P779" s="77" t="str">
        <f>IF(Main[[#This Row],[Tech Start Date]]&lt;1/1/1990,"",IF(Main[[#This Row],[Class]]="C",WORKDAY(Main[[#This Row],[Tech Start Date]],28),IF(Main[[#This Row],[Class]]="B", WORKDAY(Main[[#This Row],[Tech Start Date]],19),IF(Main[[#This Row],[Class]]="A",WORKDAY(Main[[#This Row],[Tech Start Date]],9),""))))</f>
        <v/>
      </c>
      <c r="Q779" s="74"/>
      <c r="R779" s="74"/>
      <c r="S779" s="72" t="s">
        <v>6</v>
      </c>
      <c r="T779" s="80" t="s">
        <v>4</v>
      </c>
      <c r="U779" s="72" t="s">
        <v>7</v>
      </c>
      <c r="V779" s="72" t="s">
        <v>1932</v>
      </c>
      <c r="W779" s="72" t="s">
        <v>1936</v>
      </c>
      <c r="X779" s="72" t="s">
        <v>2950</v>
      </c>
      <c r="Y779" s="72" t="s">
        <v>3087</v>
      </c>
      <c r="Z779" s="72" t="s">
        <v>4</v>
      </c>
      <c r="AA779" s="147" t="s">
        <v>2950</v>
      </c>
    </row>
    <row r="780" spans="1:27" ht="18.600000000000001" customHeight="1">
      <c r="A780" s="140" t="str">
        <f>IF(priority(Main[[#This Row],[Comments]])&lt;&gt;0, priority(Main[[#This Row],[Comments]]),"")</f>
        <v/>
      </c>
      <c r="B780" s="90" t="s">
        <v>1604</v>
      </c>
      <c r="C780" s="72" t="s">
        <v>4</v>
      </c>
      <c r="D780" s="73" t="s">
        <v>39</v>
      </c>
      <c r="E780" s="74"/>
      <c r="F780" s="74"/>
      <c r="G780" s="75" t="str">
        <f>IF(stdProdLT(Main[[#This Row],[Comments]])=0.1,"N/A",IF(stdProdLT(Main[[#This Row],[Comments]])=0,"",stdProdLT(Main[[#This Row],[Comments]])))</f>
        <v/>
      </c>
      <c r="H780" s="76" t="str">
        <f>IF(AND(Main[[#This Row],[In Stock Date]]&lt;&gt;"",Main[[#This Row],[Revised Due Date]]&lt;&gt;""),Main[[#This Row],[In Stock Date]]-Main[[#This Row],[Revised Due Date]],"")</f>
        <v/>
      </c>
      <c r="I780" s="72" t="s">
        <v>4</v>
      </c>
      <c r="J780" s="72" t="s">
        <v>4</v>
      </c>
      <c r="K780" s="72" t="s">
        <v>4</v>
      </c>
      <c r="L780" s="74"/>
      <c r="M780" s="77" t="str">
        <f>IF(Main[[#This Row],[Tech Start Date]]&lt;1/1/1990,"",IF(Main[[#This Row],[Class]]="C",WORKDAY(Main[[#This Row],[Tech Start Date]],9),IF(Main[[#This Row],[Class]]="B", WORKDAY(Main[[#This Row],[Tech Start Date]],6),IF(Main[[#This Row],[Class]]="A",WORKDAY(Main[[#This Row],[Tech Start Date]],2),""))))</f>
        <v/>
      </c>
      <c r="N780" s="77" t="str">
        <f>IF(Main[[#This Row],[Tech Start Date]]&lt;1/1/1990,"",IF(Main[[#This Row],[Class]]="C",WORKDAY(Main[[#This Row],[Tech Start Date]],19),IF(Main[[#This Row],[Class]]="B", WORKDAY(Main[[#This Row],[Tech Start Date]],12),IF(Main[[#This Row],[Class]]="A",WORKDAY(Main[[#This Row],[Tech Start Date]],4),""))))</f>
        <v/>
      </c>
      <c r="O780" s="77" t="str">
        <f>IF(Main[[#This Row],[Tech Start Date]]&lt;1/1/1990,"",IF(Main[[#This Row],[Class]]="C",WORKDAY(Main[[#This Row],[Tech Start Date]],23),IF(Main[[#This Row],[Class]]="B", WORKDAY(Main[[#This Row],[Tech Start Date]],15),IF(Main[[#This Row],[Class]]="A",WORKDAY(Main[[#This Row],[Tech Start Date]],5),""))))</f>
        <v/>
      </c>
      <c r="P780" s="77" t="str">
        <f>IF(Main[[#This Row],[Tech Start Date]]&lt;1/1/1990,"",IF(Main[[#This Row],[Class]]="C",WORKDAY(Main[[#This Row],[Tech Start Date]],28),IF(Main[[#This Row],[Class]]="B", WORKDAY(Main[[#This Row],[Tech Start Date]],19),IF(Main[[#This Row],[Class]]="A",WORKDAY(Main[[#This Row],[Tech Start Date]],9),""))))</f>
        <v/>
      </c>
      <c r="Q780" s="74">
        <v>40669</v>
      </c>
      <c r="R780" s="74"/>
      <c r="S780" s="72" t="s">
        <v>6</v>
      </c>
      <c r="T780" s="80" t="s">
        <v>4</v>
      </c>
      <c r="U780" s="72" t="s">
        <v>14</v>
      </c>
      <c r="V780" s="72" t="s">
        <v>1935</v>
      </c>
      <c r="W780" s="72" t="s">
        <v>4</v>
      </c>
      <c r="X780" s="72" t="s">
        <v>2902</v>
      </c>
      <c r="Y780" s="72" t="s">
        <v>3016</v>
      </c>
      <c r="Z780" s="72" t="s">
        <v>4</v>
      </c>
      <c r="AA780" s="147" t="s">
        <v>2902</v>
      </c>
    </row>
    <row r="781" spans="1:27" ht="18.600000000000001" customHeight="1">
      <c r="A781" s="140" t="str">
        <f>IF(priority(Main[[#This Row],[Comments]])&lt;&gt;0, priority(Main[[#This Row],[Comments]]),"")</f>
        <v/>
      </c>
      <c r="B781" s="90" t="s">
        <v>1855</v>
      </c>
      <c r="C781" s="72" t="s">
        <v>4</v>
      </c>
      <c r="D781" s="73" t="s">
        <v>1967</v>
      </c>
      <c r="E781" s="74"/>
      <c r="F781" s="74">
        <v>40445</v>
      </c>
      <c r="G781" s="75" t="str">
        <f>IF(stdProdLT(Main[[#This Row],[Comments]])=0.1,"N/A",IF(stdProdLT(Main[[#This Row],[Comments]])=0,"",stdProdLT(Main[[#This Row],[Comments]])))</f>
        <v/>
      </c>
      <c r="H781" s="76">
        <f>IF(AND(Main[[#This Row],[In Stock Date]]&lt;&gt;"",Main[[#This Row],[Revised Due Date]]&lt;&gt;""),Main[[#This Row],[In Stock Date]]-Main[[#This Row],[Revised Due Date]],"")</f>
        <v>0</v>
      </c>
      <c r="I781" s="72" t="s">
        <v>4</v>
      </c>
      <c r="J781" s="72" t="s">
        <v>28</v>
      </c>
      <c r="K781" s="72" t="s">
        <v>1945</v>
      </c>
      <c r="L781" s="74"/>
      <c r="M781" s="77" t="str">
        <f>IF(Main[[#This Row],[Tech Start Date]]&lt;1/1/1990,"",IF(Main[[#This Row],[Class]]="C",WORKDAY(Main[[#This Row],[Tech Start Date]],9),IF(Main[[#This Row],[Class]]="B", WORKDAY(Main[[#This Row],[Tech Start Date]],6),IF(Main[[#This Row],[Class]]="A",WORKDAY(Main[[#This Row],[Tech Start Date]],2),""))))</f>
        <v/>
      </c>
      <c r="N781" s="77" t="str">
        <f>IF(Main[[#This Row],[Tech Start Date]]&lt;1/1/1990,"",IF(Main[[#This Row],[Class]]="C",WORKDAY(Main[[#This Row],[Tech Start Date]],19),IF(Main[[#This Row],[Class]]="B", WORKDAY(Main[[#This Row],[Tech Start Date]],12),IF(Main[[#This Row],[Class]]="A",WORKDAY(Main[[#This Row],[Tech Start Date]],4),""))))</f>
        <v/>
      </c>
      <c r="O781" s="77" t="str">
        <f>IF(Main[[#This Row],[Tech Start Date]]&lt;1/1/1990,"",IF(Main[[#This Row],[Class]]="C",WORKDAY(Main[[#This Row],[Tech Start Date]],23),IF(Main[[#This Row],[Class]]="B", WORKDAY(Main[[#This Row],[Tech Start Date]],15),IF(Main[[#This Row],[Class]]="A",WORKDAY(Main[[#This Row],[Tech Start Date]],5),""))))</f>
        <v/>
      </c>
      <c r="P781" s="77" t="str">
        <f>IF(Main[[#This Row],[Tech Start Date]]&lt;1/1/1990,"",IF(Main[[#This Row],[Class]]="C",WORKDAY(Main[[#This Row],[Tech Start Date]],28),IF(Main[[#This Row],[Class]]="B", WORKDAY(Main[[#This Row],[Tech Start Date]],19),IF(Main[[#This Row],[Class]]="A",WORKDAY(Main[[#This Row],[Tech Start Date]],9),""))))</f>
        <v/>
      </c>
      <c r="Q781" s="74">
        <v>40445</v>
      </c>
      <c r="R781" s="74">
        <v>40445</v>
      </c>
      <c r="S781" s="72" t="s">
        <v>11</v>
      </c>
      <c r="T781" s="80" t="s">
        <v>4</v>
      </c>
      <c r="U781" s="72" t="s">
        <v>14</v>
      </c>
      <c r="V781" s="72" t="s">
        <v>1933</v>
      </c>
      <c r="W781" s="72" t="s">
        <v>1937</v>
      </c>
      <c r="X781" s="72" t="s">
        <v>2946</v>
      </c>
      <c r="Y781" s="72" t="s">
        <v>3173</v>
      </c>
      <c r="Z781" s="72" t="s">
        <v>3249</v>
      </c>
      <c r="AA781" s="147" t="s">
        <v>2959</v>
      </c>
    </row>
    <row r="782" spans="1:27" ht="18.600000000000001" customHeight="1">
      <c r="A782" s="140" t="str">
        <f>IF(priority(Main[[#This Row],[Comments]])&lt;&gt;0, priority(Main[[#This Row],[Comments]]),"")</f>
        <v/>
      </c>
      <c r="B782" s="90" t="s">
        <v>1605</v>
      </c>
      <c r="C782" s="72" t="s">
        <v>4</v>
      </c>
      <c r="D782" s="73" t="s">
        <v>674</v>
      </c>
      <c r="E782" s="74"/>
      <c r="F782" s="74"/>
      <c r="G782" s="75" t="str">
        <f>IF(stdProdLT(Main[[#This Row],[Comments]])=0.1,"N/A",IF(stdProdLT(Main[[#This Row],[Comments]])=0,"",stdProdLT(Main[[#This Row],[Comments]])))</f>
        <v/>
      </c>
      <c r="H782" s="76" t="str">
        <f>IF(AND(Main[[#This Row],[In Stock Date]]&lt;&gt;"",Main[[#This Row],[Revised Due Date]]&lt;&gt;""),Main[[#This Row],[In Stock Date]]-Main[[#This Row],[Revised Due Date]],"")</f>
        <v/>
      </c>
      <c r="I782" s="72" t="s">
        <v>4</v>
      </c>
      <c r="J782" s="72" t="s">
        <v>4</v>
      </c>
      <c r="K782" s="72" t="s">
        <v>4</v>
      </c>
      <c r="L782" s="74"/>
      <c r="M782" s="77" t="str">
        <f>IF(Main[[#This Row],[Tech Start Date]]&lt;1/1/1990,"",IF(Main[[#This Row],[Class]]="C",WORKDAY(Main[[#This Row],[Tech Start Date]],9),IF(Main[[#This Row],[Class]]="B", WORKDAY(Main[[#This Row],[Tech Start Date]],6),IF(Main[[#This Row],[Class]]="A",WORKDAY(Main[[#This Row],[Tech Start Date]],2),""))))</f>
        <v/>
      </c>
      <c r="N782" s="77" t="str">
        <f>IF(Main[[#This Row],[Tech Start Date]]&lt;1/1/1990,"",IF(Main[[#This Row],[Class]]="C",WORKDAY(Main[[#This Row],[Tech Start Date]],19),IF(Main[[#This Row],[Class]]="B", WORKDAY(Main[[#This Row],[Tech Start Date]],12),IF(Main[[#This Row],[Class]]="A",WORKDAY(Main[[#This Row],[Tech Start Date]],4),""))))</f>
        <v/>
      </c>
      <c r="O782" s="77" t="str">
        <f>IF(Main[[#This Row],[Tech Start Date]]&lt;1/1/1990,"",IF(Main[[#This Row],[Class]]="C",WORKDAY(Main[[#This Row],[Tech Start Date]],23),IF(Main[[#This Row],[Class]]="B", WORKDAY(Main[[#This Row],[Tech Start Date]],15),IF(Main[[#This Row],[Class]]="A",WORKDAY(Main[[#This Row],[Tech Start Date]],5),""))))</f>
        <v/>
      </c>
      <c r="P782" s="77" t="str">
        <f>IF(Main[[#This Row],[Tech Start Date]]&lt;1/1/1990,"",IF(Main[[#This Row],[Class]]="C",WORKDAY(Main[[#This Row],[Tech Start Date]],28),IF(Main[[#This Row],[Class]]="B", WORKDAY(Main[[#This Row],[Tech Start Date]],19),IF(Main[[#This Row],[Class]]="A",WORKDAY(Main[[#This Row],[Tech Start Date]],9),""))))</f>
        <v/>
      </c>
      <c r="Q782" s="74"/>
      <c r="R782" s="74"/>
      <c r="S782" s="72" t="s">
        <v>6</v>
      </c>
      <c r="T782" s="80" t="s">
        <v>4</v>
      </c>
      <c r="U782" s="72" t="s">
        <v>14</v>
      </c>
      <c r="V782" s="72" t="s">
        <v>1932</v>
      </c>
      <c r="W782" s="72" t="s">
        <v>1936</v>
      </c>
      <c r="X782" s="72" t="s">
        <v>310</v>
      </c>
      <c r="Y782" s="72" t="s">
        <v>4</v>
      </c>
      <c r="Z782" s="72" t="s">
        <v>4</v>
      </c>
      <c r="AA782" s="147" t="s">
        <v>2935</v>
      </c>
    </row>
    <row r="783" spans="1:27" ht="18.600000000000001" customHeight="1">
      <c r="A783" s="140" t="str">
        <f>IF(priority(Main[[#This Row],[Comments]])&lt;&gt;0, priority(Main[[#This Row],[Comments]]),"")</f>
        <v/>
      </c>
      <c r="B783" s="90" t="s">
        <v>1635</v>
      </c>
      <c r="C783" s="72" t="s">
        <v>4</v>
      </c>
      <c r="D783" s="73" t="s">
        <v>704</v>
      </c>
      <c r="E783" s="74"/>
      <c r="F783" s="74"/>
      <c r="G783" s="75" t="str">
        <f>IF(stdProdLT(Main[[#This Row],[Comments]])=0.1,"N/A",IF(stdProdLT(Main[[#This Row],[Comments]])=0,"",stdProdLT(Main[[#This Row],[Comments]])))</f>
        <v/>
      </c>
      <c r="H783" s="76" t="str">
        <f>IF(AND(Main[[#This Row],[In Stock Date]]&lt;&gt;"",Main[[#This Row],[Revised Due Date]]&lt;&gt;""),Main[[#This Row],[In Stock Date]]-Main[[#This Row],[Revised Due Date]],"")</f>
        <v/>
      </c>
      <c r="I783" s="72" t="s">
        <v>4</v>
      </c>
      <c r="J783" s="72" t="s">
        <v>4</v>
      </c>
      <c r="K783" s="72" t="s">
        <v>4</v>
      </c>
      <c r="L783" s="74"/>
      <c r="M783" s="77" t="str">
        <f>IF(Main[[#This Row],[Tech Start Date]]&lt;1/1/1990,"",IF(Main[[#This Row],[Class]]="C",WORKDAY(Main[[#This Row],[Tech Start Date]],9),IF(Main[[#This Row],[Class]]="B", WORKDAY(Main[[#This Row],[Tech Start Date]],6),IF(Main[[#This Row],[Class]]="A",WORKDAY(Main[[#This Row],[Tech Start Date]],2),""))))</f>
        <v/>
      </c>
      <c r="N783" s="77" t="str">
        <f>IF(Main[[#This Row],[Tech Start Date]]&lt;1/1/1990,"",IF(Main[[#This Row],[Class]]="C",WORKDAY(Main[[#This Row],[Tech Start Date]],19),IF(Main[[#This Row],[Class]]="B", WORKDAY(Main[[#This Row],[Tech Start Date]],12),IF(Main[[#This Row],[Class]]="A",WORKDAY(Main[[#This Row],[Tech Start Date]],4),""))))</f>
        <v/>
      </c>
      <c r="O783" s="77" t="str">
        <f>IF(Main[[#This Row],[Tech Start Date]]&lt;1/1/1990,"",IF(Main[[#This Row],[Class]]="C",WORKDAY(Main[[#This Row],[Tech Start Date]],23),IF(Main[[#This Row],[Class]]="B", WORKDAY(Main[[#This Row],[Tech Start Date]],15),IF(Main[[#This Row],[Class]]="A",WORKDAY(Main[[#This Row],[Tech Start Date]],5),""))))</f>
        <v/>
      </c>
      <c r="P783" s="77" t="str">
        <f>IF(Main[[#This Row],[Tech Start Date]]&lt;1/1/1990,"",IF(Main[[#This Row],[Class]]="C",WORKDAY(Main[[#This Row],[Tech Start Date]],28),IF(Main[[#This Row],[Class]]="B", WORKDAY(Main[[#This Row],[Tech Start Date]],19),IF(Main[[#This Row],[Class]]="A",WORKDAY(Main[[#This Row],[Tech Start Date]],9),""))))</f>
        <v/>
      </c>
      <c r="Q783" s="74"/>
      <c r="R783" s="74"/>
      <c r="S783" s="72" t="s">
        <v>23</v>
      </c>
      <c r="T783" s="80" t="s">
        <v>4</v>
      </c>
      <c r="U783" s="72" t="s">
        <v>14</v>
      </c>
      <c r="V783" s="72" t="s">
        <v>1935</v>
      </c>
      <c r="W783" s="72" t="s">
        <v>1936</v>
      </c>
      <c r="X783" s="72" t="s">
        <v>403</v>
      </c>
      <c r="Y783" s="72" t="s">
        <v>4</v>
      </c>
      <c r="Z783" s="72" t="s">
        <v>4</v>
      </c>
      <c r="AA783" s="147" t="s">
        <v>3619</v>
      </c>
    </row>
    <row r="784" spans="1:27" ht="18.600000000000001" customHeight="1">
      <c r="A784" s="140" t="str">
        <f>IF(priority(Main[[#This Row],[Comments]])&lt;&gt;0, priority(Main[[#This Row],[Comments]]),"")</f>
        <v/>
      </c>
      <c r="B784" s="90" t="s">
        <v>1636</v>
      </c>
      <c r="C784" s="72" t="s">
        <v>122</v>
      </c>
      <c r="D784" s="73" t="s">
        <v>705</v>
      </c>
      <c r="E784" s="74"/>
      <c r="F784" s="74"/>
      <c r="G784" s="75" t="str">
        <f>IF(stdProdLT(Main[[#This Row],[Comments]])=0.1,"N/A",IF(stdProdLT(Main[[#This Row],[Comments]])=0,"",stdProdLT(Main[[#This Row],[Comments]])))</f>
        <v/>
      </c>
      <c r="H784" s="76" t="str">
        <f>IF(AND(Main[[#This Row],[In Stock Date]]&lt;&gt;"",Main[[#This Row],[Revised Due Date]]&lt;&gt;""),Main[[#This Row],[In Stock Date]]-Main[[#This Row],[Revised Due Date]],"")</f>
        <v/>
      </c>
      <c r="I784" s="72" t="s">
        <v>4</v>
      </c>
      <c r="J784" s="72" t="s">
        <v>4</v>
      </c>
      <c r="K784" s="81" t="s">
        <v>4</v>
      </c>
      <c r="L784" s="74"/>
      <c r="M784" s="77" t="str">
        <f>IF(Main[[#This Row],[Tech Start Date]]&lt;1/1/1990,"",IF(Main[[#This Row],[Class]]="C",WORKDAY(Main[[#This Row],[Tech Start Date]],9),IF(Main[[#This Row],[Class]]="B", WORKDAY(Main[[#This Row],[Tech Start Date]],6),IF(Main[[#This Row],[Class]]="A",WORKDAY(Main[[#This Row],[Tech Start Date]],2),""))))</f>
        <v/>
      </c>
      <c r="N784" s="77" t="str">
        <f>IF(Main[[#This Row],[Tech Start Date]]&lt;1/1/1990,"",IF(Main[[#This Row],[Class]]="C",WORKDAY(Main[[#This Row],[Tech Start Date]],19),IF(Main[[#This Row],[Class]]="B", WORKDAY(Main[[#This Row],[Tech Start Date]],12),IF(Main[[#This Row],[Class]]="A",WORKDAY(Main[[#This Row],[Tech Start Date]],4),""))))</f>
        <v/>
      </c>
      <c r="O784" s="77" t="str">
        <f>IF(Main[[#This Row],[Tech Start Date]]&lt;1/1/1990,"",IF(Main[[#This Row],[Class]]="C",WORKDAY(Main[[#This Row],[Tech Start Date]],23),IF(Main[[#This Row],[Class]]="B", WORKDAY(Main[[#This Row],[Tech Start Date]],15),IF(Main[[#This Row],[Class]]="A",WORKDAY(Main[[#This Row],[Tech Start Date]],5),""))))</f>
        <v/>
      </c>
      <c r="P784" s="77" t="str">
        <f>IF(Main[[#This Row],[Tech Start Date]]&lt;1/1/1990,"",IF(Main[[#This Row],[Class]]="C",WORKDAY(Main[[#This Row],[Tech Start Date]],28),IF(Main[[#This Row],[Class]]="B", WORKDAY(Main[[#This Row],[Tech Start Date]],19),IF(Main[[#This Row],[Class]]="A",WORKDAY(Main[[#This Row],[Tech Start Date]],9),""))))</f>
        <v/>
      </c>
      <c r="Q784" s="74"/>
      <c r="R784" s="74"/>
      <c r="S784" s="72" t="s">
        <v>11</v>
      </c>
      <c r="T784" s="80" t="s">
        <v>4</v>
      </c>
      <c r="U784" s="72" t="s">
        <v>14</v>
      </c>
      <c r="V784" s="72" t="s">
        <v>1932</v>
      </c>
      <c r="W784" s="72" t="s">
        <v>1943</v>
      </c>
      <c r="X784" s="72" t="s">
        <v>2904</v>
      </c>
      <c r="Y784" s="72" t="s">
        <v>3179</v>
      </c>
      <c r="Z784" s="72" t="s">
        <v>4</v>
      </c>
      <c r="AA784" s="147" t="s">
        <v>3620</v>
      </c>
    </row>
    <row r="785" spans="1:27" ht="18.600000000000001" customHeight="1">
      <c r="A785" s="141" t="str">
        <f>IF(priority(Main[[#This Row],[Comments]])&lt;&gt;0, priority(Main[[#This Row],[Comments]]),"")</f>
        <v/>
      </c>
      <c r="B785" s="90" t="s">
        <v>1637</v>
      </c>
      <c r="C785" s="83" t="s">
        <v>4</v>
      </c>
      <c r="D785" s="84" t="s">
        <v>706</v>
      </c>
      <c r="E785" s="85">
        <v>40626.478958333333</v>
      </c>
      <c r="F785" s="85"/>
      <c r="G785" s="83" t="str">
        <f>IF(stdProdLT(Main[[#This Row],[Comments]])=0.1,"N/A",IF(stdProdLT(Main[[#This Row],[Comments]])=0,"",stdProdLT(Main[[#This Row],[Comments]])))</f>
        <v/>
      </c>
      <c r="H785" s="86" t="str">
        <f>IF(AND(Main[[#This Row],[In Stock Date]]&lt;&gt;"",Main[[#This Row],[Revised Due Date]]&lt;&gt;""),Main[[#This Row],[In Stock Date]]-Main[[#This Row],[Revised Due Date]],"")</f>
        <v/>
      </c>
      <c r="I785" s="83" t="s">
        <v>374</v>
      </c>
      <c r="J785" s="83" t="s">
        <v>28</v>
      </c>
      <c r="K785" s="83" t="s">
        <v>1941</v>
      </c>
      <c r="L785" s="85"/>
      <c r="M785" s="87" t="str">
        <f>IF(Main[[#This Row],[Tech Start Date]]&lt;1/1/1990,"",IF(Main[[#This Row],[Class]]="C",WORKDAY(Main[[#This Row],[Tech Start Date]],9),IF(Main[[#This Row],[Class]]="B", WORKDAY(Main[[#This Row],[Tech Start Date]],6),IF(Main[[#This Row],[Class]]="A",WORKDAY(Main[[#This Row],[Tech Start Date]],2),""))))</f>
        <v/>
      </c>
      <c r="N785" s="87" t="str">
        <f>IF(Main[[#This Row],[Tech Start Date]]&lt;1/1/1990,"",IF(Main[[#This Row],[Class]]="C",WORKDAY(Main[[#This Row],[Tech Start Date]],19),IF(Main[[#This Row],[Class]]="B", WORKDAY(Main[[#This Row],[Tech Start Date]],12),IF(Main[[#This Row],[Class]]="A",WORKDAY(Main[[#This Row],[Tech Start Date]],4),""))))</f>
        <v/>
      </c>
      <c r="O785" s="87" t="str">
        <f>IF(Main[[#This Row],[Tech Start Date]]&lt;1/1/1990,"",IF(Main[[#This Row],[Class]]="C",WORKDAY(Main[[#This Row],[Tech Start Date]],23),IF(Main[[#This Row],[Class]]="B", WORKDAY(Main[[#This Row],[Tech Start Date]],15),IF(Main[[#This Row],[Class]]="A",WORKDAY(Main[[#This Row],[Tech Start Date]],5),""))))</f>
        <v/>
      </c>
      <c r="P785" s="87" t="str">
        <f>IF(Main[[#This Row],[Tech Start Date]]&lt;1/1/1990,"",IF(Main[[#This Row],[Class]]="C",WORKDAY(Main[[#This Row],[Tech Start Date]],28),IF(Main[[#This Row],[Class]]="B", WORKDAY(Main[[#This Row],[Tech Start Date]],19),IF(Main[[#This Row],[Class]]="A",WORKDAY(Main[[#This Row],[Tech Start Date]],9),""))))</f>
        <v/>
      </c>
      <c r="Q785" s="85"/>
      <c r="R785" s="85"/>
      <c r="S785" s="83" t="s">
        <v>6</v>
      </c>
      <c r="T785" s="88" t="s">
        <v>4</v>
      </c>
      <c r="U785" s="83" t="s">
        <v>29</v>
      </c>
      <c r="V785" s="83" t="s">
        <v>1935</v>
      </c>
      <c r="W785" s="83" t="s">
        <v>1936</v>
      </c>
      <c r="X785" s="83" t="s">
        <v>74</v>
      </c>
      <c r="Y785" s="83" t="s">
        <v>3118</v>
      </c>
      <c r="Z785" s="83" t="s">
        <v>420</v>
      </c>
      <c r="AA785" s="147" t="s">
        <v>74</v>
      </c>
    </row>
    <row r="786" spans="1:27" ht="18.600000000000001" customHeight="1">
      <c r="A786" s="141" t="str">
        <f>IF(priority(Main[[#This Row],[Comments]])&lt;&gt;0, priority(Main[[#This Row],[Comments]]),"")</f>
        <v/>
      </c>
      <c r="B786" s="90" t="s">
        <v>1638</v>
      </c>
      <c r="C786" s="83" t="s">
        <v>4</v>
      </c>
      <c r="D786" s="84" t="s">
        <v>707</v>
      </c>
      <c r="E786" s="85"/>
      <c r="F786" s="85">
        <v>40598</v>
      </c>
      <c r="G786" s="83" t="str">
        <f>IF(stdProdLT(Main[[#This Row],[Comments]])=0.1,"N/A",IF(stdProdLT(Main[[#This Row],[Comments]])=0,"",stdProdLT(Main[[#This Row],[Comments]])))</f>
        <v/>
      </c>
      <c r="H786" s="86" t="str">
        <f>IF(AND(Main[[#This Row],[In Stock Date]]&lt;&gt;"",Main[[#This Row],[Revised Due Date]]&lt;&gt;""),Main[[#This Row],[In Stock Date]]-Main[[#This Row],[Revised Due Date]],"")</f>
        <v/>
      </c>
      <c r="I786" s="83" t="s">
        <v>403</v>
      </c>
      <c r="J786" s="83" t="s">
        <v>75</v>
      </c>
      <c r="K786" s="83" t="s">
        <v>4</v>
      </c>
      <c r="L786" s="85"/>
      <c r="M786" s="87" t="str">
        <f>IF(Main[[#This Row],[Tech Start Date]]&lt;1/1/1990,"",IF(Main[[#This Row],[Class]]="C",WORKDAY(Main[[#This Row],[Tech Start Date]],9),IF(Main[[#This Row],[Class]]="B", WORKDAY(Main[[#This Row],[Tech Start Date]],6),IF(Main[[#This Row],[Class]]="A",WORKDAY(Main[[#This Row],[Tech Start Date]],2),""))))</f>
        <v/>
      </c>
      <c r="N786" s="87" t="str">
        <f>IF(Main[[#This Row],[Tech Start Date]]&lt;1/1/1990,"",IF(Main[[#This Row],[Class]]="C",WORKDAY(Main[[#This Row],[Tech Start Date]],19),IF(Main[[#This Row],[Class]]="B", WORKDAY(Main[[#This Row],[Tech Start Date]],12),IF(Main[[#This Row],[Class]]="A",WORKDAY(Main[[#This Row],[Tech Start Date]],4),""))))</f>
        <v/>
      </c>
      <c r="O786" s="87" t="str">
        <f>IF(Main[[#This Row],[Tech Start Date]]&lt;1/1/1990,"",IF(Main[[#This Row],[Class]]="C",WORKDAY(Main[[#This Row],[Tech Start Date]],23),IF(Main[[#This Row],[Class]]="B", WORKDAY(Main[[#This Row],[Tech Start Date]],15),IF(Main[[#This Row],[Class]]="A",WORKDAY(Main[[#This Row],[Tech Start Date]],5),""))))</f>
        <v/>
      </c>
      <c r="P786" s="87" t="str">
        <f>IF(Main[[#This Row],[Tech Start Date]]&lt;1/1/1990,"",IF(Main[[#This Row],[Class]]="C",WORKDAY(Main[[#This Row],[Tech Start Date]],28),IF(Main[[#This Row],[Class]]="B", WORKDAY(Main[[#This Row],[Tech Start Date]],19),IF(Main[[#This Row],[Class]]="A",WORKDAY(Main[[#This Row],[Tech Start Date]],9),""))))</f>
        <v/>
      </c>
      <c r="Q786" s="85">
        <v>40598</v>
      </c>
      <c r="R786" s="85"/>
      <c r="S786" s="83" t="s">
        <v>6</v>
      </c>
      <c r="T786" s="88" t="s">
        <v>4</v>
      </c>
      <c r="U786" s="83" t="s">
        <v>14</v>
      </c>
      <c r="V786" s="83" t="s">
        <v>1942</v>
      </c>
      <c r="W786" s="83" t="s">
        <v>1938</v>
      </c>
      <c r="X786" s="83" t="s">
        <v>2932</v>
      </c>
      <c r="Y786" s="83" t="s">
        <v>3066</v>
      </c>
      <c r="Z786" s="83" t="s">
        <v>310</v>
      </c>
      <c r="AA786" s="147" t="s">
        <v>2932</v>
      </c>
    </row>
    <row r="787" spans="1:27" ht="18.600000000000001" customHeight="1">
      <c r="A787" s="141" t="str">
        <f>IF(priority(Main[[#This Row],[Comments]])&lt;&gt;0, priority(Main[[#This Row],[Comments]]),"")</f>
        <v/>
      </c>
      <c r="B787" s="90" t="s">
        <v>2191</v>
      </c>
      <c r="C787" s="83" t="s">
        <v>2186</v>
      </c>
      <c r="D787" s="84" t="s">
        <v>2789</v>
      </c>
      <c r="E787" s="85">
        <v>40781.401631944442</v>
      </c>
      <c r="F787" s="85"/>
      <c r="G787" s="83" t="str">
        <f>IF(stdProdLT(Main[[#This Row],[Comments]])=0.1,"N/A",IF(stdProdLT(Main[[#This Row],[Comments]])=0,"",stdProdLT(Main[[#This Row],[Comments]])))</f>
        <v/>
      </c>
      <c r="H787" s="86" t="str">
        <f>IF(AND(Main[[#This Row],[In Stock Date]]&lt;&gt;"",Main[[#This Row],[Revised Due Date]]&lt;&gt;""),Main[[#This Row],[In Stock Date]]-Main[[#This Row],[Revised Due Date]],"")</f>
        <v/>
      </c>
      <c r="I787" s="83" t="s">
        <v>2073</v>
      </c>
      <c r="J787" s="83" t="s">
        <v>70</v>
      </c>
      <c r="K787" s="83" t="s">
        <v>1941</v>
      </c>
      <c r="L787" s="85"/>
      <c r="M787" s="87" t="str">
        <f>IF(Main[[#This Row],[Tech Start Date]]&lt;1/1/1990,"",IF(Main[[#This Row],[Class]]="C",WORKDAY(Main[[#This Row],[Tech Start Date]],9),IF(Main[[#This Row],[Class]]="B", WORKDAY(Main[[#This Row],[Tech Start Date]],6),IF(Main[[#This Row],[Class]]="A",WORKDAY(Main[[#This Row],[Tech Start Date]],2),""))))</f>
        <v/>
      </c>
      <c r="N787" s="87" t="str">
        <f>IF(Main[[#This Row],[Tech Start Date]]&lt;1/1/1990,"",IF(Main[[#This Row],[Class]]="C",WORKDAY(Main[[#This Row],[Tech Start Date]],19),IF(Main[[#This Row],[Class]]="B", WORKDAY(Main[[#This Row],[Tech Start Date]],12),IF(Main[[#This Row],[Class]]="A",WORKDAY(Main[[#This Row],[Tech Start Date]],4),""))))</f>
        <v/>
      </c>
      <c r="O787" s="87" t="str">
        <f>IF(Main[[#This Row],[Tech Start Date]]&lt;1/1/1990,"",IF(Main[[#This Row],[Class]]="C",WORKDAY(Main[[#This Row],[Tech Start Date]],23),IF(Main[[#This Row],[Class]]="B", WORKDAY(Main[[#This Row],[Tech Start Date]],15),IF(Main[[#This Row],[Class]]="A",WORKDAY(Main[[#This Row],[Tech Start Date]],5),""))))</f>
        <v/>
      </c>
      <c r="P787" s="87" t="str">
        <f>IF(Main[[#This Row],[Tech Start Date]]&lt;1/1/1990,"",IF(Main[[#This Row],[Class]]="C",WORKDAY(Main[[#This Row],[Tech Start Date]],28),IF(Main[[#This Row],[Class]]="B", WORKDAY(Main[[#This Row],[Tech Start Date]],19),IF(Main[[#This Row],[Class]]="A",WORKDAY(Main[[#This Row],[Tech Start Date]],9),""))))</f>
        <v/>
      </c>
      <c r="Q787" s="85">
        <v>40836</v>
      </c>
      <c r="R787" s="85"/>
      <c r="S787" s="83" t="s">
        <v>6</v>
      </c>
      <c r="T787" s="88" t="s">
        <v>4</v>
      </c>
      <c r="U787" s="83" t="s">
        <v>29</v>
      </c>
      <c r="V787" s="83" t="s">
        <v>1935</v>
      </c>
      <c r="W787" s="83" t="s">
        <v>1936</v>
      </c>
      <c r="X787" s="83" t="s">
        <v>2920</v>
      </c>
      <c r="Y787" s="83" t="s">
        <v>3052</v>
      </c>
      <c r="Z787" s="83" t="s">
        <v>30</v>
      </c>
      <c r="AA787" s="147" t="s">
        <v>2920</v>
      </c>
    </row>
    <row r="788" spans="1:27" ht="18.600000000000001" customHeight="1">
      <c r="A788" s="141" t="str">
        <f>IF(priority(Main[[#This Row],[Comments]])&lt;&gt;0, priority(Main[[#This Row],[Comments]]),"")</f>
        <v/>
      </c>
      <c r="B788" s="90" t="s">
        <v>2097</v>
      </c>
      <c r="C788" s="83" t="s">
        <v>4</v>
      </c>
      <c r="D788" s="84" t="s">
        <v>2419</v>
      </c>
      <c r="E788" s="85">
        <v>40760.554780092592</v>
      </c>
      <c r="F788" s="85"/>
      <c r="G788" s="83" t="str">
        <f>IF(stdProdLT(Main[[#This Row],[Comments]])=0.1,"N/A",IF(stdProdLT(Main[[#This Row],[Comments]])=0,"",stdProdLT(Main[[#This Row],[Comments]])))</f>
        <v/>
      </c>
      <c r="H788" s="86" t="str">
        <f>IF(AND(Main[[#This Row],[In Stock Date]]&lt;&gt;"",Main[[#This Row],[Revised Due Date]]&lt;&gt;""),Main[[#This Row],[In Stock Date]]-Main[[#This Row],[Revised Due Date]],"")</f>
        <v/>
      </c>
      <c r="I788" s="83" t="s">
        <v>4</v>
      </c>
      <c r="J788" s="83" t="s">
        <v>4</v>
      </c>
      <c r="K788" s="83" t="s">
        <v>4</v>
      </c>
      <c r="L788" s="85"/>
      <c r="M788" s="87" t="str">
        <f>IF(Main[[#This Row],[Tech Start Date]]&lt;1/1/1990,"",IF(Main[[#This Row],[Class]]="C",WORKDAY(Main[[#This Row],[Tech Start Date]],9),IF(Main[[#This Row],[Class]]="B", WORKDAY(Main[[#This Row],[Tech Start Date]],6),IF(Main[[#This Row],[Class]]="A",WORKDAY(Main[[#This Row],[Tech Start Date]],2),""))))</f>
        <v/>
      </c>
      <c r="N788" s="87" t="str">
        <f>IF(Main[[#This Row],[Tech Start Date]]&lt;1/1/1990,"",IF(Main[[#This Row],[Class]]="C",WORKDAY(Main[[#This Row],[Tech Start Date]],19),IF(Main[[#This Row],[Class]]="B", WORKDAY(Main[[#This Row],[Tech Start Date]],12),IF(Main[[#This Row],[Class]]="A",WORKDAY(Main[[#This Row],[Tech Start Date]],4),""))))</f>
        <v/>
      </c>
      <c r="O788" s="87" t="str">
        <f>IF(Main[[#This Row],[Tech Start Date]]&lt;1/1/1990,"",IF(Main[[#This Row],[Class]]="C",WORKDAY(Main[[#This Row],[Tech Start Date]],23),IF(Main[[#This Row],[Class]]="B", WORKDAY(Main[[#This Row],[Tech Start Date]],15),IF(Main[[#This Row],[Class]]="A",WORKDAY(Main[[#This Row],[Tech Start Date]],5),""))))</f>
        <v/>
      </c>
      <c r="P788" s="87" t="str">
        <f>IF(Main[[#This Row],[Tech Start Date]]&lt;1/1/1990,"",IF(Main[[#This Row],[Class]]="C",WORKDAY(Main[[#This Row],[Tech Start Date]],28),IF(Main[[#This Row],[Class]]="B", WORKDAY(Main[[#This Row],[Tech Start Date]],19),IF(Main[[#This Row],[Class]]="A",WORKDAY(Main[[#This Row],[Tech Start Date]],9),""))))</f>
        <v/>
      </c>
      <c r="Q788" s="85"/>
      <c r="R788" s="85"/>
      <c r="S788" s="83" t="s">
        <v>6</v>
      </c>
      <c r="T788" s="88" t="s">
        <v>4</v>
      </c>
      <c r="U788" s="83" t="s">
        <v>7</v>
      </c>
      <c r="V788" s="83" t="s">
        <v>1932</v>
      </c>
      <c r="W788" s="83" t="s">
        <v>1936</v>
      </c>
      <c r="X788" s="83" t="s">
        <v>310</v>
      </c>
      <c r="Y788" s="83" t="s">
        <v>4</v>
      </c>
      <c r="Z788" s="83" t="s">
        <v>4</v>
      </c>
      <c r="AA788" s="147" t="s">
        <v>4</v>
      </c>
    </row>
    <row r="789" spans="1:27" ht="18.600000000000001" customHeight="1">
      <c r="A789" s="141" t="str">
        <f>IF(priority(Main[[#This Row],[Comments]])&lt;&gt;0, priority(Main[[#This Row],[Comments]]),"")</f>
        <v/>
      </c>
      <c r="B789" s="90" t="s">
        <v>1639</v>
      </c>
      <c r="C789" s="93" t="s">
        <v>4</v>
      </c>
      <c r="D789" s="84" t="s">
        <v>708</v>
      </c>
      <c r="E789" s="94"/>
      <c r="F789" s="94"/>
      <c r="G789" s="93" t="str">
        <f>IF(stdProdLT(Main[[#This Row],[Comments]])=0.1,"N/A",IF(stdProdLT(Main[[#This Row],[Comments]])=0,"",stdProdLT(Main[[#This Row],[Comments]])))</f>
        <v/>
      </c>
      <c r="H789" s="95" t="str">
        <f>IF(AND(Main[[#This Row],[In Stock Date]]&lt;&gt;"",Main[[#This Row],[Revised Due Date]]&lt;&gt;""),Main[[#This Row],[In Stock Date]]-Main[[#This Row],[Revised Due Date]],"")</f>
        <v/>
      </c>
      <c r="I789" s="93" t="s">
        <v>4</v>
      </c>
      <c r="J789" s="93" t="s">
        <v>4</v>
      </c>
      <c r="K789" s="93" t="s">
        <v>4</v>
      </c>
      <c r="L789" s="94"/>
      <c r="M789" s="96" t="str">
        <f>IF(Main[[#This Row],[Tech Start Date]]&lt;1/1/1990,"",IF(Main[[#This Row],[Class]]="C",WORKDAY(Main[[#This Row],[Tech Start Date]],9),IF(Main[[#This Row],[Class]]="B", WORKDAY(Main[[#This Row],[Tech Start Date]],6),IF(Main[[#This Row],[Class]]="A",WORKDAY(Main[[#This Row],[Tech Start Date]],2),""))))</f>
        <v/>
      </c>
      <c r="N789" s="96" t="str">
        <f>IF(Main[[#This Row],[Tech Start Date]]&lt;1/1/1990,"",IF(Main[[#This Row],[Class]]="C",WORKDAY(Main[[#This Row],[Tech Start Date]],19),IF(Main[[#This Row],[Class]]="B", WORKDAY(Main[[#This Row],[Tech Start Date]],12),IF(Main[[#This Row],[Class]]="A",WORKDAY(Main[[#This Row],[Tech Start Date]],4),""))))</f>
        <v/>
      </c>
      <c r="O789" s="96" t="str">
        <f>IF(Main[[#This Row],[Tech Start Date]]&lt;1/1/1990,"",IF(Main[[#This Row],[Class]]="C",WORKDAY(Main[[#This Row],[Tech Start Date]],23),IF(Main[[#This Row],[Class]]="B", WORKDAY(Main[[#This Row],[Tech Start Date]],15),IF(Main[[#This Row],[Class]]="A",WORKDAY(Main[[#This Row],[Tech Start Date]],5),""))))</f>
        <v/>
      </c>
      <c r="P789" s="96" t="str">
        <f>IF(Main[[#This Row],[Tech Start Date]]&lt;1/1/1990,"",IF(Main[[#This Row],[Class]]="C",WORKDAY(Main[[#This Row],[Tech Start Date]],28),IF(Main[[#This Row],[Class]]="B", WORKDAY(Main[[#This Row],[Tech Start Date]],19),IF(Main[[#This Row],[Class]]="A",WORKDAY(Main[[#This Row],[Tech Start Date]],9),""))))</f>
        <v/>
      </c>
      <c r="Q789" s="94"/>
      <c r="R789" s="94"/>
      <c r="S789" s="93" t="s">
        <v>49</v>
      </c>
      <c r="T789" s="97" t="s">
        <v>4</v>
      </c>
      <c r="U789" s="93" t="s">
        <v>14</v>
      </c>
      <c r="V789" s="93" t="s">
        <v>1932</v>
      </c>
      <c r="W789" s="93" t="s">
        <v>1936</v>
      </c>
      <c r="X789" s="83" t="s">
        <v>310</v>
      </c>
      <c r="Y789" s="83" t="s">
        <v>4</v>
      </c>
      <c r="Z789" s="83" t="s">
        <v>4</v>
      </c>
      <c r="AA789" s="147" t="s">
        <v>4</v>
      </c>
    </row>
    <row r="790" spans="1:27" ht="18.600000000000001" customHeight="1">
      <c r="A790" s="140" t="str">
        <f>IF(priority(Main[[#This Row],[Comments]])&lt;&gt;0, priority(Main[[#This Row],[Comments]]),"")</f>
        <v/>
      </c>
      <c r="B790" s="90" t="s">
        <v>1640</v>
      </c>
      <c r="C790" s="72" t="s">
        <v>4</v>
      </c>
      <c r="D790" s="73" t="s">
        <v>709</v>
      </c>
      <c r="E790" s="74"/>
      <c r="F790" s="74"/>
      <c r="G790" s="75" t="str">
        <f>IF(stdProdLT(Main[[#This Row],[Comments]])=0.1,"N/A",IF(stdProdLT(Main[[#This Row],[Comments]])=0,"",stdProdLT(Main[[#This Row],[Comments]])))</f>
        <v/>
      </c>
      <c r="H790" s="76" t="str">
        <f>IF(AND(Main[[#This Row],[In Stock Date]]&lt;&gt;"",Main[[#This Row],[Revised Due Date]]&lt;&gt;""),Main[[#This Row],[In Stock Date]]-Main[[#This Row],[Revised Due Date]],"")</f>
        <v/>
      </c>
      <c r="I790" s="72" t="s">
        <v>4</v>
      </c>
      <c r="J790" s="72" t="s">
        <v>4</v>
      </c>
      <c r="K790" s="72" t="s">
        <v>4</v>
      </c>
      <c r="L790" s="74"/>
      <c r="M790" s="77" t="str">
        <f>IF(Main[[#This Row],[Tech Start Date]]&lt;1/1/1990,"",IF(Main[[#This Row],[Class]]="C",WORKDAY(Main[[#This Row],[Tech Start Date]],9),IF(Main[[#This Row],[Class]]="B", WORKDAY(Main[[#This Row],[Tech Start Date]],6),IF(Main[[#This Row],[Class]]="A",WORKDAY(Main[[#This Row],[Tech Start Date]],2),""))))</f>
        <v/>
      </c>
      <c r="N790" s="77" t="str">
        <f>IF(Main[[#This Row],[Tech Start Date]]&lt;1/1/1990,"",IF(Main[[#This Row],[Class]]="C",WORKDAY(Main[[#This Row],[Tech Start Date]],19),IF(Main[[#This Row],[Class]]="B", WORKDAY(Main[[#This Row],[Tech Start Date]],12),IF(Main[[#This Row],[Class]]="A",WORKDAY(Main[[#This Row],[Tech Start Date]],4),""))))</f>
        <v/>
      </c>
      <c r="O790" s="77" t="str">
        <f>IF(Main[[#This Row],[Tech Start Date]]&lt;1/1/1990,"",IF(Main[[#This Row],[Class]]="C",WORKDAY(Main[[#This Row],[Tech Start Date]],23),IF(Main[[#This Row],[Class]]="B", WORKDAY(Main[[#This Row],[Tech Start Date]],15),IF(Main[[#This Row],[Class]]="A",WORKDAY(Main[[#This Row],[Tech Start Date]],5),""))))</f>
        <v/>
      </c>
      <c r="P790" s="77" t="str">
        <f>IF(Main[[#This Row],[Tech Start Date]]&lt;1/1/1990,"",IF(Main[[#This Row],[Class]]="C",WORKDAY(Main[[#This Row],[Tech Start Date]],28),IF(Main[[#This Row],[Class]]="B", WORKDAY(Main[[#This Row],[Tech Start Date]],19),IF(Main[[#This Row],[Class]]="A",WORKDAY(Main[[#This Row],[Tech Start Date]],9),""))))</f>
        <v/>
      </c>
      <c r="Q790" s="74"/>
      <c r="R790" s="74"/>
      <c r="S790" s="72" t="s">
        <v>11</v>
      </c>
      <c r="T790" s="80" t="s">
        <v>4</v>
      </c>
      <c r="U790" s="72" t="s">
        <v>14</v>
      </c>
      <c r="V790" s="72" t="s">
        <v>1935</v>
      </c>
      <c r="W790" s="72" t="s">
        <v>1940</v>
      </c>
      <c r="X790" s="72" t="s">
        <v>310</v>
      </c>
      <c r="Y790" s="72" t="s">
        <v>4</v>
      </c>
      <c r="Z790" s="72" t="s">
        <v>4</v>
      </c>
      <c r="AA790" s="147" t="s">
        <v>4</v>
      </c>
    </row>
    <row r="791" spans="1:27" ht="18.600000000000001" customHeight="1">
      <c r="A791" s="140" t="str">
        <f>IF(priority(Main[[#This Row],[Comments]])&lt;&gt;0, priority(Main[[#This Row],[Comments]]),"")</f>
        <v/>
      </c>
      <c r="B791" s="90" t="s">
        <v>1641</v>
      </c>
      <c r="C791" s="72" t="s">
        <v>214</v>
      </c>
      <c r="D791" s="73" t="s">
        <v>215</v>
      </c>
      <c r="E791" s="74"/>
      <c r="F791" s="74">
        <v>40452</v>
      </c>
      <c r="G791" s="75" t="str">
        <f>IF(stdProdLT(Main[[#This Row],[Comments]])=0.1,"N/A",IF(stdProdLT(Main[[#This Row],[Comments]])=0,"",stdProdLT(Main[[#This Row],[Comments]])))</f>
        <v/>
      </c>
      <c r="H791" s="76" t="str">
        <f>IF(AND(Main[[#This Row],[In Stock Date]]&lt;&gt;"",Main[[#This Row],[Revised Due Date]]&lt;&gt;""),Main[[#This Row],[In Stock Date]]-Main[[#This Row],[Revised Due Date]],"")</f>
        <v/>
      </c>
      <c r="I791" s="72" t="s">
        <v>4</v>
      </c>
      <c r="J791" s="72" t="s">
        <v>4</v>
      </c>
      <c r="K791" s="72" t="s">
        <v>4</v>
      </c>
      <c r="L791" s="74"/>
      <c r="M791" s="77" t="str">
        <f>IF(Main[[#This Row],[Tech Start Date]]&lt;1/1/1990,"",IF(Main[[#This Row],[Class]]="C",WORKDAY(Main[[#This Row],[Tech Start Date]],9),IF(Main[[#This Row],[Class]]="B", WORKDAY(Main[[#This Row],[Tech Start Date]],6),IF(Main[[#This Row],[Class]]="A",WORKDAY(Main[[#This Row],[Tech Start Date]],2),""))))</f>
        <v/>
      </c>
      <c r="N791" s="77" t="str">
        <f>IF(Main[[#This Row],[Tech Start Date]]&lt;1/1/1990,"",IF(Main[[#This Row],[Class]]="C",WORKDAY(Main[[#This Row],[Tech Start Date]],19),IF(Main[[#This Row],[Class]]="B", WORKDAY(Main[[#This Row],[Tech Start Date]],12),IF(Main[[#This Row],[Class]]="A",WORKDAY(Main[[#This Row],[Tech Start Date]],4),""))))</f>
        <v/>
      </c>
      <c r="O791" s="77" t="str">
        <f>IF(Main[[#This Row],[Tech Start Date]]&lt;1/1/1990,"",IF(Main[[#This Row],[Class]]="C",WORKDAY(Main[[#This Row],[Tech Start Date]],23),IF(Main[[#This Row],[Class]]="B", WORKDAY(Main[[#This Row],[Tech Start Date]],15),IF(Main[[#This Row],[Class]]="A",WORKDAY(Main[[#This Row],[Tech Start Date]],5),""))))</f>
        <v/>
      </c>
      <c r="P791" s="77" t="str">
        <f>IF(Main[[#This Row],[Tech Start Date]]&lt;1/1/1990,"",IF(Main[[#This Row],[Class]]="C",WORKDAY(Main[[#This Row],[Tech Start Date]],28),IF(Main[[#This Row],[Class]]="B", WORKDAY(Main[[#This Row],[Tech Start Date]],19),IF(Main[[#This Row],[Class]]="A",WORKDAY(Main[[#This Row],[Tech Start Date]],9),""))))</f>
        <v/>
      </c>
      <c r="Q791" s="74">
        <v>40357</v>
      </c>
      <c r="R791" s="74"/>
      <c r="S791" s="72" t="s">
        <v>11</v>
      </c>
      <c r="T791" s="80" t="s">
        <v>4</v>
      </c>
      <c r="U791" s="72" t="s">
        <v>12</v>
      </c>
      <c r="V791" s="72" t="s">
        <v>1932</v>
      </c>
      <c r="W791" s="72" t="s">
        <v>1940</v>
      </c>
      <c r="X791" s="72" t="s">
        <v>2917</v>
      </c>
      <c r="Y791" s="72" t="s">
        <v>4</v>
      </c>
      <c r="Z791" s="72" t="s">
        <v>4</v>
      </c>
      <c r="AA791" s="147" t="s">
        <v>2917</v>
      </c>
    </row>
    <row r="792" spans="1:27" ht="18.600000000000001" customHeight="1">
      <c r="A792" s="140" t="str">
        <f>IF(priority(Main[[#This Row],[Comments]])&lt;&gt;0, priority(Main[[#This Row],[Comments]]),"")</f>
        <v/>
      </c>
      <c r="B792" s="90" t="s">
        <v>2254</v>
      </c>
      <c r="C792" s="72" t="s">
        <v>4</v>
      </c>
      <c r="D792" s="73" t="s">
        <v>2255</v>
      </c>
      <c r="E792" s="74">
        <v>40802.257071759261</v>
      </c>
      <c r="F792" s="74"/>
      <c r="G792" s="75" t="str">
        <f>IF(stdProdLT(Main[[#This Row],[Comments]])=0.1,"N/A",IF(stdProdLT(Main[[#This Row],[Comments]])=0,"",stdProdLT(Main[[#This Row],[Comments]])))</f>
        <v/>
      </c>
      <c r="H792" s="76" t="str">
        <f>IF(AND(Main[[#This Row],[In Stock Date]]&lt;&gt;"",Main[[#This Row],[Revised Due Date]]&lt;&gt;""),Main[[#This Row],[In Stock Date]]-Main[[#This Row],[Revised Due Date]],"")</f>
        <v/>
      </c>
      <c r="I792" s="72" t="s">
        <v>4</v>
      </c>
      <c r="J792" s="72" t="s">
        <v>4</v>
      </c>
      <c r="K792" s="72" t="s">
        <v>4</v>
      </c>
      <c r="L792" s="74"/>
      <c r="M792" s="77" t="str">
        <f>IF(Main[[#This Row],[Tech Start Date]]&lt;1/1/1990,"",IF(Main[[#This Row],[Class]]="C",WORKDAY(Main[[#This Row],[Tech Start Date]],9),IF(Main[[#This Row],[Class]]="B", WORKDAY(Main[[#This Row],[Tech Start Date]],6),IF(Main[[#This Row],[Class]]="A",WORKDAY(Main[[#This Row],[Tech Start Date]],2),""))))</f>
        <v/>
      </c>
      <c r="N792" s="77" t="str">
        <f>IF(Main[[#This Row],[Tech Start Date]]&lt;1/1/1990,"",IF(Main[[#This Row],[Class]]="C",WORKDAY(Main[[#This Row],[Tech Start Date]],19),IF(Main[[#This Row],[Class]]="B", WORKDAY(Main[[#This Row],[Tech Start Date]],12),IF(Main[[#This Row],[Class]]="A",WORKDAY(Main[[#This Row],[Tech Start Date]],4),""))))</f>
        <v/>
      </c>
      <c r="O792" s="77" t="str">
        <f>IF(Main[[#This Row],[Tech Start Date]]&lt;1/1/1990,"",IF(Main[[#This Row],[Class]]="C",WORKDAY(Main[[#This Row],[Tech Start Date]],23),IF(Main[[#This Row],[Class]]="B", WORKDAY(Main[[#This Row],[Tech Start Date]],15),IF(Main[[#This Row],[Class]]="A",WORKDAY(Main[[#This Row],[Tech Start Date]],5),""))))</f>
        <v/>
      </c>
      <c r="P792" s="77" t="str">
        <f>IF(Main[[#This Row],[Tech Start Date]]&lt;1/1/1990,"",IF(Main[[#This Row],[Class]]="C",WORKDAY(Main[[#This Row],[Tech Start Date]],28),IF(Main[[#This Row],[Class]]="B", WORKDAY(Main[[#This Row],[Tech Start Date]],19),IF(Main[[#This Row],[Class]]="A",WORKDAY(Main[[#This Row],[Tech Start Date]],9),""))))</f>
        <v/>
      </c>
      <c r="Q792" s="74">
        <v>40816</v>
      </c>
      <c r="R792" s="74"/>
      <c r="S792" s="72" t="s">
        <v>6</v>
      </c>
      <c r="T792" s="80" t="s">
        <v>4</v>
      </c>
      <c r="U792" s="72" t="s">
        <v>7</v>
      </c>
      <c r="V792" s="72" t="s">
        <v>1932</v>
      </c>
      <c r="W792" s="72" t="s">
        <v>1940</v>
      </c>
      <c r="X792" s="72" t="s">
        <v>2905</v>
      </c>
      <c r="Y792" s="72" t="s">
        <v>3023</v>
      </c>
      <c r="Z792" s="72" t="s">
        <v>4</v>
      </c>
      <c r="AA792" s="147" t="s">
        <v>2905</v>
      </c>
    </row>
    <row r="793" spans="1:27" ht="18.600000000000001" customHeight="1">
      <c r="A793" s="140" t="str">
        <f>IF(priority(Main[[#This Row],[Comments]])&lt;&gt;0, priority(Main[[#This Row],[Comments]]),"")</f>
        <v/>
      </c>
      <c r="B793" s="90" t="s">
        <v>1643</v>
      </c>
      <c r="C793" s="72" t="s">
        <v>351</v>
      </c>
      <c r="D793" s="73" t="s">
        <v>711</v>
      </c>
      <c r="E793" s="74"/>
      <c r="F793" s="74">
        <v>40664</v>
      </c>
      <c r="G793" s="75" t="str">
        <f>IF(stdProdLT(Main[[#This Row],[Comments]])=0.1,"N/A",IF(stdProdLT(Main[[#This Row],[Comments]])=0,"",stdProdLT(Main[[#This Row],[Comments]])))</f>
        <v/>
      </c>
      <c r="H793" s="76" t="str">
        <f>IF(AND(Main[[#This Row],[In Stock Date]]&lt;&gt;"",Main[[#This Row],[Revised Due Date]]&lt;&gt;""),Main[[#This Row],[In Stock Date]]-Main[[#This Row],[Revised Due Date]],"")</f>
        <v/>
      </c>
      <c r="I793" s="72" t="s">
        <v>403</v>
      </c>
      <c r="J793" s="72" t="s">
        <v>75</v>
      </c>
      <c r="K793" s="72" t="s">
        <v>1939</v>
      </c>
      <c r="L793" s="74"/>
      <c r="M793" s="77" t="str">
        <f>IF(Main[[#This Row],[Tech Start Date]]&lt;1/1/1990,"",IF(Main[[#This Row],[Class]]="C",WORKDAY(Main[[#This Row],[Tech Start Date]],9),IF(Main[[#This Row],[Class]]="B", WORKDAY(Main[[#This Row],[Tech Start Date]],6),IF(Main[[#This Row],[Class]]="A",WORKDAY(Main[[#This Row],[Tech Start Date]],2),""))))</f>
        <v/>
      </c>
      <c r="N793" s="77" t="str">
        <f>IF(Main[[#This Row],[Tech Start Date]]&lt;1/1/1990,"",IF(Main[[#This Row],[Class]]="C",WORKDAY(Main[[#This Row],[Tech Start Date]],19),IF(Main[[#This Row],[Class]]="B", WORKDAY(Main[[#This Row],[Tech Start Date]],12),IF(Main[[#This Row],[Class]]="A",WORKDAY(Main[[#This Row],[Tech Start Date]],4),""))))</f>
        <v/>
      </c>
      <c r="O793" s="77" t="str">
        <f>IF(Main[[#This Row],[Tech Start Date]]&lt;1/1/1990,"",IF(Main[[#This Row],[Class]]="C",WORKDAY(Main[[#This Row],[Tech Start Date]],23),IF(Main[[#This Row],[Class]]="B", WORKDAY(Main[[#This Row],[Tech Start Date]],15),IF(Main[[#This Row],[Class]]="A",WORKDAY(Main[[#This Row],[Tech Start Date]],5),""))))</f>
        <v/>
      </c>
      <c r="P793" s="77" t="str">
        <f>IF(Main[[#This Row],[Tech Start Date]]&lt;1/1/1990,"",IF(Main[[#This Row],[Class]]="C",WORKDAY(Main[[#This Row],[Tech Start Date]],28),IF(Main[[#This Row],[Class]]="B", WORKDAY(Main[[#This Row],[Tech Start Date]],19),IF(Main[[#This Row],[Class]]="A",WORKDAY(Main[[#This Row],[Tech Start Date]],9),""))))</f>
        <v/>
      </c>
      <c r="Q793" s="74"/>
      <c r="R793" s="74"/>
      <c r="S793" s="72" t="s">
        <v>11</v>
      </c>
      <c r="T793" s="80" t="s">
        <v>4</v>
      </c>
      <c r="U793" s="72" t="s">
        <v>14</v>
      </c>
      <c r="V793" s="72" t="s">
        <v>1935</v>
      </c>
      <c r="W793" s="72" t="s">
        <v>1938</v>
      </c>
      <c r="X793" s="72" t="s">
        <v>50</v>
      </c>
      <c r="Y793" s="72" t="s">
        <v>3180</v>
      </c>
      <c r="Z793" s="72" t="s">
        <v>310</v>
      </c>
      <c r="AA793" s="147" t="s">
        <v>2956</v>
      </c>
    </row>
    <row r="794" spans="1:27" ht="18.600000000000001" customHeight="1">
      <c r="A794" s="140" t="str">
        <f>IF(priority(Main[[#This Row],[Comments]])&lt;&gt;0, priority(Main[[#This Row],[Comments]]),"")</f>
        <v/>
      </c>
      <c r="B794" s="90" t="s">
        <v>1644</v>
      </c>
      <c r="C794" s="72" t="s">
        <v>4</v>
      </c>
      <c r="D794" s="73" t="s">
        <v>97</v>
      </c>
      <c r="E794" s="74"/>
      <c r="F794" s="74"/>
      <c r="G794" s="75" t="str">
        <f>IF(stdProdLT(Main[[#This Row],[Comments]])=0.1,"N/A",IF(stdProdLT(Main[[#This Row],[Comments]])=0,"",stdProdLT(Main[[#This Row],[Comments]])))</f>
        <v/>
      </c>
      <c r="H794" s="76" t="str">
        <f>IF(AND(Main[[#This Row],[In Stock Date]]&lt;&gt;"",Main[[#This Row],[Revised Due Date]]&lt;&gt;""),Main[[#This Row],[In Stock Date]]-Main[[#This Row],[Revised Due Date]],"")</f>
        <v/>
      </c>
      <c r="I794" s="72" t="s">
        <v>4</v>
      </c>
      <c r="J794" s="72" t="s">
        <v>4</v>
      </c>
      <c r="K794" s="81" t="s">
        <v>4</v>
      </c>
      <c r="L794" s="74"/>
      <c r="M794" s="77" t="str">
        <f>IF(Main[[#This Row],[Tech Start Date]]&lt;1/1/1990,"",IF(Main[[#This Row],[Class]]="C",WORKDAY(Main[[#This Row],[Tech Start Date]],9),IF(Main[[#This Row],[Class]]="B", WORKDAY(Main[[#This Row],[Tech Start Date]],6),IF(Main[[#This Row],[Class]]="A",WORKDAY(Main[[#This Row],[Tech Start Date]],2),""))))</f>
        <v/>
      </c>
      <c r="N794" s="77" t="str">
        <f>IF(Main[[#This Row],[Tech Start Date]]&lt;1/1/1990,"",IF(Main[[#This Row],[Class]]="C",WORKDAY(Main[[#This Row],[Tech Start Date]],19),IF(Main[[#This Row],[Class]]="B", WORKDAY(Main[[#This Row],[Tech Start Date]],12),IF(Main[[#This Row],[Class]]="A",WORKDAY(Main[[#This Row],[Tech Start Date]],4),""))))</f>
        <v/>
      </c>
      <c r="O794" s="77" t="str">
        <f>IF(Main[[#This Row],[Tech Start Date]]&lt;1/1/1990,"",IF(Main[[#This Row],[Class]]="C",WORKDAY(Main[[#This Row],[Tech Start Date]],23),IF(Main[[#This Row],[Class]]="B", WORKDAY(Main[[#This Row],[Tech Start Date]],15),IF(Main[[#This Row],[Class]]="A",WORKDAY(Main[[#This Row],[Tech Start Date]],5),""))))</f>
        <v/>
      </c>
      <c r="P794" s="77" t="str">
        <f>IF(Main[[#This Row],[Tech Start Date]]&lt;1/1/1990,"",IF(Main[[#This Row],[Class]]="C",WORKDAY(Main[[#This Row],[Tech Start Date]],28),IF(Main[[#This Row],[Class]]="B", WORKDAY(Main[[#This Row],[Tech Start Date]],19),IF(Main[[#This Row],[Class]]="A",WORKDAY(Main[[#This Row],[Tech Start Date]],9),""))))</f>
        <v/>
      </c>
      <c r="Q794" s="74">
        <v>40858</v>
      </c>
      <c r="R794" s="74"/>
      <c r="S794" s="72" t="s">
        <v>17</v>
      </c>
      <c r="T794" s="80" t="s">
        <v>4</v>
      </c>
      <c r="U794" s="72" t="s">
        <v>14</v>
      </c>
      <c r="V794" s="72" t="s">
        <v>1932</v>
      </c>
      <c r="W794" s="72" t="s">
        <v>1937</v>
      </c>
      <c r="X794" s="72" t="s">
        <v>50</v>
      </c>
      <c r="Y794" s="72" t="s">
        <v>3046</v>
      </c>
      <c r="Z794" s="72" t="s">
        <v>4</v>
      </c>
      <c r="AA794" s="147" t="s">
        <v>2912</v>
      </c>
    </row>
    <row r="795" spans="1:27" ht="18.600000000000001" customHeight="1">
      <c r="A795" s="140" t="str">
        <f>IF(priority(Main[[#This Row],[Comments]])&lt;&gt;0, priority(Main[[#This Row],[Comments]]),"")</f>
        <v/>
      </c>
      <c r="B795" s="90" t="s">
        <v>1645</v>
      </c>
      <c r="C795" s="72" t="s">
        <v>4</v>
      </c>
      <c r="D795" s="73" t="s">
        <v>97</v>
      </c>
      <c r="E795" s="74"/>
      <c r="F795" s="74"/>
      <c r="G795" s="75" t="str">
        <f>IF(stdProdLT(Main[[#This Row],[Comments]])=0.1,"N/A",IF(stdProdLT(Main[[#This Row],[Comments]])=0,"",stdProdLT(Main[[#This Row],[Comments]])))</f>
        <v/>
      </c>
      <c r="H795" s="76" t="str">
        <f>IF(AND(Main[[#This Row],[In Stock Date]]&lt;&gt;"",Main[[#This Row],[Revised Due Date]]&lt;&gt;""),Main[[#This Row],[In Stock Date]]-Main[[#This Row],[Revised Due Date]],"")</f>
        <v/>
      </c>
      <c r="I795" s="72" t="s">
        <v>4</v>
      </c>
      <c r="J795" s="72" t="s">
        <v>4</v>
      </c>
      <c r="K795" s="72" t="s">
        <v>4</v>
      </c>
      <c r="L795" s="74"/>
      <c r="M795" s="77" t="str">
        <f>IF(Main[[#This Row],[Tech Start Date]]&lt;1/1/1990,"",IF(Main[[#This Row],[Class]]="C",WORKDAY(Main[[#This Row],[Tech Start Date]],9),IF(Main[[#This Row],[Class]]="B", WORKDAY(Main[[#This Row],[Tech Start Date]],6),IF(Main[[#This Row],[Class]]="A",WORKDAY(Main[[#This Row],[Tech Start Date]],2),""))))</f>
        <v/>
      </c>
      <c r="N795" s="77" t="str">
        <f>IF(Main[[#This Row],[Tech Start Date]]&lt;1/1/1990,"",IF(Main[[#This Row],[Class]]="C",WORKDAY(Main[[#This Row],[Tech Start Date]],19),IF(Main[[#This Row],[Class]]="B", WORKDAY(Main[[#This Row],[Tech Start Date]],12),IF(Main[[#This Row],[Class]]="A",WORKDAY(Main[[#This Row],[Tech Start Date]],4),""))))</f>
        <v/>
      </c>
      <c r="O795" s="77" t="str">
        <f>IF(Main[[#This Row],[Tech Start Date]]&lt;1/1/1990,"",IF(Main[[#This Row],[Class]]="C",WORKDAY(Main[[#This Row],[Tech Start Date]],23),IF(Main[[#This Row],[Class]]="B", WORKDAY(Main[[#This Row],[Tech Start Date]],15),IF(Main[[#This Row],[Class]]="A",WORKDAY(Main[[#This Row],[Tech Start Date]],5),""))))</f>
        <v/>
      </c>
      <c r="P795" s="77" t="str">
        <f>IF(Main[[#This Row],[Tech Start Date]]&lt;1/1/1990,"",IF(Main[[#This Row],[Class]]="C",WORKDAY(Main[[#This Row],[Tech Start Date]],28),IF(Main[[#This Row],[Class]]="B", WORKDAY(Main[[#This Row],[Tech Start Date]],19),IF(Main[[#This Row],[Class]]="A",WORKDAY(Main[[#This Row],[Tech Start Date]],9),""))))</f>
        <v/>
      </c>
      <c r="Q795" s="74">
        <v>40858</v>
      </c>
      <c r="R795" s="74"/>
      <c r="S795" s="72" t="s">
        <v>17</v>
      </c>
      <c r="T795" s="80" t="s">
        <v>4</v>
      </c>
      <c r="U795" s="72" t="s">
        <v>12</v>
      </c>
      <c r="V795" s="72" t="s">
        <v>1932</v>
      </c>
      <c r="W795" s="72" t="s">
        <v>1937</v>
      </c>
      <c r="X795" s="72" t="s">
        <v>50</v>
      </c>
      <c r="Y795" s="72" t="s">
        <v>3046</v>
      </c>
      <c r="Z795" s="72" t="s">
        <v>4</v>
      </c>
      <c r="AA795" s="147" t="s">
        <v>2912</v>
      </c>
    </row>
    <row r="796" spans="1:27" ht="18.600000000000001" customHeight="1">
      <c r="A796" s="140" t="str">
        <f>IF(priority(Main[[#This Row],[Comments]])&lt;&gt;0, priority(Main[[#This Row],[Comments]]),"")</f>
        <v/>
      </c>
      <c r="B796" s="90" t="s">
        <v>1646</v>
      </c>
      <c r="C796" s="72" t="s">
        <v>4</v>
      </c>
      <c r="D796" s="73" t="s">
        <v>712</v>
      </c>
      <c r="E796" s="74">
        <v>40455.919641203705</v>
      </c>
      <c r="F796" s="74"/>
      <c r="G796" s="75" t="str">
        <f>IF(stdProdLT(Main[[#This Row],[Comments]])=0.1,"N/A",IF(stdProdLT(Main[[#This Row],[Comments]])=0,"",stdProdLT(Main[[#This Row],[Comments]])))</f>
        <v/>
      </c>
      <c r="H796" s="76" t="str">
        <f>IF(AND(Main[[#This Row],[In Stock Date]]&lt;&gt;"",Main[[#This Row],[Revised Due Date]]&lt;&gt;""),Main[[#This Row],[In Stock Date]]-Main[[#This Row],[Revised Due Date]],"")</f>
        <v/>
      </c>
      <c r="I796" s="72" t="s">
        <v>4</v>
      </c>
      <c r="J796" s="72" t="s">
        <v>28</v>
      </c>
      <c r="K796" s="72" t="s">
        <v>1944</v>
      </c>
      <c r="L796" s="74"/>
      <c r="M796" s="77" t="str">
        <f>IF(Main[[#This Row],[Tech Start Date]]&lt;1/1/1990,"",IF(Main[[#This Row],[Class]]="C",WORKDAY(Main[[#This Row],[Tech Start Date]],9),IF(Main[[#This Row],[Class]]="B", WORKDAY(Main[[#This Row],[Tech Start Date]],6),IF(Main[[#This Row],[Class]]="A",WORKDAY(Main[[#This Row],[Tech Start Date]],2),""))))</f>
        <v/>
      </c>
      <c r="N796" s="77" t="str">
        <f>IF(Main[[#This Row],[Tech Start Date]]&lt;1/1/1990,"",IF(Main[[#This Row],[Class]]="C",WORKDAY(Main[[#This Row],[Tech Start Date]],19),IF(Main[[#This Row],[Class]]="B", WORKDAY(Main[[#This Row],[Tech Start Date]],12),IF(Main[[#This Row],[Class]]="A",WORKDAY(Main[[#This Row],[Tech Start Date]],4),""))))</f>
        <v/>
      </c>
      <c r="O796" s="77" t="str">
        <f>IF(Main[[#This Row],[Tech Start Date]]&lt;1/1/1990,"",IF(Main[[#This Row],[Class]]="C",WORKDAY(Main[[#This Row],[Tech Start Date]],23),IF(Main[[#This Row],[Class]]="B", WORKDAY(Main[[#This Row],[Tech Start Date]],15),IF(Main[[#This Row],[Class]]="A",WORKDAY(Main[[#This Row],[Tech Start Date]],5),""))))</f>
        <v/>
      </c>
      <c r="P796" s="77" t="str">
        <f>IF(Main[[#This Row],[Tech Start Date]]&lt;1/1/1990,"",IF(Main[[#This Row],[Class]]="C",WORKDAY(Main[[#This Row],[Tech Start Date]],28),IF(Main[[#This Row],[Class]]="B", WORKDAY(Main[[#This Row],[Tech Start Date]],19),IF(Main[[#This Row],[Class]]="A",WORKDAY(Main[[#This Row],[Tech Start Date]],9),""))))</f>
        <v/>
      </c>
      <c r="Q796" s="74">
        <v>40543</v>
      </c>
      <c r="R796" s="74"/>
      <c r="S796" s="72" t="s">
        <v>17</v>
      </c>
      <c r="T796" s="80" t="s">
        <v>4</v>
      </c>
      <c r="U796" s="72" t="s">
        <v>7</v>
      </c>
      <c r="V796" s="72" t="s">
        <v>1932</v>
      </c>
      <c r="W796" s="72" t="s">
        <v>1936</v>
      </c>
      <c r="X796" s="72" t="s">
        <v>129</v>
      </c>
      <c r="Y796" s="72" t="s">
        <v>3020</v>
      </c>
      <c r="Z796" s="72" t="s">
        <v>129</v>
      </c>
      <c r="AA796" s="147" t="s">
        <v>129</v>
      </c>
    </row>
    <row r="797" spans="1:27" ht="18.600000000000001" customHeight="1">
      <c r="A797" s="140" t="str">
        <f>IF(priority(Main[[#This Row],[Comments]])&lt;&gt;0, priority(Main[[#This Row],[Comments]]),"")</f>
        <v/>
      </c>
      <c r="B797" s="90" t="s">
        <v>1647</v>
      </c>
      <c r="C797" s="72" t="s">
        <v>4</v>
      </c>
      <c r="D797" s="73" t="s">
        <v>713</v>
      </c>
      <c r="E797" s="74">
        <v>40711.477789351855</v>
      </c>
      <c r="F797" s="74"/>
      <c r="G797" s="75" t="str">
        <f>IF(stdProdLT(Main[[#This Row],[Comments]])=0.1,"N/A",IF(stdProdLT(Main[[#This Row],[Comments]])=0,"",stdProdLT(Main[[#This Row],[Comments]])))</f>
        <v/>
      </c>
      <c r="H797" s="76" t="str">
        <f>IF(AND(Main[[#This Row],[In Stock Date]]&lt;&gt;"",Main[[#This Row],[Revised Due Date]]&lt;&gt;""),Main[[#This Row],[In Stock Date]]-Main[[#This Row],[Revised Due Date]],"")</f>
        <v/>
      </c>
      <c r="I797" s="72" t="s">
        <v>4</v>
      </c>
      <c r="J797" s="72" t="s">
        <v>4</v>
      </c>
      <c r="K797" s="72" t="s">
        <v>4</v>
      </c>
      <c r="L797" s="74"/>
      <c r="M797" s="77" t="str">
        <f>IF(Main[[#This Row],[Tech Start Date]]&lt;1/1/1990,"",IF(Main[[#This Row],[Class]]="C",WORKDAY(Main[[#This Row],[Tech Start Date]],9),IF(Main[[#This Row],[Class]]="B", WORKDAY(Main[[#This Row],[Tech Start Date]],6),IF(Main[[#This Row],[Class]]="A",WORKDAY(Main[[#This Row],[Tech Start Date]],2),""))))</f>
        <v/>
      </c>
      <c r="N797" s="77" t="str">
        <f>IF(Main[[#This Row],[Tech Start Date]]&lt;1/1/1990,"",IF(Main[[#This Row],[Class]]="C",WORKDAY(Main[[#This Row],[Tech Start Date]],19),IF(Main[[#This Row],[Class]]="B", WORKDAY(Main[[#This Row],[Tech Start Date]],12),IF(Main[[#This Row],[Class]]="A",WORKDAY(Main[[#This Row],[Tech Start Date]],4),""))))</f>
        <v/>
      </c>
      <c r="O797" s="77" t="str">
        <f>IF(Main[[#This Row],[Tech Start Date]]&lt;1/1/1990,"",IF(Main[[#This Row],[Class]]="C",WORKDAY(Main[[#This Row],[Tech Start Date]],23),IF(Main[[#This Row],[Class]]="B", WORKDAY(Main[[#This Row],[Tech Start Date]],15),IF(Main[[#This Row],[Class]]="A",WORKDAY(Main[[#This Row],[Tech Start Date]],5),""))))</f>
        <v/>
      </c>
      <c r="P797" s="77" t="str">
        <f>IF(Main[[#This Row],[Tech Start Date]]&lt;1/1/1990,"",IF(Main[[#This Row],[Class]]="C",WORKDAY(Main[[#This Row],[Tech Start Date]],28),IF(Main[[#This Row],[Class]]="B", WORKDAY(Main[[#This Row],[Tech Start Date]],19),IF(Main[[#This Row],[Class]]="A",WORKDAY(Main[[#This Row],[Tech Start Date]],9),""))))</f>
        <v/>
      </c>
      <c r="Q797" s="74">
        <v>40753</v>
      </c>
      <c r="R797" s="74"/>
      <c r="S797" s="72" t="s">
        <v>6</v>
      </c>
      <c r="T797" s="80" t="s">
        <v>4</v>
      </c>
      <c r="U797" s="72" t="s">
        <v>7</v>
      </c>
      <c r="V797" s="72" t="s">
        <v>1932</v>
      </c>
      <c r="W797" s="72" t="s">
        <v>1940</v>
      </c>
      <c r="X797" s="72" t="s">
        <v>2905</v>
      </c>
      <c r="Y797" s="72" t="s">
        <v>3023</v>
      </c>
      <c r="Z797" s="72" t="s">
        <v>4</v>
      </c>
      <c r="AA797" s="147" t="s">
        <v>2905</v>
      </c>
    </row>
    <row r="798" spans="1:27" ht="18.600000000000001" customHeight="1">
      <c r="A798" s="140" t="str">
        <f>IF(priority(Main[[#This Row],[Comments]])&lt;&gt;0, priority(Main[[#This Row],[Comments]]),"")</f>
        <v/>
      </c>
      <c r="B798" s="90" t="s">
        <v>1649</v>
      </c>
      <c r="C798" s="72" t="s">
        <v>47</v>
      </c>
      <c r="D798" s="73" t="s">
        <v>715</v>
      </c>
      <c r="E798" s="74"/>
      <c r="F798" s="74"/>
      <c r="G798" s="75" t="str">
        <f>IF(stdProdLT(Main[[#This Row],[Comments]])=0.1,"N/A",IF(stdProdLT(Main[[#This Row],[Comments]])=0,"",stdProdLT(Main[[#This Row],[Comments]])))</f>
        <v/>
      </c>
      <c r="H798" s="76" t="str">
        <f>IF(AND(Main[[#This Row],[In Stock Date]]&lt;&gt;"",Main[[#This Row],[Revised Due Date]]&lt;&gt;""),Main[[#This Row],[In Stock Date]]-Main[[#This Row],[Revised Due Date]],"")</f>
        <v/>
      </c>
      <c r="I798" s="72" t="s">
        <v>4</v>
      </c>
      <c r="J798" s="72" t="s">
        <v>4</v>
      </c>
      <c r="K798" s="72" t="s">
        <v>4</v>
      </c>
      <c r="L798" s="74"/>
      <c r="M798" s="77" t="str">
        <f>IF(Main[[#This Row],[Tech Start Date]]&lt;1/1/1990,"",IF(Main[[#This Row],[Class]]="C",WORKDAY(Main[[#This Row],[Tech Start Date]],9),IF(Main[[#This Row],[Class]]="B", WORKDAY(Main[[#This Row],[Tech Start Date]],6),IF(Main[[#This Row],[Class]]="A",WORKDAY(Main[[#This Row],[Tech Start Date]],2),""))))</f>
        <v/>
      </c>
      <c r="N798" s="77" t="str">
        <f>IF(Main[[#This Row],[Tech Start Date]]&lt;1/1/1990,"",IF(Main[[#This Row],[Class]]="C",WORKDAY(Main[[#This Row],[Tech Start Date]],19),IF(Main[[#This Row],[Class]]="B", WORKDAY(Main[[#This Row],[Tech Start Date]],12),IF(Main[[#This Row],[Class]]="A",WORKDAY(Main[[#This Row],[Tech Start Date]],4),""))))</f>
        <v/>
      </c>
      <c r="O798" s="77" t="str">
        <f>IF(Main[[#This Row],[Tech Start Date]]&lt;1/1/1990,"",IF(Main[[#This Row],[Class]]="C",WORKDAY(Main[[#This Row],[Tech Start Date]],23),IF(Main[[#This Row],[Class]]="B", WORKDAY(Main[[#This Row],[Tech Start Date]],15),IF(Main[[#This Row],[Class]]="A",WORKDAY(Main[[#This Row],[Tech Start Date]],5),""))))</f>
        <v/>
      </c>
      <c r="P798" s="77" t="str">
        <f>IF(Main[[#This Row],[Tech Start Date]]&lt;1/1/1990,"",IF(Main[[#This Row],[Class]]="C",WORKDAY(Main[[#This Row],[Tech Start Date]],28),IF(Main[[#This Row],[Class]]="B", WORKDAY(Main[[#This Row],[Tech Start Date]],19),IF(Main[[#This Row],[Class]]="A",WORKDAY(Main[[#This Row],[Tech Start Date]],9),""))))</f>
        <v/>
      </c>
      <c r="Q798" s="74"/>
      <c r="R798" s="74"/>
      <c r="S798" s="72" t="s">
        <v>49</v>
      </c>
      <c r="T798" s="80" t="s">
        <v>4</v>
      </c>
      <c r="U798" s="72" t="s">
        <v>14</v>
      </c>
      <c r="V798" s="72" t="s">
        <v>1935</v>
      </c>
      <c r="W798" s="72" t="s">
        <v>1936</v>
      </c>
      <c r="X798" s="72" t="s">
        <v>310</v>
      </c>
      <c r="Y798" s="72" t="s">
        <v>3028</v>
      </c>
      <c r="Z798" s="72" t="s">
        <v>4</v>
      </c>
      <c r="AA798" s="147" t="s">
        <v>3564</v>
      </c>
    </row>
    <row r="799" spans="1:27" ht="18.600000000000001" customHeight="1">
      <c r="A799" s="140" t="str">
        <f>IF(priority(Main[[#This Row],[Comments]])&lt;&gt;0, priority(Main[[#This Row],[Comments]]),"")</f>
        <v/>
      </c>
      <c r="B799" s="90" t="s">
        <v>1473</v>
      </c>
      <c r="C799" s="72" t="s">
        <v>4</v>
      </c>
      <c r="D799" s="73" t="s">
        <v>529</v>
      </c>
      <c r="E799" s="74">
        <v>40926.590763888889</v>
      </c>
      <c r="F799" s="74"/>
      <c r="G799" s="75" t="str">
        <f>IF(stdProdLT(Main[[#This Row],[Comments]])=0.1,"N/A",IF(stdProdLT(Main[[#This Row],[Comments]])=0,"",stdProdLT(Main[[#This Row],[Comments]])))</f>
        <v/>
      </c>
      <c r="H799" s="76" t="str">
        <f>IF(AND(Main[[#This Row],[In Stock Date]]&lt;&gt;"",Main[[#This Row],[Revised Due Date]]&lt;&gt;""),Main[[#This Row],[In Stock Date]]-Main[[#This Row],[Revised Due Date]],"")</f>
        <v/>
      </c>
      <c r="I799" s="72" t="s">
        <v>535</v>
      </c>
      <c r="J799" s="72" t="s">
        <v>28</v>
      </c>
      <c r="K799" s="72" t="s">
        <v>1941</v>
      </c>
      <c r="L799" s="74"/>
      <c r="M799" s="77" t="str">
        <f>IF(Main[[#This Row],[Tech Start Date]]&lt;1/1/1990,"",IF(Main[[#This Row],[Class]]="C",WORKDAY(Main[[#This Row],[Tech Start Date]],9),IF(Main[[#This Row],[Class]]="B", WORKDAY(Main[[#This Row],[Tech Start Date]],6),IF(Main[[#This Row],[Class]]="A",WORKDAY(Main[[#This Row],[Tech Start Date]],2),""))))</f>
        <v/>
      </c>
      <c r="N799" s="77" t="str">
        <f>IF(Main[[#This Row],[Tech Start Date]]&lt;1/1/1990,"",IF(Main[[#This Row],[Class]]="C",WORKDAY(Main[[#This Row],[Tech Start Date]],19),IF(Main[[#This Row],[Class]]="B", WORKDAY(Main[[#This Row],[Tech Start Date]],12),IF(Main[[#This Row],[Class]]="A",WORKDAY(Main[[#This Row],[Tech Start Date]],4),""))))</f>
        <v/>
      </c>
      <c r="O799" s="77" t="str">
        <f>IF(Main[[#This Row],[Tech Start Date]]&lt;1/1/1990,"",IF(Main[[#This Row],[Class]]="C",WORKDAY(Main[[#This Row],[Tech Start Date]],23),IF(Main[[#This Row],[Class]]="B", WORKDAY(Main[[#This Row],[Tech Start Date]],15),IF(Main[[#This Row],[Class]]="A",WORKDAY(Main[[#This Row],[Tech Start Date]],5),""))))</f>
        <v/>
      </c>
      <c r="P799" s="77" t="str">
        <f>IF(Main[[#This Row],[Tech Start Date]]&lt;1/1/1990,"",IF(Main[[#This Row],[Class]]="C",WORKDAY(Main[[#This Row],[Tech Start Date]],28),IF(Main[[#This Row],[Class]]="B", WORKDAY(Main[[#This Row],[Tech Start Date]],19),IF(Main[[#This Row],[Class]]="A",WORKDAY(Main[[#This Row],[Tech Start Date]],9),""))))</f>
        <v/>
      </c>
      <c r="Q799" s="74"/>
      <c r="R799" s="74"/>
      <c r="S799" s="72" t="s">
        <v>6</v>
      </c>
      <c r="T799" s="80" t="s">
        <v>4</v>
      </c>
      <c r="U799" s="72" t="s">
        <v>29</v>
      </c>
      <c r="V799" s="72" t="s">
        <v>1935</v>
      </c>
      <c r="W799" s="72" t="s">
        <v>1936</v>
      </c>
      <c r="X799" s="72" t="s">
        <v>2903</v>
      </c>
      <c r="Y799" s="72" t="s">
        <v>3019</v>
      </c>
      <c r="Z799" s="72" t="s">
        <v>30</v>
      </c>
      <c r="AA799" s="147" t="s">
        <v>2903</v>
      </c>
    </row>
    <row r="800" spans="1:27" ht="18.600000000000001" customHeight="1">
      <c r="A800" s="140" t="str">
        <f>IF(priority(Main[[#This Row],[Comments]])&lt;&gt;0, priority(Main[[#This Row],[Comments]]),"")</f>
        <v/>
      </c>
      <c r="B800" s="90" t="s">
        <v>2069</v>
      </c>
      <c r="C800" s="72" t="s">
        <v>4</v>
      </c>
      <c r="D800" s="73" t="s">
        <v>2070</v>
      </c>
      <c r="E800" s="74">
        <v>40753.114606481482</v>
      </c>
      <c r="F800" s="74"/>
      <c r="G800" s="75" t="str">
        <f>IF(stdProdLT(Main[[#This Row],[Comments]])=0.1,"N/A",IF(stdProdLT(Main[[#This Row],[Comments]])=0,"",stdProdLT(Main[[#This Row],[Comments]])))</f>
        <v/>
      </c>
      <c r="H800" s="76" t="str">
        <f>IF(AND(Main[[#This Row],[In Stock Date]]&lt;&gt;"",Main[[#This Row],[Revised Due Date]]&lt;&gt;""),Main[[#This Row],[In Stock Date]]-Main[[#This Row],[Revised Due Date]],"")</f>
        <v/>
      </c>
      <c r="I800" s="72" t="s">
        <v>4</v>
      </c>
      <c r="J800" s="72" t="s">
        <v>4</v>
      </c>
      <c r="K800" s="72" t="s">
        <v>4</v>
      </c>
      <c r="L800" s="74"/>
      <c r="M800" s="77" t="str">
        <f>IF(Main[[#This Row],[Tech Start Date]]&lt;1/1/1990,"",IF(Main[[#This Row],[Class]]="C",WORKDAY(Main[[#This Row],[Tech Start Date]],9),IF(Main[[#This Row],[Class]]="B", WORKDAY(Main[[#This Row],[Tech Start Date]],6),IF(Main[[#This Row],[Class]]="A",WORKDAY(Main[[#This Row],[Tech Start Date]],2),""))))</f>
        <v/>
      </c>
      <c r="N800" s="77" t="str">
        <f>IF(Main[[#This Row],[Tech Start Date]]&lt;1/1/1990,"",IF(Main[[#This Row],[Class]]="C",WORKDAY(Main[[#This Row],[Tech Start Date]],19),IF(Main[[#This Row],[Class]]="B", WORKDAY(Main[[#This Row],[Tech Start Date]],12),IF(Main[[#This Row],[Class]]="A",WORKDAY(Main[[#This Row],[Tech Start Date]],4),""))))</f>
        <v/>
      </c>
      <c r="O800" s="77" t="str">
        <f>IF(Main[[#This Row],[Tech Start Date]]&lt;1/1/1990,"",IF(Main[[#This Row],[Class]]="C",WORKDAY(Main[[#This Row],[Tech Start Date]],23),IF(Main[[#This Row],[Class]]="B", WORKDAY(Main[[#This Row],[Tech Start Date]],15),IF(Main[[#This Row],[Class]]="A",WORKDAY(Main[[#This Row],[Tech Start Date]],5),""))))</f>
        <v/>
      </c>
      <c r="P800" s="77" t="str">
        <f>IF(Main[[#This Row],[Tech Start Date]]&lt;1/1/1990,"",IF(Main[[#This Row],[Class]]="C",WORKDAY(Main[[#This Row],[Tech Start Date]],28),IF(Main[[#This Row],[Class]]="B", WORKDAY(Main[[#This Row],[Tech Start Date]],19),IF(Main[[#This Row],[Class]]="A",WORKDAY(Main[[#This Row],[Tech Start Date]],9),""))))</f>
        <v/>
      </c>
      <c r="Q800" s="74">
        <v>40786</v>
      </c>
      <c r="R800" s="74"/>
      <c r="S800" s="72" t="s">
        <v>6</v>
      </c>
      <c r="T800" s="80" t="s">
        <v>4</v>
      </c>
      <c r="U800" s="72" t="s">
        <v>7</v>
      </c>
      <c r="V800" s="72" t="s">
        <v>1932</v>
      </c>
      <c r="W800" s="72" t="s">
        <v>4</v>
      </c>
      <c r="X800" s="72" t="s">
        <v>2906</v>
      </c>
      <c r="Y800" s="72" t="s">
        <v>3025</v>
      </c>
      <c r="Z800" s="72" t="s">
        <v>4</v>
      </c>
      <c r="AA800" s="147" t="s">
        <v>2906</v>
      </c>
    </row>
    <row r="801" spans="1:27" ht="18.600000000000001" customHeight="1">
      <c r="A801" s="140" t="str">
        <f>IF(priority(Main[[#This Row],[Comments]])&lt;&gt;0, priority(Main[[#This Row],[Comments]]),"")</f>
        <v/>
      </c>
      <c r="B801" s="90" t="s">
        <v>1657</v>
      </c>
      <c r="C801" s="72" t="s">
        <v>4</v>
      </c>
      <c r="D801" s="73" t="s">
        <v>39</v>
      </c>
      <c r="E801" s="74"/>
      <c r="F801" s="74"/>
      <c r="G801" s="75" t="str">
        <f>IF(stdProdLT(Main[[#This Row],[Comments]])=0.1,"N/A",IF(stdProdLT(Main[[#This Row],[Comments]])=0,"",stdProdLT(Main[[#This Row],[Comments]])))</f>
        <v/>
      </c>
      <c r="H801" s="76" t="str">
        <f>IF(AND(Main[[#This Row],[In Stock Date]]&lt;&gt;"",Main[[#This Row],[Revised Due Date]]&lt;&gt;""),Main[[#This Row],[In Stock Date]]-Main[[#This Row],[Revised Due Date]],"")</f>
        <v/>
      </c>
      <c r="I801" s="72" t="s">
        <v>4</v>
      </c>
      <c r="J801" s="72" t="s">
        <v>4</v>
      </c>
      <c r="K801" s="72" t="s">
        <v>4</v>
      </c>
      <c r="L801" s="74"/>
      <c r="M801" s="77" t="str">
        <f>IF(Main[[#This Row],[Tech Start Date]]&lt;1/1/1990,"",IF(Main[[#This Row],[Class]]="C",WORKDAY(Main[[#This Row],[Tech Start Date]],9),IF(Main[[#This Row],[Class]]="B", WORKDAY(Main[[#This Row],[Tech Start Date]],6),IF(Main[[#This Row],[Class]]="A",WORKDAY(Main[[#This Row],[Tech Start Date]],2),""))))</f>
        <v/>
      </c>
      <c r="N801" s="77" t="str">
        <f>IF(Main[[#This Row],[Tech Start Date]]&lt;1/1/1990,"",IF(Main[[#This Row],[Class]]="C",WORKDAY(Main[[#This Row],[Tech Start Date]],19),IF(Main[[#This Row],[Class]]="B", WORKDAY(Main[[#This Row],[Tech Start Date]],12),IF(Main[[#This Row],[Class]]="A",WORKDAY(Main[[#This Row],[Tech Start Date]],4),""))))</f>
        <v/>
      </c>
      <c r="O801" s="77" t="str">
        <f>IF(Main[[#This Row],[Tech Start Date]]&lt;1/1/1990,"",IF(Main[[#This Row],[Class]]="C",WORKDAY(Main[[#This Row],[Tech Start Date]],23),IF(Main[[#This Row],[Class]]="B", WORKDAY(Main[[#This Row],[Tech Start Date]],15),IF(Main[[#This Row],[Class]]="A",WORKDAY(Main[[#This Row],[Tech Start Date]],5),""))))</f>
        <v/>
      </c>
      <c r="P801" s="77" t="str">
        <f>IF(Main[[#This Row],[Tech Start Date]]&lt;1/1/1990,"",IF(Main[[#This Row],[Class]]="C",WORKDAY(Main[[#This Row],[Tech Start Date]],28),IF(Main[[#This Row],[Class]]="B", WORKDAY(Main[[#This Row],[Tech Start Date]],19),IF(Main[[#This Row],[Class]]="A",WORKDAY(Main[[#This Row],[Tech Start Date]],9),""))))</f>
        <v/>
      </c>
      <c r="Q801" s="74">
        <v>40669</v>
      </c>
      <c r="R801" s="74"/>
      <c r="S801" s="72" t="s">
        <v>6</v>
      </c>
      <c r="T801" s="80" t="s">
        <v>4</v>
      </c>
      <c r="U801" s="72" t="s">
        <v>14</v>
      </c>
      <c r="V801" s="72" t="s">
        <v>1935</v>
      </c>
      <c r="W801" s="72" t="s">
        <v>4</v>
      </c>
      <c r="X801" s="72" t="s">
        <v>2902</v>
      </c>
      <c r="Y801" s="72" t="s">
        <v>3016</v>
      </c>
      <c r="Z801" s="72" t="s">
        <v>4</v>
      </c>
      <c r="AA801" s="147" t="s">
        <v>2902</v>
      </c>
    </row>
    <row r="802" spans="1:27" ht="18.600000000000001" customHeight="1">
      <c r="A802" s="140" t="str">
        <f>IF(priority(Main[[#This Row],[Comments]])&lt;&gt;0, priority(Main[[#This Row],[Comments]]),"")</f>
        <v/>
      </c>
      <c r="B802" s="90" t="s">
        <v>1655</v>
      </c>
      <c r="C802" s="72" t="s">
        <v>67</v>
      </c>
      <c r="D802" s="73" t="s">
        <v>719</v>
      </c>
      <c r="E802" s="74"/>
      <c r="F802" s="74">
        <v>40751</v>
      </c>
      <c r="G802" s="75" t="str">
        <f>IF(stdProdLT(Main[[#This Row],[Comments]])=0.1,"N/A",IF(stdProdLT(Main[[#This Row],[Comments]])=0,"",stdProdLT(Main[[#This Row],[Comments]])))</f>
        <v/>
      </c>
      <c r="H802" s="76" t="str">
        <f>IF(AND(Main[[#This Row],[In Stock Date]]&lt;&gt;"",Main[[#This Row],[Revised Due Date]]&lt;&gt;""),Main[[#This Row],[In Stock Date]]-Main[[#This Row],[Revised Due Date]],"")</f>
        <v/>
      </c>
      <c r="I802" s="72" t="s">
        <v>4</v>
      </c>
      <c r="J802" s="72" t="s">
        <v>28</v>
      </c>
      <c r="K802" s="81" t="s">
        <v>1944</v>
      </c>
      <c r="L802" s="74"/>
      <c r="M802" s="77" t="str">
        <f>IF(Main[[#This Row],[Tech Start Date]]&lt;1/1/1990,"",IF(Main[[#This Row],[Class]]="C",WORKDAY(Main[[#This Row],[Tech Start Date]],9),IF(Main[[#This Row],[Class]]="B", WORKDAY(Main[[#This Row],[Tech Start Date]],6),IF(Main[[#This Row],[Class]]="A",WORKDAY(Main[[#This Row],[Tech Start Date]],2),""))))</f>
        <v/>
      </c>
      <c r="N802" s="77" t="str">
        <f>IF(Main[[#This Row],[Tech Start Date]]&lt;1/1/1990,"",IF(Main[[#This Row],[Class]]="C",WORKDAY(Main[[#This Row],[Tech Start Date]],19),IF(Main[[#This Row],[Class]]="B", WORKDAY(Main[[#This Row],[Tech Start Date]],12),IF(Main[[#This Row],[Class]]="A",WORKDAY(Main[[#This Row],[Tech Start Date]],4),""))))</f>
        <v/>
      </c>
      <c r="O802" s="77" t="str">
        <f>IF(Main[[#This Row],[Tech Start Date]]&lt;1/1/1990,"",IF(Main[[#This Row],[Class]]="C",WORKDAY(Main[[#This Row],[Tech Start Date]],23),IF(Main[[#This Row],[Class]]="B", WORKDAY(Main[[#This Row],[Tech Start Date]],15),IF(Main[[#This Row],[Class]]="A",WORKDAY(Main[[#This Row],[Tech Start Date]],5),""))))</f>
        <v/>
      </c>
      <c r="P802" s="77" t="str">
        <f>IF(Main[[#This Row],[Tech Start Date]]&lt;1/1/1990,"",IF(Main[[#This Row],[Class]]="C",WORKDAY(Main[[#This Row],[Tech Start Date]],28),IF(Main[[#This Row],[Class]]="B", WORKDAY(Main[[#This Row],[Tech Start Date]],19),IF(Main[[#This Row],[Class]]="A",WORKDAY(Main[[#This Row],[Tech Start Date]],9),""))))</f>
        <v/>
      </c>
      <c r="Q802" s="74">
        <v>40581</v>
      </c>
      <c r="R802" s="74"/>
      <c r="S802" s="72" t="s">
        <v>17</v>
      </c>
      <c r="T802" s="80" t="s">
        <v>4</v>
      </c>
      <c r="U802" s="72" t="s">
        <v>14</v>
      </c>
      <c r="V802" s="72" t="s">
        <v>1935</v>
      </c>
      <c r="W802" s="72" t="s">
        <v>1938</v>
      </c>
      <c r="X802" s="72" t="s">
        <v>2913</v>
      </c>
      <c r="Y802" s="72" t="s">
        <v>3038</v>
      </c>
      <c r="Z802" s="72" t="s">
        <v>980</v>
      </c>
      <c r="AA802" s="147" t="s">
        <v>2913</v>
      </c>
    </row>
    <row r="803" spans="1:27" ht="18.600000000000001" customHeight="1">
      <c r="A803" s="140" t="str">
        <f>IF(priority(Main[[#This Row],[Comments]])&lt;&gt;0, priority(Main[[#This Row],[Comments]]),"")</f>
        <v/>
      </c>
      <c r="B803" s="90" t="s">
        <v>1576</v>
      </c>
      <c r="C803" s="72" t="s">
        <v>93</v>
      </c>
      <c r="D803" s="73" t="s">
        <v>645</v>
      </c>
      <c r="E803" s="74"/>
      <c r="F803" s="74">
        <v>40132</v>
      </c>
      <c r="G803" s="75" t="str">
        <f>IF(stdProdLT(Main[[#This Row],[Comments]])=0.1,"N/A",IF(stdProdLT(Main[[#This Row],[Comments]])=0,"",stdProdLT(Main[[#This Row],[Comments]])))</f>
        <v/>
      </c>
      <c r="H803" s="76" t="str">
        <f>IF(AND(Main[[#This Row],[In Stock Date]]&lt;&gt;"",Main[[#This Row],[Revised Due Date]]&lt;&gt;""),Main[[#This Row],[In Stock Date]]-Main[[#This Row],[Revised Due Date]],"")</f>
        <v/>
      </c>
      <c r="I803" s="72" t="s">
        <v>4</v>
      </c>
      <c r="J803" s="72" t="s">
        <v>4</v>
      </c>
      <c r="K803" s="72" t="s">
        <v>4</v>
      </c>
      <c r="L803" s="74"/>
      <c r="M803" s="77" t="str">
        <f>IF(Main[[#This Row],[Tech Start Date]]&lt;1/1/1990,"",IF(Main[[#This Row],[Class]]="C",WORKDAY(Main[[#This Row],[Tech Start Date]],9),IF(Main[[#This Row],[Class]]="B", WORKDAY(Main[[#This Row],[Tech Start Date]],6),IF(Main[[#This Row],[Class]]="A",WORKDAY(Main[[#This Row],[Tech Start Date]],2),""))))</f>
        <v/>
      </c>
      <c r="N803" s="77" t="str">
        <f>IF(Main[[#This Row],[Tech Start Date]]&lt;1/1/1990,"",IF(Main[[#This Row],[Class]]="C",WORKDAY(Main[[#This Row],[Tech Start Date]],19),IF(Main[[#This Row],[Class]]="B", WORKDAY(Main[[#This Row],[Tech Start Date]],12),IF(Main[[#This Row],[Class]]="A",WORKDAY(Main[[#This Row],[Tech Start Date]],4),""))))</f>
        <v/>
      </c>
      <c r="O803" s="77" t="str">
        <f>IF(Main[[#This Row],[Tech Start Date]]&lt;1/1/1990,"",IF(Main[[#This Row],[Class]]="C",WORKDAY(Main[[#This Row],[Tech Start Date]],23),IF(Main[[#This Row],[Class]]="B", WORKDAY(Main[[#This Row],[Tech Start Date]],15),IF(Main[[#This Row],[Class]]="A",WORKDAY(Main[[#This Row],[Tech Start Date]],5),""))))</f>
        <v/>
      </c>
      <c r="P803" s="77" t="str">
        <f>IF(Main[[#This Row],[Tech Start Date]]&lt;1/1/1990,"",IF(Main[[#This Row],[Class]]="C",WORKDAY(Main[[#This Row],[Tech Start Date]],28),IF(Main[[#This Row],[Class]]="B", WORKDAY(Main[[#This Row],[Tech Start Date]],19),IF(Main[[#This Row],[Class]]="A",WORKDAY(Main[[#This Row],[Tech Start Date]],9),""))))</f>
        <v/>
      </c>
      <c r="Q803" s="74">
        <v>40132</v>
      </c>
      <c r="R803" s="74"/>
      <c r="S803" s="72" t="s">
        <v>11</v>
      </c>
      <c r="T803" s="80" t="s">
        <v>4</v>
      </c>
      <c r="U803" s="72" t="s">
        <v>14</v>
      </c>
      <c r="V803" s="72" t="s">
        <v>1935</v>
      </c>
      <c r="W803" s="72" t="s">
        <v>1943</v>
      </c>
      <c r="X803" s="72" t="s">
        <v>2940</v>
      </c>
      <c r="Y803" s="72" t="s">
        <v>4</v>
      </c>
      <c r="Z803" s="72" t="s">
        <v>4</v>
      </c>
      <c r="AA803" s="147" t="s">
        <v>2940</v>
      </c>
    </row>
    <row r="804" spans="1:27" ht="18.600000000000001" customHeight="1">
      <c r="A804" s="140" t="str">
        <f>IF(priority(Main[[#This Row],[Comments]])&lt;&gt;0, priority(Main[[#This Row],[Comments]]),"")</f>
        <v/>
      </c>
      <c r="B804" s="90" t="s">
        <v>3370</v>
      </c>
      <c r="C804" s="72" t="s">
        <v>3371</v>
      </c>
      <c r="D804" s="73" t="s">
        <v>3372</v>
      </c>
      <c r="E804" s="74">
        <v>40931.373113425929</v>
      </c>
      <c r="F804" s="74"/>
      <c r="G804" s="75" t="str">
        <f>IF(stdProdLT(Main[[#This Row],[Comments]])=0.1,"N/A",IF(stdProdLT(Main[[#This Row],[Comments]])=0,"",stdProdLT(Main[[#This Row],[Comments]])))</f>
        <v/>
      </c>
      <c r="H804" s="76" t="str">
        <f>IF(AND(Main[[#This Row],[In Stock Date]]&lt;&gt;"",Main[[#This Row],[Revised Due Date]]&lt;&gt;""),Main[[#This Row],[In Stock Date]]-Main[[#This Row],[Revised Due Date]],"")</f>
        <v/>
      </c>
      <c r="I804" s="72" t="s">
        <v>953</v>
      </c>
      <c r="J804" s="72" t="s">
        <v>28</v>
      </c>
      <c r="K804" s="72" t="s">
        <v>1941</v>
      </c>
      <c r="L804" s="74"/>
      <c r="M804" s="77" t="str">
        <f>IF(Main[[#This Row],[Tech Start Date]]&lt;1/1/1990,"",IF(Main[[#This Row],[Class]]="C",WORKDAY(Main[[#This Row],[Tech Start Date]],9),IF(Main[[#This Row],[Class]]="B", WORKDAY(Main[[#This Row],[Tech Start Date]],6),IF(Main[[#This Row],[Class]]="A",WORKDAY(Main[[#This Row],[Tech Start Date]],2),""))))</f>
        <v/>
      </c>
      <c r="N804" s="77" t="str">
        <f>IF(Main[[#This Row],[Tech Start Date]]&lt;1/1/1990,"",IF(Main[[#This Row],[Class]]="C",WORKDAY(Main[[#This Row],[Tech Start Date]],19),IF(Main[[#This Row],[Class]]="B", WORKDAY(Main[[#This Row],[Tech Start Date]],12),IF(Main[[#This Row],[Class]]="A",WORKDAY(Main[[#This Row],[Tech Start Date]],4),""))))</f>
        <v/>
      </c>
      <c r="O804" s="77" t="str">
        <f>IF(Main[[#This Row],[Tech Start Date]]&lt;1/1/1990,"",IF(Main[[#This Row],[Class]]="C",WORKDAY(Main[[#This Row],[Tech Start Date]],23),IF(Main[[#This Row],[Class]]="B", WORKDAY(Main[[#This Row],[Tech Start Date]],15),IF(Main[[#This Row],[Class]]="A",WORKDAY(Main[[#This Row],[Tech Start Date]],5),""))))</f>
        <v/>
      </c>
      <c r="P804" s="77" t="str">
        <f>IF(Main[[#This Row],[Tech Start Date]]&lt;1/1/1990,"",IF(Main[[#This Row],[Class]]="C",WORKDAY(Main[[#This Row],[Tech Start Date]],28),IF(Main[[#This Row],[Class]]="B", WORKDAY(Main[[#This Row],[Tech Start Date]],19),IF(Main[[#This Row],[Class]]="A",WORKDAY(Main[[#This Row],[Tech Start Date]],9),""))))</f>
        <v/>
      </c>
      <c r="Q804" s="74"/>
      <c r="R804" s="74"/>
      <c r="S804" s="72" t="s">
        <v>6</v>
      </c>
      <c r="T804" s="80" t="s">
        <v>3373</v>
      </c>
      <c r="U804" s="72" t="s">
        <v>29</v>
      </c>
      <c r="V804" s="72" t="s">
        <v>1933</v>
      </c>
      <c r="W804" s="72" t="s">
        <v>1936</v>
      </c>
      <c r="X804" s="72" t="s">
        <v>2899</v>
      </c>
      <c r="Y804" s="72" t="s">
        <v>3080</v>
      </c>
      <c r="Z804" s="72" t="s">
        <v>2075</v>
      </c>
      <c r="AA804" s="147" t="s">
        <v>2899</v>
      </c>
    </row>
    <row r="805" spans="1:27" ht="18.600000000000001" customHeight="1">
      <c r="A805" s="140" t="str">
        <f>IF(priority(Main[[#This Row],[Comments]])&lt;&gt;0, priority(Main[[#This Row],[Comments]]),"")</f>
        <v/>
      </c>
      <c r="B805" s="90" t="s">
        <v>1577</v>
      </c>
      <c r="C805" s="72" t="s">
        <v>4</v>
      </c>
      <c r="D805" s="73" t="s">
        <v>646</v>
      </c>
      <c r="E805" s="74"/>
      <c r="F805" s="74">
        <v>40602</v>
      </c>
      <c r="G805" s="75" t="str">
        <f>IF(stdProdLT(Main[[#This Row],[Comments]])=0.1,"N/A",IF(stdProdLT(Main[[#This Row],[Comments]])=0,"",stdProdLT(Main[[#This Row],[Comments]])))</f>
        <v/>
      </c>
      <c r="H805" s="76" t="str">
        <f>IF(AND(Main[[#This Row],[In Stock Date]]&lt;&gt;"",Main[[#This Row],[Revised Due Date]]&lt;&gt;""),Main[[#This Row],[In Stock Date]]-Main[[#This Row],[Revised Due Date]],"")</f>
        <v/>
      </c>
      <c r="I805" s="72" t="s">
        <v>403</v>
      </c>
      <c r="J805" s="72" t="s">
        <v>75</v>
      </c>
      <c r="K805" s="72" t="s">
        <v>1941</v>
      </c>
      <c r="L805" s="74"/>
      <c r="M805" s="77" t="str">
        <f>IF(Main[[#This Row],[Tech Start Date]]&lt;1/1/1990,"",IF(Main[[#This Row],[Class]]="C",WORKDAY(Main[[#This Row],[Tech Start Date]],9),IF(Main[[#This Row],[Class]]="B", WORKDAY(Main[[#This Row],[Tech Start Date]],6),IF(Main[[#This Row],[Class]]="A",WORKDAY(Main[[#This Row],[Tech Start Date]],2),""))))</f>
        <v/>
      </c>
      <c r="N805" s="77" t="str">
        <f>IF(Main[[#This Row],[Tech Start Date]]&lt;1/1/1990,"",IF(Main[[#This Row],[Class]]="C",WORKDAY(Main[[#This Row],[Tech Start Date]],19),IF(Main[[#This Row],[Class]]="B", WORKDAY(Main[[#This Row],[Tech Start Date]],12),IF(Main[[#This Row],[Class]]="A",WORKDAY(Main[[#This Row],[Tech Start Date]],4),""))))</f>
        <v/>
      </c>
      <c r="O805" s="77" t="str">
        <f>IF(Main[[#This Row],[Tech Start Date]]&lt;1/1/1990,"",IF(Main[[#This Row],[Class]]="C",WORKDAY(Main[[#This Row],[Tech Start Date]],23),IF(Main[[#This Row],[Class]]="B", WORKDAY(Main[[#This Row],[Tech Start Date]],15),IF(Main[[#This Row],[Class]]="A",WORKDAY(Main[[#This Row],[Tech Start Date]],5),""))))</f>
        <v/>
      </c>
      <c r="P805" s="77" t="str">
        <f>IF(Main[[#This Row],[Tech Start Date]]&lt;1/1/1990,"",IF(Main[[#This Row],[Class]]="C",WORKDAY(Main[[#This Row],[Tech Start Date]],28),IF(Main[[#This Row],[Class]]="B", WORKDAY(Main[[#This Row],[Tech Start Date]],19),IF(Main[[#This Row],[Class]]="A",WORKDAY(Main[[#This Row],[Tech Start Date]],9),""))))</f>
        <v/>
      </c>
      <c r="Q805" s="74"/>
      <c r="R805" s="74"/>
      <c r="S805" s="72" t="s">
        <v>11</v>
      </c>
      <c r="T805" s="80" t="s">
        <v>4</v>
      </c>
      <c r="U805" s="72" t="s">
        <v>14</v>
      </c>
      <c r="V805" s="72" t="s">
        <v>1935</v>
      </c>
      <c r="W805" s="72" t="s">
        <v>1938</v>
      </c>
      <c r="X805" s="72" t="s">
        <v>50</v>
      </c>
      <c r="Y805" s="72" t="s">
        <v>3048</v>
      </c>
      <c r="Z805" s="72" t="s">
        <v>310</v>
      </c>
      <c r="AA805" s="147" t="s">
        <v>50</v>
      </c>
    </row>
    <row r="806" spans="1:27" ht="18.600000000000001" customHeight="1">
      <c r="A806" s="140" t="str">
        <f>IF(priority(Main[[#This Row],[Comments]])&lt;&gt;0, priority(Main[[#This Row],[Comments]]),"")</f>
        <v/>
      </c>
      <c r="B806" s="90" t="s">
        <v>1578</v>
      </c>
      <c r="C806" s="72" t="s">
        <v>4</v>
      </c>
      <c r="D806" s="73" t="s">
        <v>647</v>
      </c>
      <c r="E806" s="74"/>
      <c r="F806" s="74">
        <v>40711</v>
      </c>
      <c r="G806" s="75" t="str">
        <f>IF(stdProdLT(Main[[#This Row],[Comments]])=0.1,"N/A",IF(stdProdLT(Main[[#This Row],[Comments]])=0,"",stdProdLT(Main[[#This Row],[Comments]])))</f>
        <v/>
      </c>
      <c r="H806" s="76" t="str">
        <f>IF(AND(Main[[#This Row],[In Stock Date]]&lt;&gt;"",Main[[#This Row],[Revised Due Date]]&lt;&gt;""),Main[[#This Row],[In Stock Date]]-Main[[#This Row],[Revised Due Date]],"")</f>
        <v/>
      </c>
      <c r="I806" s="72" t="s">
        <v>4</v>
      </c>
      <c r="J806" s="72" t="s">
        <v>4</v>
      </c>
      <c r="K806" s="72" t="s">
        <v>4</v>
      </c>
      <c r="L806" s="74"/>
      <c r="M806" s="77" t="str">
        <f>IF(Main[[#This Row],[Tech Start Date]]&lt;1/1/1990,"",IF(Main[[#This Row],[Class]]="C",WORKDAY(Main[[#This Row],[Tech Start Date]],9),IF(Main[[#This Row],[Class]]="B", WORKDAY(Main[[#This Row],[Tech Start Date]],6),IF(Main[[#This Row],[Class]]="A",WORKDAY(Main[[#This Row],[Tech Start Date]],2),""))))</f>
        <v/>
      </c>
      <c r="N806" s="77" t="str">
        <f>IF(Main[[#This Row],[Tech Start Date]]&lt;1/1/1990,"",IF(Main[[#This Row],[Class]]="C",WORKDAY(Main[[#This Row],[Tech Start Date]],19),IF(Main[[#This Row],[Class]]="B", WORKDAY(Main[[#This Row],[Tech Start Date]],12),IF(Main[[#This Row],[Class]]="A",WORKDAY(Main[[#This Row],[Tech Start Date]],4),""))))</f>
        <v/>
      </c>
      <c r="O806" s="77" t="str">
        <f>IF(Main[[#This Row],[Tech Start Date]]&lt;1/1/1990,"",IF(Main[[#This Row],[Class]]="C",WORKDAY(Main[[#This Row],[Tech Start Date]],23),IF(Main[[#This Row],[Class]]="B", WORKDAY(Main[[#This Row],[Tech Start Date]],15),IF(Main[[#This Row],[Class]]="A",WORKDAY(Main[[#This Row],[Tech Start Date]],5),""))))</f>
        <v/>
      </c>
      <c r="P806" s="77" t="str">
        <f>IF(Main[[#This Row],[Tech Start Date]]&lt;1/1/1990,"",IF(Main[[#This Row],[Class]]="C",WORKDAY(Main[[#This Row],[Tech Start Date]],28),IF(Main[[#This Row],[Class]]="B", WORKDAY(Main[[#This Row],[Tech Start Date]],19),IF(Main[[#This Row],[Class]]="A",WORKDAY(Main[[#This Row],[Tech Start Date]],9),""))))</f>
        <v/>
      </c>
      <c r="Q806" s="74"/>
      <c r="R806" s="74"/>
      <c r="S806" s="72" t="s">
        <v>11</v>
      </c>
      <c r="T806" s="80" t="s">
        <v>4</v>
      </c>
      <c r="U806" s="72" t="s">
        <v>14</v>
      </c>
      <c r="V806" s="72" t="s">
        <v>1933</v>
      </c>
      <c r="W806" s="72" t="s">
        <v>1937</v>
      </c>
      <c r="X806" s="72" t="s">
        <v>953</v>
      </c>
      <c r="Y806" s="72" t="s">
        <v>3082</v>
      </c>
      <c r="Z806" s="72" t="s">
        <v>4</v>
      </c>
      <c r="AA806" s="147" t="s">
        <v>953</v>
      </c>
    </row>
    <row r="807" spans="1:27" ht="18.600000000000001" customHeight="1">
      <c r="A807" s="140" t="str">
        <f>IF(priority(Main[[#This Row],[Comments]])&lt;&gt;0, priority(Main[[#This Row],[Comments]]),"")</f>
        <v/>
      </c>
      <c r="B807" s="90" t="s">
        <v>1579</v>
      </c>
      <c r="C807" s="72" t="s">
        <v>183</v>
      </c>
      <c r="D807" s="73" t="s">
        <v>648</v>
      </c>
      <c r="E807" s="74"/>
      <c r="F807" s="74">
        <v>40389</v>
      </c>
      <c r="G807" s="75" t="str">
        <f>IF(stdProdLT(Main[[#This Row],[Comments]])=0.1,"N/A",IF(stdProdLT(Main[[#This Row],[Comments]])=0,"",stdProdLT(Main[[#This Row],[Comments]])))</f>
        <v/>
      </c>
      <c r="H807" s="76" t="str">
        <f>IF(AND(Main[[#This Row],[In Stock Date]]&lt;&gt;"",Main[[#This Row],[Revised Due Date]]&lt;&gt;""),Main[[#This Row],[In Stock Date]]-Main[[#This Row],[Revised Due Date]],"")</f>
        <v/>
      </c>
      <c r="I807" s="72" t="s">
        <v>4</v>
      </c>
      <c r="J807" s="72" t="s">
        <v>4</v>
      </c>
      <c r="K807" s="72" t="s">
        <v>4</v>
      </c>
      <c r="L807" s="74"/>
      <c r="M807" s="77" t="str">
        <f>IF(Main[[#This Row],[Tech Start Date]]&lt;1/1/1990,"",IF(Main[[#This Row],[Class]]="C",WORKDAY(Main[[#This Row],[Tech Start Date]],9),IF(Main[[#This Row],[Class]]="B", WORKDAY(Main[[#This Row],[Tech Start Date]],6),IF(Main[[#This Row],[Class]]="A",WORKDAY(Main[[#This Row],[Tech Start Date]],2),""))))</f>
        <v/>
      </c>
      <c r="N807" s="77" t="str">
        <f>IF(Main[[#This Row],[Tech Start Date]]&lt;1/1/1990,"",IF(Main[[#This Row],[Class]]="C",WORKDAY(Main[[#This Row],[Tech Start Date]],19),IF(Main[[#This Row],[Class]]="B", WORKDAY(Main[[#This Row],[Tech Start Date]],12),IF(Main[[#This Row],[Class]]="A",WORKDAY(Main[[#This Row],[Tech Start Date]],4),""))))</f>
        <v/>
      </c>
      <c r="O807" s="77" t="str">
        <f>IF(Main[[#This Row],[Tech Start Date]]&lt;1/1/1990,"",IF(Main[[#This Row],[Class]]="C",WORKDAY(Main[[#This Row],[Tech Start Date]],23),IF(Main[[#This Row],[Class]]="B", WORKDAY(Main[[#This Row],[Tech Start Date]],15),IF(Main[[#This Row],[Class]]="A",WORKDAY(Main[[#This Row],[Tech Start Date]],5),""))))</f>
        <v/>
      </c>
      <c r="P807" s="77" t="str">
        <f>IF(Main[[#This Row],[Tech Start Date]]&lt;1/1/1990,"",IF(Main[[#This Row],[Class]]="C",WORKDAY(Main[[#This Row],[Tech Start Date]],28),IF(Main[[#This Row],[Class]]="B", WORKDAY(Main[[#This Row],[Tech Start Date]],19),IF(Main[[#This Row],[Class]]="A",WORKDAY(Main[[#This Row],[Tech Start Date]],9),""))))</f>
        <v/>
      </c>
      <c r="Q807" s="74">
        <v>40298</v>
      </c>
      <c r="R807" s="74"/>
      <c r="S807" s="72" t="s">
        <v>11</v>
      </c>
      <c r="T807" s="80" t="s">
        <v>4</v>
      </c>
      <c r="U807" s="72" t="s">
        <v>14</v>
      </c>
      <c r="V807" s="72" t="s">
        <v>1932</v>
      </c>
      <c r="W807" s="72" t="s">
        <v>1938</v>
      </c>
      <c r="X807" s="72" t="s">
        <v>2908</v>
      </c>
      <c r="Y807" s="72" t="s">
        <v>3030</v>
      </c>
      <c r="Z807" s="72" t="s">
        <v>4</v>
      </c>
      <c r="AA807" s="147" t="s">
        <v>2908</v>
      </c>
    </row>
    <row r="808" spans="1:27" ht="18.600000000000001" customHeight="1">
      <c r="A808" s="140" t="str">
        <f>IF(priority(Main[[#This Row],[Comments]])&lt;&gt;0, priority(Main[[#This Row],[Comments]]),"")</f>
        <v/>
      </c>
      <c r="B808" s="90" t="s">
        <v>1580</v>
      </c>
      <c r="C808" s="72" t="s">
        <v>4</v>
      </c>
      <c r="D808" s="73" t="s">
        <v>649</v>
      </c>
      <c r="E808" s="74"/>
      <c r="F808" s="74"/>
      <c r="G808" s="75" t="str">
        <f>IF(stdProdLT(Main[[#This Row],[Comments]])=0.1,"N/A",IF(stdProdLT(Main[[#This Row],[Comments]])=0,"",stdProdLT(Main[[#This Row],[Comments]])))</f>
        <v/>
      </c>
      <c r="H808" s="76" t="str">
        <f>IF(AND(Main[[#This Row],[In Stock Date]]&lt;&gt;"",Main[[#This Row],[Revised Due Date]]&lt;&gt;""),Main[[#This Row],[In Stock Date]]-Main[[#This Row],[Revised Due Date]],"")</f>
        <v/>
      </c>
      <c r="I808" s="72" t="s">
        <v>4</v>
      </c>
      <c r="J808" s="72" t="s">
        <v>4</v>
      </c>
      <c r="K808" s="72" t="s">
        <v>4</v>
      </c>
      <c r="L808" s="74"/>
      <c r="M808" s="77" t="str">
        <f>IF(Main[[#This Row],[Tech Start Date]]&lt;1/1/1990,"",IF(Main[[#This Row],[Class]]="C",WORKDAY(Main[[#This Row],[Tech Start Date]],9),IF(Main[[#This Row],[Class]]="B", WORKDAY(Main[[#This Row],[Tech Start Date]],6),IF(Main[[#This Row],[Class]]="A",WORKDAY(Main[[#This Row],[Tech Start Date]],2),""))))</f>
        <v/>
      </c>
      <c r="N808" s="77" t="str">
        <f>IF(Main[[#This Row],[Tech Start Date]]&lt;1/1/1990,"",IF(Main[[#This Row],[Class]]="C",WORKDAY(Main[[#This Row],[Tech Start Date]],19),IF(Main[[#This Row],[Class]]="B", WORKDAY(Main[[#This Row],[Tech Start Date]],12),IF(Main[[#This Row],[Class]]="A",WORKDAY(Main[[#This Row],[Tech Start Date]],4),""))))</f>
        <v/>
      </c>
      <c r="O808" s="77" t="str">
        <f>IF(Main[[#This Row],[Tech Start Date]]&lt;1/1/1990,"",IF(Main[[#This Row],[Class]]="C",WORKDAY(Main[[#This Row],[Tech Start Date]],23),IF(Main[[#This Row],[Class]]="B", WORKDAY(Main[[#This Row],[Tech Start Date]],15),IF(Main[[#This Row],[Class]]="A",WORKDAY(Main[[#This Row],[Tech Start Date]],5),""))))</f>
        <v/>
      </c>
      <c r="P808" s="77" t="str">
        <f>IF(Main[[#This Row],[Tech Start Date]]&lt;1/1/1990,"",IF(Main[[#This Row],[Class]]="C",WORKDAY(Main[[#This Row],[Tech Start Date]],28),IF(Main[[#This Row],[Class]]="B", WORKDAY(Main[[#This Row],[Tech Start Date]],19),IF(Main[[#This Row],[Class]]="A",WORKDAY(Main[[#This Row],[Tech Start Date]],9),""))))</f>
        <v/>
      </c>
      <c r="Q808" s="74"/>
      <c r="R808" s="74"/>
      <c r="S808" s="72" t="s">
        <v>11</v>
      </c>
      <c r="T808" s="80" t="s">
        <v>4</v>
      </c>
      <c r="U808" s="72" t="s">
        <v>12</v>
      </c>
      <c r="V808" s="72" t="s">
        <v>1932</v>
      </c>
      <c r="W808" s="72" t="s">
        <v>1936</v>
      </c>
      <c r="X808" s="72" t="s">
        <v>897</v>
      </c>
      <c r="Y808" s="72" t="s">
        <v>3169</v>
      </c>
      <c r="Z808" s="72" t="s">
        <v>4</v>
      </c>
      <c r="AA808" s="147" t="s">
        <v>897</v>
      </c>
    </row>
    <row r="809" spans="1:27" ht="18.600000000000001" customHeight="1">
      <c r="A809" s="140" t="str">
        <f>IF(priority(Main[[#This Row],[Comments]])&lt;&gt;0, priority(Main[[#This Row],[Comments]]),"")</f>
        <v/>
      </c>
      <c r="B809" s="90" t="s">
        <v>1581</v>
      </c>
      <c r="C809" s="72" t="s">
        <v>650</v>
      </c>
      <c r="D809" s="73" t="s">
        <v>651</v>
      </c>
      <c r="E809" s="74"/>
      <c r="F809" s="74">
        <v>40632</v>
      </c>
      <c r="G809" s="75" t="str">
        <f>IF(stdProdLT(Main[[#This Row],[Comments]])=0.1,"N/A",IF(stdProdLT(Main[[#This Row],[Comments]])=0,"",stdProdLT(Main[[#This Row],[Comments]])))</f>
        <v/>
      </c>
      <c r="H809" s="76" t="str">
        <f>IF(AND(Main[[#This Row],[In Stock Date]]&lt;&gt;"",Main[[#This Row],[Revised Due Date]]&lt;&gt;""),Main[[#This Row],[In Stock Date]]-Main[[#This Row],[Revised Due Date]],"")</f>
        <v/>
      </c>
      <c r="I809" s="72" t="s">
        <v>4</v>
      </c>
      <c r="J809" s="72" t="s">
        <v>4</v>
      </c>
      <c r="K809" s="72" t="s">
        <v>4</v>
      </c>
      <c r="L809" s="74"/>
      <c r="M809" s="77" t="str">
        <f>IF(Main[[#This Row],[Tech Start Date]]&lt;1/1/1990,"",IF(Main[[#This Row],[Class]]="C",WORKDAY(Main[[#This Row],[Tech Start Date]],9),IF(Main[[#This Row],[Class]]="B", WORKDAY(Main[[#This Row],[Tech Start Date]],6),IF(Main[[#This Row],[Class]]="A",WORKDAY(Main[[#This Row],[Tech Start Date]],2),""))))</f>
        <v/>
      </c>
      <c r="N809" s="77" t="str">
        <f>IF(Main[[#This Row],[Tech Start Date]]&lt;1/1/1990,"",IF(Main[[#This Row],[Class]]="C",WORKDAY(Main[[#This Row],[Tech Start Date]],19),IF(Main[[#This Row],[Class]]="B", WORKDAY(Main[[#This Row],[Tech Start Date]],12),IF(Main[[#This Row],[Class]]="A",WORKDAY(Main[[#This Row],[Tech Start Date]],4),""))))</f>
        <v/>
      </c>
      <c r="O809" s="77" t="str">
        <f>IF(Main[[#This Row],[Tech Start Date]]&lt;1/1/1990,"",IF(Main[[#This Row],[Class]]="C",WORKDAY(Main[[#This Row],[Tech Start Date]],23),IF(Main[[#This Row],[Class]]="B", WORKDAY(Main[[#This Row],[Tech Start Date]],15),IF(Main[[#This Row],[Class]]="A",WORKDAY(Main[[#This Row],[Tech Start Date]],5),""))))</f>
        <v/>
      </c>
      <c r="P809" s="77" t="str">
        <f>IF(Main[[#This Row],[Tech Start Date]]&lt;1/1/1990,"",IF(Main[[#This Row],[Class]]="C",WORKDAY(Main[[#This Row],[Tech Start Date]],28),IF(Main[[#This Row],[Class]]="B", WORKDAY(Main[[#This Row],[Tech Start Date]],19),IF(Main[[#This Row],[Class]]="A",WORKDAY(Main[[#This Row],[Tech Start Date]],9),""))))</f>
        <v/>
      </c>
      <c r="Q809" s="74">
        <v>40613</v>
      </c>
      <c r="R809" s="74"/>
      <c r="S809" s="72" t="s">
        <v>11</v>
      </c>
      <c r="T809" s="80" t="s">
        <v>4</v>
      </c>
      <c r="U809" s="72" t="s">
        <v>14</v>
      </c>
      <c r="V809" s="72" t="s">
        <v>1935</v>
      </c>
      <c r="W809" s="72" t="s">
        <v>1940</v>
      </c>
      <c r="X809" s="72" t="s">
        <v>2952</v>
      </c>
      <c r="Y809" s="72" t="s">
        <v>3099</v>
      </c>
      <c r="Z809" s="72" t="s">
        <v>4</v>
      </c>
      <c r="AA809" s="147" t="s">
        <v>2952</v>
      </c>
    </row>
    <row r="810" spans="1:27" ht="18.600000000000001" customHeight="1">
      <c r="A810" s="140" t="str">
        <f>IF(priority(Main[[#This Row],[Comments]])&lt;&gt;0, priority(Main[[#This Row],[Comments]]),"")</f>
        <v/>
      </c>
      <c r="B810" s="90" t="s">
        <v>1606</v>
      </c>
      <c r="C810" s="72" t="s">
        <v>4</v>
      </c>
      <c r="D810" s="73" t="s">
        <v>97</v>
      </c>
      <c r="E810" s="74"/>
      <c r="F810" s="74"/>
      <c r="G810" s="75" t="str">
        <f>IF(stdProdLT(Main[[#This Row],[Comments]])=0.1,"N/A",IF(stdProdLT(Main[[#This Row],[Comments]])=0,"",stdProdLT(Main[[#This Row],[Comments]])))</f>
        <v/>
      </c>
      <c r="H810" s="76" t="str">
        <f>IF(AND(Main[[#This Row],[In Stock Date]]&lt;&gt;"",Main[[#This Row],[Revised Due Date]]&lt;&gt;""),Main[[#This Row],[In Stock Date]]-Main[[#This Row],[Revised Due Date]],"")</f>
        <v/>
      </c>
      <c r="I810" s="72" t="s">
        <v>4</v>
      </c>
      <c r="J810" s="72" t="s">
        <v>4</v>
      </c>
      <c r="K810" s="72" t="s">
        <v>4</v>
      </c>
      <c r="L810" s="74"/>
      <c r="M810" s="77" t="str">
        <f>IF(Main[[#This Row],[Tech Start Date]]&lt;1/1/1990,"",IF(Main[[#This Row],[Class]]="C",WORKDAY(Main[[#This Row],[Tech Start Date]],9),IF(Main[[#This Row],[Class]]="B", WORKDAY(Main[[#This Row],[Tech Start Date]],6),IF(Main[[#This Row],[Class]]="A",WORKDAY(Main[[#This Row],[Tech Start Date]],2),""))))</f>
        <v/>
      </c>
      <c r="N810" s="77" t="str">
        <f>IF(Main[[#This Row],[Tech Start Date]]&lt;1/1/1990,"",IF(Main[[#This Row],[Class]]="C",WORKDAY(Main[[#This Row],[Tech Start Date]],19),IF(Main[[#This Row],[Class]]="B", WORKDAY(Main[[#This Row],[Tech Start Date]],12),IF(Main[[#This Row],[Class]]="A",WORKDAY(Main[[#This Row],[Tech Start Date]],4),""))))</f>
        <v/>
      </c>
      <c r="O810" s="77" t="str">
        <f>IF(Main[[#This Row],[Tech Start Date]]&lt;1/1/1990,"",IF(Main[[#This Row],[Class]]="C",WORKDAY(Main[[#This Row],[Tech Start Date]],23),IF(Main[[#This Row],[Class]]="B", WORKDAY(Main[[#This Row],[Tech Start Date]],15),IF(Main[[#This Row],[Class]]="A",WORKDAY(Main[[#This Row],[Tech Start Date]],5),""))))</f>
        <v/>
      </c>
      <c r="P810" s="77" t="str">
        <f>IF(Main[[#This Row],[Tech Start Date]]&lt;1/1/1990,"",IF(Main[[#This Row],[Class]]="C",WORKDAY(Main[[#This Row],[Tech Start Date]],28),IF(Main[[#This Row],[Class]]="B", WORKDAY(Main[[#This Row],[Tech Start Date]],19),IF(Main[[#This Row],[Class]]="A",WORKDAY(Main[[#This Row],[Tech Start Date]],9),""))))</f>
        <v/>
      </c>
      <c r="Q810" s="74">
        <v>40858</v>
      </c>
      <c r="R810" s="74"/>
      <c r="S810" s="72" t="s">
        <v>17</v>
      </c>
      <c r="T810" s="80" t="s">
        <v>4</v>
      </c>
      <c r="U810" s="72" t="s">
        <v>14</v>
      </c>
      <c r="V810" s="72" t="s">
        <v>1932</v>
      </c>
      <c r="W810" s="72" t="s">
        <v>1937</v>
      </c>
      <c r="X810" s="72" t="s">
        <v>50</v>
      </c>
      <c r="Y810" s="72" t="s">
        <v>3046</v>
      </c>
      <c r="Z810" s="72" t="s">
        <v>4</v>
      </c>
      <c r="AA810" s="147" t="s">
        <v>2912</v>
      </c>
    </row>
    <row r="811" spans="1:27" ht="18.600000000000001" customHeight="1">
      <c r="A811" s="140" t="str">
        <f>IF(priority(Main[[#This Row],[Comments]])&lt;&gt;0, priority(Main[[#This Row],[Comments]]),"")</f>
        <v/>
      </c>
      <c r="B811" s="90" t="s">
        <v>1609</v>
      </c>
      <c r="C811" s="72" t="s">
        <v>676</v>
      </c>
      <c r="D811" s="73" t="s">
        <v>677</v>
      </c>
      <c r="E811" s="74"/>
      <c r="F811" s="74">
        <v>40633</v>
      </c>
      <c r="G811" s="75" t="str">
        <f>IF(stdProdLT(Main[[#This Row],[Comments]])=0.1,"N/A",IF(stdProdLT(Main[[#This Row],[Comments]])=0,"",stdProdLT(Main[[#This Row],[Comments]])))</f>
        <v/>
      </c>
      <c r="H811" s="76" t="str">
        <f>IF(AND(Main[[#This Row],[In Stock Date]]&lt;&gt;"",Main[[#This Row],[Revised Due Date]]&lt;&gt;""),Main[[#This Row],[In Stock Date]]-Main[[#This Row],[Revised Due Date]],"")</f>
        <v/>
      </c>
      <c r="I811" s="72" t="s">
        <v>4</v>
      </c>
      <c r="J811" s="72" t="s">
        <v>4</v>
      </c>
      <c r="K811" s="72" t="s">
        <v>4</v>
      </c>
      <c r="L811" s="74"/>
      <c r="M811" s="77" t="str">
        <f>IF(Main[[#This Row],[Tech Start Date]]&lt;1/1/1990,"",IF(Main[[#This Row],[Class]]="C",WORKDAY(Main[[#This Row],[Tech Start Date]],9),IF(Main[[#This Row],[Class]]="B", WORKDAY(Main[[#This Row],[Tech Start Date]],6),IF(Main[[#This Row],[Class]]="A",WORKDAY(Main[[#This Row],[Tech Start Date]],2),""))))</f>
        <v/>
      </c>
      <c r="N811" s="77" t="str">
        <f>IF(Main[[#This Row],[Tech Start Date]]&lt;1/1/1990,"",IF(Main[[#This Row],[Class]]="C",WORKDAY(Main[[#This Row],[Tech Start Date]],19),IF(Main[[#This Row],[Class]]="B", WORKDAY(Main[[#This Row],[Tech Start Date]],12),IF(Main[[#This Row],[Class]]="A",WORKDAY(Main[[#This Row],[Tech Start Date]],4),""))))</f>
        <v/>
      </c>
      <c r="O811" s="77" t="str">
        <f>IF(Main[[#This Row],[Tech Start Date]]&lt;1/1/1990,"",IF(Main[[#This Row],[Class]]="C",WORKDAY(Main[[#This Row],[Tech Start Date]],23),IF(Main[[#This Row],[Class]]="B", WORKDAY(Main[[#This Row],[Tech Start Date]],15),IF(Main[[#This Row],[Class]]="A",WORKDAY(Main[[#This Row],[Tech Start Date]],5),""))))</f>
        <v/>
      </c>
      <c r="P811" s="77" t="str">
        <f>IF(Main[[#This Row],[Tech Start Date]]&lt;1/1/1990,"",IF(Main[[#This Row],[Class]]="C",WORKDAY(Main[[#This Row],[Tech Start Date]],28),IF(Main[[#This Row],[Class]]="B", WORKDAY(Main[[#This Row],[Tech Start Date]],19),IF(Main[[#This Row],[Class]]="A",WORKDAY(Main[[#This Row],[Tech Start Date]],9),""))))</f>
        <v/>
      </c>
      <c r="Q811" s="74">
        <v>40574</v>
      </c>
      <c r="R811" s="74"/>
      <c r="S811" s="72" t="s">
        <v>11</v>
      </c>
      <c r="T811" s="80" t="s">
        <v>4</v>
      </c>
      <c r="U811" s="72" t="s">
        <v>14</v>
      </c>
      <c r="V811" s="72" t="s">
        <v>1935</v>
      </c>
      <c r="W811" s="72" t="s">
        <v>1938</v>
      </c>
      <c r="X811" s="72" t="s">
        <v>2940</v>
      </c>
      <c r="Y811" s="72" t="s">
        <v>3084</v>
      </c>
      <c r="Z811" s="72" t="s">
        <v>4</v>
      </c>
      <c r="AA811" s="147" t="s">
        <v>2940</v>
      </c>
    </row>
    <row r="812" spans="1:27" ht="18.600000000000001" customHeight="1">
      <c r="A812" s="140" t="str">
        <f>IF(priority(Main[[#This Row],[Comments]])&lt;&gt;0, priority(Main[[#This Row],[Comments]]),"")</f>
        <v/>
      </c>
      <c r="B812" s="90" t="s">
        <v>2210</v>
      </c>
      <c r="C812" s="72" t="s">
        <v>2202</v>
      </c>
      <c r="D812" s="73" t="s">
        <v>2211</v>
      </c>
      <c r="E812" s="74"/>
      <c r="F812" s="74">
        <v>40829</v>
      </c>
      <c r="G812" s="75" t="str">
        <f>IF(stdProdLT(Main[[#This Row],[Comments]])=0.1,"N/A",IF(stdProdLT(Main[[#This Row],[Comments]])=0,"",stdProdLT(Main[[#This Row],[Comments]])))</f>
        <v/>
      </c>
      <c r="H812" s="76" t="str">
        <f>IF(AND(Main[[#This Row],[In Stock Date]]&lt;&gt;"",Main[[#This Row],[Revised Due Date]]&lt;&gt;""),Main[[#This Row],[In Stock Date]]-Main[[#This Row],[Revised Due Date]],"")</f>
        <v/>
      </c>
      <c r="I812" s="72" t="s">
        <v>4</v>
      </c>
      <c r="J812" s="72" t="s">
        <v>4</v>
      </c>
      <c r="K812" s="72" t="s">
        <v>4</v>
      </c>
      <c r="L812" s="74"/>
      <c r="M812" s="77" t="str">
        <f>IF(Main[[#This Row],[Tech Start Date]]&lt;1/1/1990,"",IF(Main[[#This Row],[Class]]="C",WORKDAY(Main[[#This Row],[Tech Start Date]],9),IF(Main[[#This Row],[Class]]="B", WORKDAY(Main[[#This Row],[Tech Start Date]],6),IF(Main[[#This Row],[Class]]="A",WORKDAY(Main[[#This Row],[Tech Start Date]],2),""))))</f>
        <v/>
      </c>
      <c r="N812" s="77" t="str">
        <f>IF(Main[[#This Row],[Tech Start Date]]&lt;1/1/1990,"",IF(Main[[#This Row],[Class]]="C",WORKDAY(Main[[#This Row],[Tech Start Date]],19),IF(Main[[#This Row],[Class]]="B", WORKDAY(Main[[#This Row],[Tech Start Date]],12),IF(Main[[#This Row],[Class]]="A",WORKDAY(Main[[#This Row],[Tech Start Date]],4),""))))</f>
        <v/>
      </c>
      <c r="O812" s="77" t="str">
        <f>IF(Main[[#This Row],[Tech Start Date]]&lt;1/1/1990,"",IF(Main[[#This Row],[Class]]="C",WORKDAY(Main[[#This Row],[Tech Start Date]],23),IF(Main[[#This Row],[Class]]="B", WORKDAY(Main[[#This Row],[Tech Start Date]],15),IF(Main[[#This Row],[Class]]="A",WORKDAY(Main[[#This Row],[Tech Start Date]],5),""))))</f>
        <v/>
      </c>
      <c r="P812" s="77" t="str">
        <f>IF(Main[[#This Row],[Tech Start Date]]&lt;1/1/1990,"",IF(Main[[#This Row],[Class]]="C",WORKDAY(Main[[#This Row],[Tech Start Date]],28),IF(Main[[#This Row],[Class]]="B", WORKDAY(Main[[#This Row],[Tech Start Date]],19),IF(Main[[#This Row],[Class]]="A",WORKDAY(Main[[#This Row],[Tech Start Date]],9),""))))</f>
        <v/>
      </c>
      <c r="Q812" s="74">
        <v>40801</v>
      </c>
      <c r="R812" s="74"/>
      <c r="S812" s="72" t="s">
        <v>11</v>
      </c>
      <c r="T812" s="80" t="s">
        <v>4</v>
      </c>
      <c r="U812" s="72" t="s">
        <v>14</v>
      </c>
      <c r="V812" s="72" t="s">
        <v>1933</v>
      </c>
      <c r="W812" s="72" t="s">
        <v>1940</v>
      </c>
      <c r="X812" s="72" t="s">
        <v>2922</v>
      </c>
      <c r="Y812" s="72" t="s">
        <v>3055</v>
      </c>
      <c r="Z812" s="72" t="s">
        <v>4</v>
      </c>
      <c r="AA812" s="147" t="s">
        <v>2922</v>
      </c>
    </row>
    <row r="813" spans="1:27" ht="18.600000000000001" customHeight="1">
      <c r="A813" s="140" t="str">
        <f>IF(priority(Main[[#This Row],[Comments]])&lt;&gt;0, priority(Main[[#This Row],[Comments]]),"")</f>
        <v/>
      </c>
      <c r="B813" s="90" t="s">
        <v>1610</v>
      </c>
      <c r="C813" s="72" t="s">
        <v>4</v>
      </c>
      <c r="D813" s="73" t="s">
        <v>2334</v>
      </c>
      <c r="E813" s="74">
        <v>40515.590300925927</v>
      </c>
      <c r="F813" s="74"/>
      <c r="G813" s="75" t="str">
        <f>IF(stdProdLT(Main[[#This Row],[Comments]])=0.1,"N/A",IF(stdProdLT(Main[[#This Row],[Comments]])=0,"",stdProdLT(Main[[#This Row],[Comments]])))</f>
        <v/>
      </c>
      <c r="H813" s="76" t="str">
        <f>IF(AND(Main[[#This Row],[In Stock Date]]&lt;&gt;"",Main[[#This Row],[Revised Due Date]]&lt;&gt;""),Main[[#This Row],[In Stock Date]]-Main[[#This Row],[Revised Due Date]],"")</f>
        <v/>
      </c>
      <c r="I813" s="72" t="s">
        <v>923</v>
      </c>
      <c r="J813" s="72" t="s">
        <v>52</v>
      </c>
      <c r="K813" s="72" t="s">
        <v>1939</v>
      </c>
      <c r="L813" s="74"/>
      <c r="M813" s="77" t="str">
        <f>IF(Main[[#This Row],[Tech Start Date]]&lt;1/1/1990,"",IF(Main[[#This Row],[Class]]="C",WORKDAY(Main[[#This Row],[Tech Start Date]],9),IF(Main[[#This Row],[Class]]="B", WORKDAY(Main[[#This Row],[Tech Start Date]],6),IF(Main[[#This Row],[Class]]="A",WORKDAY(Main[[#This Row],[Tech Start Date]],2),""))))</f>
        <v/>
      </c>
      <c r="N813" s="77" t="str">
        <f>IF(Main[[#This Row],[Tech Start Date]]&lt;1/1/1990,"",IF(Main[[#This Row],[Class]]="C",WORKDAY(Main[[#This Row],[Tech Start Date]],19),IF(Main[[#This Row],[Class]]="B", WORKDAY(Main[[#This Row],[Tech Start Date]],12),IF(Main[[#This Row],[Class]]="A",WORKDAY(Main[[#This Row],[Tech Start Date]],4),""))))</f>
        <v/>
      </c>
      <c r="O813" s="77" t="str">
        <f>IF(Main[[#This Row],[Tech Start Date]]&lt;1/1/1990,"",IF(Main[[#This Row],[Class]]="C",WORKDAY(Main[[#This Row],[Tech Start Date]],23),IF(Main[[#This Row],[Class]]="B", WORKDAY(Main[[#This Row],[Tech Start Date]],15),IF(Main[[#This Row],[Class]]="A",WORKDAY(Main[[#This Row],[Tech Start Date]],5),""))))</f>
        <v/>
      </c>
      <c r="P813" s="77" t="str">
        <f>IF(Main[[#This Row],[Tech Start Date]]&lt;1/1/1990,"",IF(Main[[#This Row],[Class]]="C",WORKDAY(Main[[#This Row],[Tech Start Date]],28),IF(Main[[#This Row],[Class]]="B", WORKDAY(Main[[#This Row],[Tech Start Date]],19),IF(Main[[#This Row],[Class]]="A",WORKDAY(Main[[#This Row],[Tech Start Date]],9),""))))</f>
        <v/>
      </c>
      <c r="Q813" s="74">
        <v>40574</v>
      </c>
      <c r="R813" s="74"/>
      <c r="S813" s="72" t="s">
        <v>6</v>
      </c>
      <c r="T813" s="80" t="s">
        <v>4</v>
      </c>
      <c r="U813" s="72" t="s">
        <v>29</v>
      </c>
      <c r="V813" s="72" t="s">
        <v>1932</v>
      </c>
      <c r="W813" s="72" t="s">
        <v>1934</v>
      </c>
      <c r="X813" s="72" t="s">
        <v>2971</v>
      </c>
      <c r="Y813" s="72" t="s">
        <v>3130</v>
      </c>
      <c r="Z813" s="72" t="s">
        <v>129</v>
      </c>
      <c r="AA813" s="147" t="s">
        <v>2971</v>
      </c>
    </row>
    <row r="814" spans="1:27" ht="18.600000000000001" customHeight="1">
      <c r="A814" s="140" t="str">
        <f>IF(priority(Main[[#This Row],[Comments]])&lt;&gt;0, priority(Main[[#This Row],[Comments]]),"")</f>
        <v/>
      </c>
      <c r="B814" s="90" t="s">
        <v>1611</v>
      </c>
      <c r="C814" s="72" t="s">
        <v>441</v>
      </c>
      <c r="D814" s="73" t="s">
        <v>678</v>
      </c>
      <c r="E814" s="74"/>
      <c r="F814" s="74"/>
      <c r="G814" s="75" t="str">
        <f>IF(stdProdLT(Main[[#This Row],[Comments]])=0.1,"N/A",IF(stdProdLT(Main[[#This Row],[Comments]])=0,"",stdProdLT(Main[[#This Row],[Comments]])))</f>
        <v/>
      </c>
      <c r="H814" s="76" t="str">
        <f>IF(AND(Main[[#This Row],[In Stock Date]]&lt;&gt;"",Main[[#This Row],[Revised Due Date]]&lt;&gt;""),Main[[#This Row],[In Stock Date]]-Main[[#This Row],[Revised Due Date]],"")</f>
        <v/>
      </c>
      <c r="I814" s="72" t="s">
        <v>4</v>
      </c>
      <c r="J814" s="72" t="s">
        <v>4</v>
      </c>
      <c r="K814" s="72" t="s">
        <v>4</v>
      </c>
      <c r="L814" s="74"/>
      <c r="M814" s="77" t="str">
        <f>IF(Main[[#This Row],[Tech Start Date]]&lt;1/1/1990,"",IF(Main[[#This Row],[Class]]="C",WORKDAY(Main[[#This Row],[Tech Start Date]],9),IF(Main[[#This Row],[Class]]="B", WORKDAY(Main[[#This Row],[Tech Start Date]],6),IF(Main[[#This Row],[Class]]="A",WORKDAY(Main[[#This Row],[Tech Start Date]],2),""))))</f>
        <v/>
      </c>
      <c r="N814" s="77" t="str">
        <f>IF(Main[[#This Row],[Tech Start Date]]&lt;1/1/1990,"",IF(Main[[#This Row],[Class]]="C",WORKDAY(Main[[#This Row],[Tech Start Date]],19),IF(Main[[#This Row],[Class]]="B", WORKDAY(Main[[#This Row],[Tech Start Date]],12),IF(Main[[#This Row],[Class]]="A",WORKDAY(Main[[#This Row],[Tech Start Date]],4),""))))</f>
        <v/>
      </c>
      <c r="O814" s="77" t="str">
        <f>IF(Main[[#This Row],[Tech Start Date]]&lt;1/1/1990,"",IF(Main[[#This Row],[Class]]="C",WORKDAY(Main[[#This Row],[Tech Start Date]],23),IF(Main[[#This Row],[Class]]="B", WORKDAY(Main[[#This Row],[Tech Start Date]],15),IF(Main[[#This Row],[Class]]="A",WORKDAY(Main[[#This Row],[Tech Start Date]],5),""))))</f>
        <v/>
      </c>
      <c r="P814" s="77" t="str">
        <f>IF(Main[[#This Row],[Tech Start Date]]&lt;1/1/1990,"",IF(Main[[#This Row],[Class]]="C",WORKDAY(Main[[#This Row],[Tech Start Date]],28),IF(Main[[#This Row],[Class]]="B", WORKDAY(Main[[#This Row],[Tech Start Date]],19),IF(Main[[#This Row],[Class]]="A",WORKDAY(Main[[#This Row],[Tech Start Date]],9),""))))</f>
        <v/>
      </c>
      <c r="Q814" s="74"/>
      <c r="R814" s="74"/>
      <c r="S814" s="72" t="s">
        <v>11</v>
      </c>
      <c r="T814" s="80" t="s">
        <v>4</v>
      </c>
      <c r="U814" s="72" t="s">
        <v>14</v>
      </c>
      <c r="V814" s="72" t="s">
        <v>1933</v>
      </c>
      <c r="W814" s="72" t="s">
        <v>1940</v>
      </c>
      <c r="X814" s="72" t="s">
        <v>2911</v>
      </c>
      <c r="Y814" s="72" t="s">
        <v>3035</v>
      </c>
      <c r="Z814" s="72" t="s">
        <v>4</v>
      </c>
      <c r="AA814" s="147" t="s">
        <v>2911</v>
      </c>
    </row>
    <row r="815" spans="1:27" ht="18.600000000000001" customHeight="1">
      <c r="A815" s="140" t="str">
        <f>IF(priority(Main[[#This Row],[Comments]])&lt;&gt;0, priority(Main[[#This Row],[Comments]]),"")</f>
        <v/>
      </c>
      <c r="B815" s="90" t="s">
        <v>1658</v>
      </c>
      <c r="C815" s="72" t="s">
        <v>4</v>
      </c>
      <c r="D815" s="73" t="s">
        <v>720</v>
      </c>
      <c r="E815" s="74"/>
      <c r="F815" s="74"/>
      <c r="G815" s="75" t="str">
        <f>IF(stdProdLT(Main[[#This Row],[Comments]])=0.1,"N/A",IF(stdProdLT(Main[[#This Row],[Comments]])=0,"",stdProdLT(Main[[#This Row],[Comments]])))</f>
        <v/>
      </c>
      <c r="H815" s="76" t="str">
        <f>IF(AND(Main[[#This Row],[In Stock Date]]&lt;&gt;"",Main[[#This Row],[Revised Due Date]]&lt;&gt;""),Main[[#This Row],[In Stock Date]]-Main[[#This Row],[Revised Due Date]],"")</f>
        <v/>
      </c>
      <c r="I815" s="72" t="s">
        <v>4</v>
      </c>
      <c r="J815" s="72" t="s">
        <v>28</v>
      </c>
      <c r="K815" s="81" t="s">
        <v>1941</v>
      </c>
      <c r="L815" s="74"/>
      <c r="M815" s="77" t="str">
        <f>IF(Main[[#This Row],[Tech Start Date]]&lt;1/1/1990,"",IF(Main[[#This Row],[Class]]="C",WORKDAY(Main[[#This Row],[Tech Start Date]],9),IF(Main[[#This Row],[Class]]="B", WORKDAY(Main[[#This Row],[Tech Start Date]],6),IF(Main[[#This Row],[Class]]="A",WORKDAY(Main[[#This Row],[Tech Start Date]],2),""))))</f>
        <v/>
      </c>
      <c r="N815" s="77" t="str">
        <f>IF(Main[[#This Row],[Tech Start Date]]&lt;1/1/1990,"",IF(Main[[#This Row],[Class]]="C",WORKDAY(Main[[#This Row],[Tech Start Date]],19),IF(Main[[#This Row],[Class]]="B", WORKDAY(Main[[#This Row],[Tech Start Date]],12),IF(Main[[#This Row],[Class]]="A",WORKDAY(Main[[#This Row],[Tech Start Date]],4),""))))</f>
        <v/>
      </c>
      <c r="O815" s="77" t="str">
        <f>IF(Main[[#This Row],[Tech Start Date]]&lt;1/1/1990,"",IF(Main[[#This Row],[Class]]="C",WORKDAY(Main[[#This Row],[Tech Start Date]],23),IF(Main[[#This Row],[Class]]="B", WORKDAY(Main[[#This Row],[Tech Start Date]],15),IF(Main[[#This Row],[Class]]="A",WORKDAY(Main[[#This Row],[Tech Start Date]],5),""))))</f>
        <v/>
      </c>
      <c r="P815" s="77" t="str">
        <f>IF(Main[[#This Row],[Tech Start Date]]&lt;1/1/1990,"",IF(Main[[#This Row],[Class]]="C",WORKDAY(Main[[#This Row],[Tech Start Date]],28),IF(Main[[#This Row],[Class]]="B", WORKDAY(Main[[#This Row],[Tech Start Date]],19),IF(Main[[#This Row],[Class]]="A",WORKDAY(Main[[#This Row],[Tech Start Date]],9),""))))</f>
        <v/>
      </c>
      <c r="Q815" s="74">
        <v>40647</v>
      </c>
      <c r="R815" s="74"/>
      <c r="S815" s="72" t="s">
        <v>6</v>
      </c>
      <c r="T815" s="80" t="s">
        <v>4</v>
      </c>
      <c r="U815" s="72" t="s">
        <v>14</v>
      </c>
      <c r="V815" s="72" t="s">
        <v>1932</v>
      </c>
      <c r="W815" s="72" t="s">
        <v>1936</v>
      </c>
      <c r="X815" s="72" t="s">
        <v>2905</v>
      </c>
      <c r="Y815" s="72" t="s">
        <v>3023</v>
      </c>
      <c r="Z815" s="72" t="s">
        <v>129</v>
      </c>
      <c r="AA815" s="147" t="s">
        <v>2905</v>
      </c>
    </row>
    <row r="816" spans="1:27" ht="18.600000000000001" customHeight="1">
      <c r="A816" s="140" t="str">
        <f>IF(priority(Main[[#This Row],[Comments]])&lt;&gt;0, priority(Main[[#This Row],[Comments]]),"")</f>
        <v/>
      </c>
      <c r="B816" s="90" t="s">
        <v>3375</v>
      </c>
      <c r="C816" s="72" t="s">
        <v>4</v>
      </c>
      <c r="D816" s="73" t="s">
        <v>3505</v>
      </c>
      <c r="E816" s="74">
        <v>40931.598935185182</v>
      </c>
      <c r="F816" s="74"/>
      <c r="G816" s="75" t="str">
        <f>IF(stdProdLT(Main[[#This Row],[Comments]])=0.1,"N/A",IF(stdProdLT(Main[[#This Row],[Comments]])=0,"",stdProdLT(Main[[#This Row],[Comments]])))</f>
        <v/>
      </c>
      <c r="H816" s="76" t="str">
        <f>IF(AND(Main[[#This Row],[In Stock Date]]&lt;&gt;"",Main[[#This Row],[Revised Due Date]]&lt;&gt;""),Main[[#This Row],[In Stock Date]]-Main[[#This Row],[Revised Due Date]],"")</f>
        <v/>
      </c>
      <c r="I816" s="72" t="s">
        <v>4</v>
      </c>
      <c r="J816" s="72" t="s">
        <v>4</v>
      </c>
      <c r="K816" s="81" t="s">
        <v>4</v>
      </c>
      <c r="L816" s="74"/>
      <c r="M816" s="77" t="str">
        <f>IF(Main[[#This Row],[Tech Start Date]]&lt;1/1/1990,"",IF(Main[[#This Row],[Class]]="C",WORKDAY(Main[[#This Row],[Tech Start Date]],9),IF(Main[[#This Row],[Class]]="B", WORKDAY(Main[[#This Row],[Tech Start Date]],6),IF(Main[[#This Row],[Class]]="A",WORKDAY(Main[[#This Row],[Tech Start Date]],2),""))))</f>
        <v/>
      </c>
      <c r="N816" s="77" t="str">
        <f>IF(Main[[#This Row],[Tech Start Date]]&lt;1/1/1990,"",IF(Main[[#This Row],[Class]]="C",WORKDAY(Main[[#This Row],[Tech Start Date]],19),IF(Main[[#This Row],[Class]]="B", WORKDAY(Main[[#This Row],[Tech Start Date]],12),IF(Main[[#This Row],[Class]]="A",WORKDAY(Main[[#This Row],[Tech Start Date]],4),""))))</f>
        <v/>
      </c>
      <c r="O816" s="77" t="str">
        <f>IF(Main[[#This Row],[Tech Start Date]]&lt;1/1/1990,"",IF(Main[[#This Row],[Class]]="C",WORKDAY(Main[[#This Row],[Tech Start Date]],23),IF(Main[[#This Row],[Class]]="B", WORKDAY(Main[[#This Row],[Tech Start Date]],15),IF(Main[[#This Row],[Class]]="A",WORKDAY(Main[[#This Row],[Tech Start Date]],5),""))))</f>
        <v/>
      </c>
      <c r="P816" s="77" t="str">
        <f>IF(Main[[#This Row],[Tech Start Date]]&lt;1/1/1990,"",IF(Main[[#This Row],[Class]]="C",WORKDAY(Main[[#This Row],[Tech Start Date]],28),IF(Main[[#This Row],[Class]]="B", WORKDAY(Main[[#This Row],[Tech Start Date]],19),IF(Main[[#This Row],[Class]]="A",WORKDAY(Main[[#This Row],[Tech Start Date]],9),""))))</f>
        <v/>
      </c>
      <c r="Q816" s="74"/>
      <c r="R816" s="74"/>
      <c r="S816" s="72" t="s">
        <v>17</v>
      </c>
      <c r="T816" s="80" t="s">
        <v>4</v>
      </c>
      <c r="U816" s="72" t="s">
        <v>29</v>
      </c>
      <c r="V816" s="72" t="s">
        <v>1935</v>
      </c>
      <c r="W816" s="72" t="s">
        <v>1937</v>
      </c>
      <c r="X816" s="72" t="s">
        <v>1996</v>
      </c>
      <c r="Y816" s="72" t="s">
        <v>4</v>
      </c>
      <c r="Z816" s="72" t="s">
        <v>4</v>
      </c>
      <c r="AA816" s="147" t="s">
        <v>1996</v>
      </c>
    </row>
    <row r="817" spans="1:27" ht="18.600000000000001" customHeight="1">
      <c r="A817" s="140" t="str">
        <f>IF(priority(Main[[#This Row],[Comments]])&lt;&gt;0, priority(Main[[#This Row],[Comments]]),"")</f>
        <v/>
      </c>
      <c r="B817" s="90" t="s">
        <v>1659</v>
      </c>
      <c r="C817" s="72" t="s">
        <v>4</v>
      </c>
      <c r="D817" s="73" t="s">
        <v>721</v>
      </c>
      <c r="E817" s="74"/>
      <c r="F817" s="74"/>
      <c r="G817" s="75" t="str">
        <f>IF(stdProdLT(Main[[#This Row],[Comments]])=0.1,"N/A",IF(stdProdLT(Main[[#This Row],[Comments]])=0,"",stdProdLT(Main[[#This Row],[Comments]])))</f>
        <v/>
      </c>
      <c r="H817" s="76" t="str">
        <f>IF(AND(Main[[#This Row],[In Stock Date]]&lt;&gt;"",Main[[#This Row],[Revised Due Date]]&lt;&gt;""),Main[[#This Row],[In Stock Date]]-Main[[#This Row],[Revised Due Date]],"")</f>
        <v/>
      </c>
      <c r="I817" s="72" t="s">
        <v>4</v>
      </c>
      <c r="J817" s="72" t="s">
        <v>4</v>
      </c>
      <c r="K817" s="72" t="s">
        <v>4</v>
      </c>
      <c r="L817" s="74"/>
      <c r="M817" s="77" t="str">
        <f>IF(Main[[#This Row],[Tech Start Date]]&lt;1/1/1990,"",IF(Main[[#This Row],[Class]]="C",WORKDAY(Main[[#This Row],[Tech Start Date]],9),IF(Main[[#This Row],[Class]]="B", WORKDAY(Main[[#This Row],[Tech Start Date]],6),IF(Main[[#This Row],[Class]]="A",WORKDAY(Main[[#This Row],[Tech Start Date]],2),""))))</f>
        <v/>
      </c>
      <c r="N817" s="77" t="str">
        <f>IF(Main[[#This Row],[Tech Start Date]]&lt;1/1/1990,"",IF(Main[[#This Row],[Class]]="C",WORKDAY(Main[[#This Row],[Tech Start Date]],19),IF(Main[[#This Row],[Class]]="B", WORKDAY(Main[[#This Row],[Tech Start Date]],12),IF(Main[[#This Row],[Class]]="A",WORKDAY(Main[[#This Row],[Tech Start Date]],4),""))))</f>
        <v/>
      </c>
      <c r="O817" s="77" t="str">
        <f>IF(Main[[#This Row],[Tech Start Date]]&lt;1/1/1990,"",IF(Main[[#This Row],[Class]]="C",WORKDAY(Main[[#This Row],[Tech Start Date]],23),IF(Main[[#This Row],[Class]]="B", WORKDAY(Main[[#This Row],[Tech Start Date]],15),IF(Main[[#This Row],[Class]]="A",WORKDAY(Main[[#This Row],[Tech Start Date]],5),""))))</f>
        <v/>
      </c>
      <c r="P817" s="77" t="str">
        <f>IF(Main[[#This Row],[Tech Start Date]]&lt;1/1/1990,"",IF(Main[[#This Row],[Class]]="C",WORKDAY(Main[[#This Row],[Tech Start Date]],28),IF(Main[[#This Row],[Class]]="B", WORKDAY(Main[[#This Row],[Tech Start Date]],19),IF(Main[[#This Row],[Class]]="A",WORKDAY(Main[[#This Row],[Tech Start Date]],9),""))))</f>
        <v/>
      </c>
      <c r="Q817" s="74">
        <v>40672</v>
      </c>
      <c r="R817" s="74"/>
      <c r="S817" s="72" t="s">
        <v>6</v>
      </c>
      <c r="T817" s="80" t="s">
        <v>4</v>
      </c>
      <c r="U817" s="72" t="s">
        <v>14</v>
      </c>
      <c r="V817" s="72" t="s">
        <v>1935</v>
      </c>
      <c r="W817" s="72" t="s">
        <v>4</v>
      </c>
      <c r="X817" s="72" t="s">
        <v>2906</v>
      </c>
      <c r="Y817" s="72" t="s">
        <v>3025</v>
      </c>
      <c r="Z817" s="72" t="s">
        <v>4</v>
      </c>
      <c r="AA817" s="147" t="s">
        <v>2906</v>
      </c>
    </row>
    <row r="818" spans="1:27" ht="18.600000000000001" customHeight="1">
      <c r="A818" s="140" t="str">
        <f>IF(priority(Main[[#This Row],[Comments]])&lt;&gt;0, priority(Main[[#This Row],[Comments]]),"")</f>
        <v/>
      </c>
      <c r="B818" s="90" t="s">
        <v>1660</v>
      </c>
      <c r="C818" s="72" t="s">
        <v>4</v>
      </c>
      <c r="D818" s="73" t="s">
        <v>722</v>
      </c>
      <c r="E818" s="74"/>
      <c r="F818" s="74"/>
      <c r="G818" s="75" t="str">
        <f>IF(stdProdLT(Main[[#This Row],[Comments]])=0.1,"N/A",IF(stdProdLT(Main[[#This Row],[Comments]])=0,"",stdProdLT(Main[[#This Row],[Comments]])))</f>
        <v/>
      </c>
      <c r="H818" s="76" t="str">
        <f>IF(AND(Main[[#This Row],[In Stock Date]]&lt;&gt;"",Main[[#This Row],[Revised Due Date]]&lt;&gt;""),Main[[#This Row],[In Stock Date]]-Main[[#This Row],[Revised Due Date]],"")</f>
        <v/>
      </c>
      <c r="I818" s="72" t="s">
        <v>4</v>
      </c>
      <c r="J818" s="72" t="s">
        <v>4</v>
      </c>
      <c r="K818" s="72" t="s">
        <v>4</v>
      </c>
      <c r="L818" s="74"/>
      <c r="M818" s="77" t="str">
        <f>IF(Main[[#This Row],[Tech Start Date]]&lt;1/1/1990,"",IF(Main[[#This Row],[Class]]="C",WORKDAY(Main[[#This Row],[Tech Start Date]],9),IF(Main[[#This Row],[Class]]="B", WORKDAY(Main[[#This Row],[Tech Start Date]],6),IF(Main[[#This Row],[Class]]="A",WORKDAY(Main[[#This Row],[Tech Start Date]],2),""))))</f>
        <v/>
      </c>
      <c r="N818" s="77" t="str">
        <f>IF(Main[[#This Row],[Tech Start Date]]&lt;1/1/1990,"",IF(Main[[#This Row],[Class]]="C",WORKDAY(Main[[#This Row],[Tech Start Date]],19),IF(Main[[#This Row],[Class]]="B", WORKDAY(Main[[#This Row],[Tech Start Date]],12),IF(Main[[#This Row],[Class]]="A",WORKDAY(Main[[#This Row],[Tech Start Date]],4),""))))</f>
        <v/>
      </c>
      <c r="O818" s="77" t="str">
        <f>IF(Main[[#This Row],[Tech Start Date]]&lt;1/1/1990,"",IF(Main[[#This Row],[Class]]="C",WORKDAY(Main[[#This Row],[Tech Start Date]],23),IF(Main[[#This Row],[Class]]="B", WORKDAY(Main[[#This Row],[Tech Start Date]],15),IF(Main[[#This Row],[Class]]="A",WORKDAY(Main[[#This Row],[Tech Start Date]],5),""))))</f>
        <v/>
      </c>
      <c r="P818" s="77" t="str">
        <f>IF(Main[[#This Row],[Tech Start Date]]&lt;1/1/1990,"",IF(Main[[#This Row],[Class]]="C",WORKDAY(Main[[#This Row],[Tech Start Date]],28),IF(Main[[#This Row],[Class]]="B", WORKDAY(Main[[#This Row],[Tech Start Date]],19),IF(Main[[#This Row],[Class]]="A",WORKDAY(Main[[#This Row],[Tech Start Date]],9),""))))</f>
        <v/>
      </c>
      <c r="Q818" s="74"/>
      <c r="R818" s="74"/>
      <c r="S818" s="72" t="s">
        <v>23</v>
      </c>
      <c r="T818" s="80" t="s">
        <v>4</v>
      </c>
      <c r="U818" s="72" t="s">
        <v>14</v>
      </c>
      <c r="V818" s="72" t="s">
        <v>1935</v>
      </c>
      <c r="W818" s="72" t="s">
        <v>1936</v>
      </c>
      <c r="X818" s="72" t="s">
        <v>403</v>
      </c>
      <c r="Y818" s="72" t="s">
        <v>4</v>
      </c>
      <c r="Z818" s="72" t="s">
        <v>4</v>
      </c>
      <c r="AA818" s="147" t="s">
        <v>3621</v>
      </c>
    </row>
    <row r="819" spans="1:27" ht="18.600000000000001" customHeight="1">
      <c r="A819" s="140" t="str">
        <f>IF(priority(Main[[#This Row],[Comments]])&lt;&gt;0, priority(Main[[#This Row],[Comments]]),"")</f>
        <v/>
      </c>
      <c r="B819" s="90" t="s">
        <v>1871</v>
      </c>
      <c r="C819" s="72" t="s">
        <v>4</v>
      </c>
      <c r="D819" s="73" t="s">
        <v>920</v>
      </c>
      <c r="E819" s="74"/>
      <c r="F819" s="74"/>
      <c r="G819" s="75" t="str">
        <f>IF(stdProdLT(Main[[#This Row],[Comments]])=0.1,"N/A",IF(stdProdLT(Main[[#This Row],[Comments]])=0,"",stdProdLT(Main[[#This Row],[Comments]])))</f>
        <v/>
      </c>
      <c r="H819" s="76" t="str">
        <f>IF(AND(Main[[#This Row],[In Stock Date]]&lt;&gt;"",Main[[#This Row],[Revised Due Date]]&lt;&gt;""),Main[[#This Row],[In Stock Date]]-Main[[#This Row],[Revised Due Date]],"")</f>
        <v/>
      </c>
      <c r="I819" s="72" t="s">
        <v>863</v>
      </c>
      <c r="J819" s="72" t="s">
        <v>4</v>
      </c>
      <c r="K819" s="72" t="s">
        <v>1944</v>
      </c>
      <c r="L819" s="74"/>
      <c r="M819" s="77" t="str">
        <f>IF(Main[[#This Row],[Tech Start Date]]&lt;1/1/1990,"",IF(Main[[#This Row],[Class]]="C",WORKDAY(Main[[#This Row],[Tech Start Date]],9),IF(Main[[#This Row],[Class]]="B", WORKDAY(Main[[#This Row],[Tech Start Date]],6),IF(Main[[#This Row],[Class]]="A",WORKDAY(Main[[#This Row],[Tech Start Date]],2),""))))</f>
        <v/>
      </c>
      <c r="N819" s="77" t="str">
        <f>IF(Main[[#This Row],[Tech Start Date]]&lt;1/1/1990,"",IF(Main[[#This Row],[Class]]="C",WORKDAY(Main[[#This Row],[Tech Start Date]],19),IF(Main[[#This Row],[Class]]="B", WORKDAY(Main[[#This Row],[Tech Start Date]],12),IF(Main[[#This Row],[Class]]="A",WORKDAY(Main[[#This Row],[Tech Start Date]],4),""))))</f>
        <v/>
      </c>
      <c r="O819" s="77" t="str">
        <f>IF(Main[[#This Row],[Tech Start Date]]&lt;1/1/1990,"",IF(Main[[#This Row],[Class]]="C",WORKDAY(Main[[#This Row],[Tech Start Date]],23),IF(Main[[#This Row],[Class]]="B", WORKDAY(Main[[#This Row],[Tech Start Date]],15),IF(Main[[#This Row],[Class]]="A",WORKDAY(Main[[#This Row],[Tech Start Date]],5),""))))</f>
        <v/>
      </c>
      <c r="P819" s="77" t="str">
        <f>IF(Main[[#This Row],[Tech Start Date]]&lt;1/1/1990,"",IF(Main[[#This Row],[Class]]="C",WORKDAY(Main[[#This Row],[Tech Start Date]],28),IF(Main[[#This Row],[Class]]="B", WORKDAY(Main[[#This Row],[Tech Start Date]],19),IF(Main[[#This Row],[Class]]="A",WORKDAY(Main[[#This Row],[Tech Start Date]],9),""))))</f>
        <v/>
      </c>
      <c r="Q819" s="74"/>
      <c r="R819" s="74">
        <v>40543</v>
      </c>
      <c r="S819" s="72" t="s">
        <v>17</v>
      </c>
      <c r="T819" s="80" t="s">
        <v>4</v>
      </c>
      <c r="U819" s="72" t="s">
        <v>14</v>
      </c>
      <c r="V819" s="72" t="s">
        <v>1935</v>
      </c>
      <c r="W819" s="72" t="s">
        <v>1940</v>
      </c>
      <c r="X819" s="72" t="s">
        <v>310</v>
      </c>
      <c r="Y819" s="72" t="s">
        <v>4</v>
      </c>
      <c r="Z819" s="72" t="s">
        <v>420</v>
      </c>
      <c r="AA819" s="147" t="s">
        <v>3622</v>
      </c>
    </row>
    <row r="820" spans="1:27" ht="18.600000000000001" customHeight="1">
      <c r="A820" s="140" t="str">
        <f>IF(priority(Main[[#This Row],[Comments]])&lt;&gt;0, priority(Main[[#This Row],[Comments]]),"")</f>
        <v/>
      </c>
      <c r="B820" s="90" t="s">
        <v>1661</v>
      </c>
      <c r="C820" s="72" t="s">
        <v>113</v>
      </c>
      <c r="D820" s="73" t="s">
        <v>723</v>
      </c>
      <c r="E820" s="74"/>
      <c r="F820" s="74">
        <v>40817</v>
      </c>
      <c r="G820" s="75" t="str">
        <f>IF(stdProdLT(Main[[#This Row],[Comments]])=0.1,"N/A",IF(stdProdLT(Main[[#This Row],[Comments]])=0,"",stdProdLT(Main[[#This Row],[Comments]])))</f>
        <v/>
      </c>
      <c r="H820" s="76" t="str">
        <f>IF(AND(Main[[#This Row],[In Stock Date]]&lt;&gt;"",Main[[#This Row],[Revised Due Date]]&lt;&gt;""),Main[[#This Row],[In Stock Date]]-Main[[#This Row],[Revised Due Date]],"")</f>
        <v/>
      </c>
      <c r="I820" s="72" t="s">
        <v>4</v>
      </c>
      <c r="J820" s="72" t="s">
        <v>28</v>
      </c>
      <c r="K820" s="72" t="s">
        <v>1945</v>
      </c>
      <c r="L820" s="74"/>
      <c r="M820" s="77" t="str">
        <f>IF(Main[[#This Row],[Tech Start Date]]&lt;1/1/1990,"",IF(Main[[#This Row],[Class]]="C",WORKDAY(Main[[#This Row],[Tech Start Date]],9),IF(Main[[#This Row],[Class]]="B", WORKDAY(Main[[#This Row],[Tech Start Date]],6),IF(Main[[#This Row],[Class]]="A",WORKDAY(Main[[#This Row],[Tech Start Date]],2),""))))</f>
        <v/>
      </c>
      <c r="N820" s="77" t="str">
        <f>IF(Main[[#This Row],[Tech Start Date]]&lt;1/1/1990,"",IF(Main[[#This Row],[Class]]="C",WORKDAY(Main[[#This Row],[Tech Start Date]],19),IF(Main[[#This Row],[Class]]="B", WORKDAY(Main[[#This Row],[Tech Start Date]],12),IF(Main[[#This Row],[Class]]="A",WORKDAY(Main[[#This Row],[Tech Start Date]],4),""))))</f>
        <v/>
      </c>
      <c r="O820" s="77" t="str">
        <f>IF(Main[[#This Row],[Tech Start Date]]&lt;1/1/1990,"",IF(Main[[#This Row],[Class]]="C",WORKDAY(Main[[#This Row],[Tech Start Date]],23),IF(Main[[#This Row],[Class]]="B", WORKDAY(Main[[#This Row],[Tech Start Date]],15),IF(Main[[#This Row],[Class]]="A",WORKDAY(Main[[#This Row],[Tech Start Date]],5),""))))</f>
        <v/>
      </c>
      <c r="P820" s="77" t="str">
        <f>IF(Main[[#This Row],[Tech Start Date]]&lt;1/1/1990,"",IF(Main[[#This Row],[Class]]="C",WORKDAY(Main[[#This Row],[Tech Start Date]],28),IF(Main[[#This Row],[Class]]="B", WORKDAY(Main[[#This Row],[Tech Start Date]],19),IF(Main[[#This Row],[Class]]="A",WORKDAY(Main[[#This Row],[Tech Start Date]],9),""))))</f>
        <v/>
      </c>
      <c r="Q820" s="74">
        <v>40634</v>
      </c>
      <c r="R820" s="74"/>
      <c r="S820" s="72" t="s">
        <v>11</v>
      </c>
      <c r="T820" s="80" t="s">
        <v>4</v>
      </c>
      <c r="U820" s="72" t="s">
        <v>14</v>
      </c>
      <c r="V820" s="72" t="s">
        <v>1932</v>
      </c>
      <c r="W820" s="72" t="s">
        <v>1938</v>
      </c>
      <c r="X820" s="72" t="s">
        <v>2917</v>
      </c>
      <c r="Y820" s="72" t="s">
        <v>3026</v>
      </c>
      <c r="Z820" s="72" t="s">
        <v>129</v>
      </c>
      <c r="AA820" s="147" t="s">
        <v>2917</v>
      </c>
    </row>
    <row r="821" spans="1:27" ht="18.600000000000001" customHeight="1">
      <c r="A821" s="140" t="str">
        <f>IF(priority(Main[[#This Row],[Comments]])&lt;&gt;0, priority(Main[[#This Row],[Comments]]),"")</f>
        <v/>
      </c>
      <c r="B821" s="90" t="s">
        <v>1662</v>
      </c>
      <c r="C821" s="72" t="s">
        <v>4</v>
      </c>
      <c r="D821" s="73" t="s">
        <v>39</v>
      </c>
      <c r="E821" s="74"/>
      <c r="F821" s="74"/>
      <c r="G821" s="75" t="str">
        <f>IF(stdProdLT(Main[[#This Row],[Comments]])=0.1,"N/A",IF(stdProdLT(Main[[#This Row],[Comments]])=0,"",stdProdLT(Main[[#This Row],[Comments]])))</f>
        <v/>
      </c>
      <c r="H821" s="76" t="str">
        <f>IF(AND(Main[[#This Row],[In Stock Date]]&lt;&gt;"",Main[[#This Row],[Revised Due Date]]&lt;&gt;""),Main[[#This Row],[In Stock Date]]-Main[[#This Row],[Revised Due Date]],"")</f>
        <v/>
      </c>
      <c r="I821" s="72" t="s">
        <v>4</v>
      </c>
      <c r="J821" s="72" t="s">
        <v>4</v>
      </c>
      <c r="K821" s="72" t="s">
        <v>4</v>
      </c>
      <c r="L821" s="74"/>
      <c r="M821" s="77" t="str">
        <f>IF(Main[[#This Row],[Tech Start Date]]&lt;1/1/1990,"",IF(Main[[#This Row],[Class]]="C",WORKDAY(Main[[#This Row],[Tech Start Date]],9),IF(Main[[#This Row],[Class]]="B", WORKDAY(Main[[#This Row],[Tech Start Date]],6),IF(Main[[#This Row],[Class]]="A",WORKDAY(Main[[#This Row],[Tech Start Date]],2),""))))</f>
        <v/>
      </c>
      <c r="N821" s="77" t="str">
        <f>IF(Main[[#This Row],[Tech Start Date]]&lt;1/1/1990,"",IF(Main[[#This Row],[Class]]="C",WORKDAY(Main[[#This Row],[Tech Start Date]],19),IF(Main[[#This Row],[Class]]="B", WORKDAY(Main[[#This Row],[Tech Start Date]],12),IF(Main[[#This Row],[Class]]="A",WORKDAY(Main[[#This Row],[Tech Start Date]],4),""))))</f>
        <v/>
      </c>
      <c r="O821" s="77" t="str">
        <f>IF(Main[[#This Row],[Tech Start Date]]&lt;1/1/1990,"",IF(Main[[#This Row],[Class]]="C",WORKDAY(Main[[#This Row],[Tech Start Date]],23),IF(Main[[#This Row],[Class]]="B", WORKDAY(Main[[#This Row],[Tech Start Date]],15),IF(Main[[#This Row],[Class]]="A",WORKDAY(Main[[#This Row],[Tech Start Date]],5),""))))</f>
        <v/>
      </c>
      <c r="P821" s="77" t="str">
        <f>IF(Main[[#This Row],[Tech Start Date]]&lt;1/1/1990,"",IF(Main[[#This Row],[Class]]="C",WORKDAY(Main[[#This Row],[Tech Start Date]],28),IF(Main[[#This Row],[Class]]="B", WORKDAY(Main[[#This Row],[Tech Start Date]],19),IF(Main[[#This Row],[Class]]="A",WORKDAY(Main[[#This Row],[Tech Start Date]],9),""))))</f>
        <v/>
      </c>
      <c r="Q821" s="74">
        <v>40669</v>
      </c>
      <c r="R821" s="74"/>
      <c r="S821" s="72" t="s">
        <v>6</v>
      </c>
      <c r="T821" s="80" t="s">
        <v>4</v>
      </c>
      <c r="U821" s="72" t="s">
        <v>14</v>
      </c>
      <c r="V821" s="72" t="s">
        <v>1935</v>
      </c>
      <c r="W821" s="72" t="s">
        <v>4</v>
      </c>
      <c r="X821" s="72" t="s">
        <v>2902</v>
      </c>
      <c r="Y821" s="72" t="s">
        <v>3016</v>
      </c>
      <c r="Z821" s="72" t="s">
        <v>4</v>
      </c>
      <c r="AA821" s="147" t="s">
        <v>2902</v>
      </c>
    </row>
    <row r="822" spans="1:27" ht="18.600000000000001" customHeight="1">
      <c r="A822" s="140" t="str">
        <f>IF(priority(Main[[#This Row],[Comments]])&lt;&gt;0, priority(Main[[#This Row],[Comments]]),"")</f>
        <v/>
      </c>
      <c r="B822" s="90" t="s">
        <v>1663</v>
      </c>
      <c r="C822" s="72" t="s">
        <v>4</v>
      </c>
      <c r="D822" s="73" t="s">
        <v>724</v>
      </c>
      <c r="E822" s="74"/>
      <c r="F822" s="74"/>
      <c r="G822" s="75" t="str">
        <f>IF(stdProdLT(Main[[#This Row],[Comments]])=0.1,"N/A",IF(stdProdLT(Main[[#This Row],[Comments]])=0,"",stdProdLT(Main[[#This Row],[Comments]])))</f>
        <v/>
      </c>
      <c r="H822" s="76" t="str">
        <f>IF(AND(Main[[#This Row],[In Stock Date]]&lt;&gt;"",Main[[#This Row],[Revised Due Date]]&lt;&gt;""),Main[[#This Row],[In Stock Date]]-Main[[#This Row],[Revised Due Date]],"")</f>
        <v/>
      </c>
      <c r="I822" s="72" t="s">
        <v>4</v>
      </c>
      <c r="J822" s="72" t="s">
        <v>4</v>
      </c>
      <c r="K822" s="72" t="s">
        <v>4</v>
      </c>
      <c r="L822" s="74"/>
      <c r="M822" s="77" t="str">
        <f>IF(Main[[#This Row],[Tech Start Date]]&lt;1/1/1990,"",IF(Main[[#This Row],[Class]]="C",WORKDAY(Main[[#This Row],[Tech Start Date]],9),IF(Main[[#This Row],[Class]]="B", WORKDAY(Main[[#This Row],[Tech Start Date]],6),IF(Main[[#This Row],[Class]]="A",WORKDAY(Main[[#This Row],[Tech Start Date]],2),""))))</f>
        <v/>
      </c>
      <c r="N822" s="77" t="str">
        <f>IF(Main[[#This Row],[Tech Start Date]]&lt;1/1/1990,"",IF(Main[[#This Row],[Class]]="C",WORKDAY(Main[[#This Row],[Tech Start Date]],19),IF(Main[[#This Row],[Class]]="B", WORKDAY(Main[[#This Row],[Tech Start Date]],12),IF(Main[[#This Row],[Class]]="A",WORKDAY(Main[[#This Row],[Tech Start Date]],4),""))))</f>
        <v/>
      </c>
      <c r="O822" s="77" t="str">
        <f>IF(Main[[#This Row],[Tech Start Date]]&lt;1/1/1990,"",IF(Main[[#This Row],[Class]]="C",WORKDAY(Main[[#This Row],[Tech Start Date]],23),IF(Main[[#This Row],[Class]]="B", WORKDAY(Main[[#This Row],[Tech Start Date]],15),IF(Main[[#This Row],[Class]]="A",WORKDAY(Main[[#This Row],[Tech Start Date]],5),""))))</f>
        <v/>
      </c>
      <c r="P822" s="77" t="str">
        <f>IF(Main[[#This Row],[Tech Start Date]]&lt;1/1/1990,"",IF(Main[[#This Row],[Class]]="C",WORKDAY(Main[[#This Row],[Tech Start Date]],28),IF(Main[[#This Row],[Class]]="B", WORKDAY(Main[[#This Row],[Tech Start Date]],19),IF(Main[[#This Row],[Class]]="A",WORKDAY(Main[[#This Row],[Tech Start Date]],9),""))))</f>
        <v/>
      </c>
      <c r="Q822" s="74"/>
      <c r="R822" s="74"/>
      <c r="S822" s="72" t="s">
        <v>11</v>
      </c>
      <c r="T822" s="80" t="s">
        <v>4</v>
      </c>
      <c r="U822" s="72" t="s">
        <v>12</v>
      </c>
      <c r="V822" s="72" t="s">
        <v>1933</v>
      </c>
      <c r="W822" s="72" t="s">
        <v>4</v>
      </c>
      <c r="X822" s="72" t="s">
        <v>2946</v>
      </c>
      <c r="Y822" s="72" t="s">
        <v>4</v>
      </c>
      <c r="Z822" s="72" t="s">
        <v>4</v>
      </c>
      <c r="AA822" s="147" t="s">
        <v>4</v>
      </c>
    </row>
    <row r="823" spans="1:27" ht="18.600000000000001" customHeight="1">
      <c r="A823" s="140" t="str">
        <f>IF(priority(Main[[#This Row],[Comments]])&lt;&gt;0, priority(Main[[#This Row],[Comments]]),"")</f>
        <v/>
      </c>
      <c r="B823" s="90" t="s">
        <v>1665</v>
      </c>
      <c r="C823" s="72" t="s">
        <v>4</v>
      </c>
      <c r="D823" s="73" t="s">
        <v>725</v>
      </c>
      <c r="E823" s="74">
        <v>40715.129143518519</v>
      </c>
      <c r="F823" s="74"/>
      <c r="G823" s="75" t="str">
        <f>IF(stdProdLT(Main[[#This Row],[Comments]])=0.1,"N/A",IF(stdProdLT(Main[[#This Row],[Comments]])=0,"",stdProdLT(Main[[#This Row],[Comments]])))</f>
        <v/>
      </c>
      <c r="H823" s="76" t="str">
        <f>IF(AND(Main[[#This Row],[In Stock Date]]&lt;&gt;"",Main[[#This Row],[Revised Due Date]]&lt;&gt;""),Main[[#This Row],[In Stock Date]]-Main[[#This Row],[Revised Due Date]],"")</f>
        <v/>
      </c>
      <c r="I823" s="72" t="s">
        <v>4</v>
      </c>
      <c r="J823" s="72" t="s">
        <v>4</v>
      </c>
      <c r="K823" s="81" t="s">
        <v>4</v>
      </c>
      <c r="L823" s="74"/>
      <c r="M823" s="77" t="str">
        <f>IF(Main[[#This Row],[Tech Start Date]]&lt;1/1/1990,"",IF(Main[[#This Row],[Class]]="C",WORKDAY(Main[[#This Row],[Tech Start Date]],9),IF(Main[[#This Row],[Class]]="B", WORKDAY(Main[[#This Row],[Tech Start Date]],6),IF(Main[[#This Row],[Class]]="A",WORKDAY(Main[[#This Row],[Tech Start Date]],2),""))))</f>
        <v/>
      </c>
      <c r="N823" s="77" t="str">
        <f>IF(Main[[#This Row],[Tech Start Date]]&lt;1/1/1990,"",IF(Main[[#This Row],[Class]]="C",WORKDAY(Main[[#This Row],[Tech Start Date]],19),IF(Main[[#This Row],[Class]]="B", WORKDAY(Main[[#This Row],[Tech Start Date]],12),IF(Main[[#This Row],[Class]]="A",WORKDAY(Main[[#This Row],[Tech Start Date]],4),""))))</f>
        <v/>
      </c>
      <c r="O823" s="77" t="str">
        <f>IF(Main[[#This Row],[Tech Start Date]]&lt;1/1/1990,"",IF(Main[[#This Row],[Class]]="C",WORKDAY(Main[[#This Row],[Tech Start Date]],23),IF(Main[[#This Row],[Class]]="B", WORKDAY(Main[[#This Row],[Tech Start Date]],15),IF(Main[[#This Row],[Class]]="A",WORKDAY(Main[[#This Row],[Tech Start Date]],5),""))))</f>
        <v/>
      </c>
      <c r="P823" s="77" t="str">
        <f>IF(Main[[#This Row],[Tech Start Date]]&lt;1/1/1990,"",IF(Main[[#This Row],[Class]]="C",WORKDAY(Main[[#This Row],[Tech Start Date]],28),IF(Main[[#This Row],[Class]]="B", WORKDAY(Main[[#This Row],[Tech Start Date]],19),IF(Main[[#This Row],[Class]]="A",WORKDAY(Main[[#This Row],[Tech Start Date]],9),""))))</f>
        <v/>
      </c>
      <c r="Q823" s="74">
        <v>40717</v>
      </c>
      <c r="R823" s="74"/>
      <c r="S823" s="72" t="s">
        <v>49</v>
      </c>
      <c r="T823" s="80" t="s">
        <v>4</v>
      </c>
      <c r="U823" s="72" t="s">
        <v>7</v>
      </c>
      <c r="V823" s="72" t="s">
        <v>1933</v>
      </c>
      <c r="W823" s="72" t="s">
        <v>1936</v>
      </c>
      <c r="X823" s="72" t="s">
        <v>2941</v>
      </c>
      <c r="Y823" s="72" t="s">
        <v>3085</v>
      </c>
      <c r="Z823" s="72" t="s">
        <v>4</v>
      </c>
      <c r="AA823" s="147" t="s">
        <v>2941</v>
      </c>
    </row>
    <row r="824" spans="1:27" ht="18.600000000000001" customHeight="1">
      <c r="A824" s="140" t="str">
        <f>IF(priority(Main[[#This Row],[Comments]])&lt;&gt;0, priority(Main[[#This Row],[Comments]]),"")</f>
        <v/>
      </c>
      <c r="B824" s="90" t="s">
        <v>2127</v>
      </c>
      <c r="C824" s="72" t="s">
        <v>4</v>
      </c>
      <c r="D824" s="73" t="s">
        <v>2128</v>
      </c>
      <c r="E824" s="74">
        <v>40770.430092592593</v>
      </c>
      <c r="F824" s="74"/>
      <c r="G824" s="75" t="str">
        <f>IF(stdProdLT(Main[[#This Row],[Comments]])=0.1,"N/A",IF(stdProdLT(Main[[#This Row],[Comments]])=0,"",stdProdLT(Main[[#This Row],[Comments]])))</f>
        <v/>
      </c>
      <c r="H824" s="76" t="str">
        <f>IF(AND(Main[[#This Row],[In Stock Date]]&lt;&gt;"",Main[[#This Row],[Revised Due Date]]&lt;&gt;""),Main[[#This Row],[In Stock Date]]-Main[[#This Row],[Revised Due Date]],"")</f>
        <v/>
      </c>
      <c r="I824" s="72" t="s">
        <v>4</v>
      </c>
      <c r="J824" s="72" t="s">
        <v>4</v>
      </c>
      <c r="K824" s="72" t="s">
        <v>4</v>
      </c>
      <c r="L824" s="74"/>
      <c r="M824" s="77" t="str">
        <f>IF(Main[[#This Row],[Tech Start Date]]&lt;1/1/1990,"",IF(Main[[#This Row],[Class]]="C",WORKDAY(Main[[#This Row],[Tech Start Date]],9),IF(Main[[#This Row],[Class]]="B", WORKDAY(Main[[#This Row],[Tech Start Date]],6),IF(Main[[#This Row],[Class]]="A",WORKDAY(Main[[#This Row],[Tech Start Date]],2),""))))</f>
        <v/>
      </c>
      <c r="N824" s="77" t="str">
        <f>IF(Main[[#This Row],[Tech Start Date]]&lt;1/1/1990,"",IF(Main[[#This Row],[Class]]="C",WORKDAY(Main[[#This Row],[Tech Start Date]],19),IF(Main[[#This Row],[Class]]="B", WORKDAY(Main[[#This Row],[Tech Start Date]],12),IF(Main[[#This Row],[Class]]="A",WORKDAY(Main[[#This Row],[Tech Start Date]],4),""))))</f>
        <v/>
      </c>
      <c r="O824" s="77" t="str">
        <f>IF(Main[[#This Row],[Tech Start Date]]&lt;1/1/1990,"",IF(Main[[#This Row],[Class]]="C",WORKDAY(Main[[#This Row],[Tech Start Date]],23),IF(Main[[#This Row],[Class]]="B", WORKDAY(Main[[#This Row],[Tech Start Date]],15),IF(Main[[#This Row],[Class]]="A",WORKDAY(Main[[#This Row],[Tech Start Date]],5),""))))</f>
        <v/>
      </c>
      <c r="P824" s="77" t="str">
        <f>IF(Main[[#This Row],[Tech Start Date]]&lt;1/1/1990,"",IF(Main[[#This Row],[Class]]="C",WORKDAY(Main[[#This Row],[Tech Start Date]],28),IF(Main[[#This Row],[Class]]="B", WORKDAY(Main[[#This Row],[Tech Start Date]],19),IF(Main[[#This Row],[Class]]="A",WORKDAY(Main[[#This Row],[Tech Start Date]],9),""))))</f>
        <v/>
      </c>
      <c r="Q824" s="74">
        <v>40791</v>
      </c>
      <c r="R824" s="74"/>
      <c r="S824" s="72" t="s">
        <v>6</v>
      </c>
      <c r="T824" s="80" t="s">
        <v>4</v>
      </c>
      <c r="U824" s="72" t="s">
        <v>7</v>
      </c>
      <c r="V824" s="72" t="s">
        <v>1932</v>
      </c>
      <c r="W824" s="72" t="s">
        <v>4</v>
      </c>
      <c r="X824" s="72" t="s">
        <v>2906</v>
      </c>
      <c r="Y824" s="72" t="s">
        <v>3025</v>
      </c>
      <c r="Z824" s="72" t="s">
        <v>4</v>
      </c>
      <c r="AA824" s="147" t="s">
        <v>2906</v>
      </c>
    </row>
    <row r="825" spans="1:27" ht="18.600000000000001" customHeight="1">
      <c r="A825" s="140" t="str">
        <f>IF(priority(Main[[#This Row],[Comments]])&lt;&gt;0, priority(Main[[#This Row],[Comments]]),"")</f>
        <v/>
      </c>
      <c r="B825" s="90" t="s">
        <v>1666</v>
      </c>
      <c r="C825" s="72" t="s">
        <v>4</v>
      </c>
      <c r="D825" s="73" t="s">
        <v>726</v>
      </c>
      <c r="E825" s="74">
        <v>40651.462372685186</v>
      </c>
      <c r="F825" s="74"/>
      <c r="G825" s="75" t="str">
        <f>IF(stdProdLT(Main[[#This Row],[Comments]])=0.1,"N/A",IF(stdProdLT(Main[[#This Row],[Comments]])=0,"",stdProdLT(Main[[#This Row],[Comments]])))</f>
        <v/>
      </c>
      <c r="H825" s="76" t="str">
        <f>IF(AND(Main[[#This Row],[In Stock Date]]&lt;&gt;"",Main[[#This Row],[Revised Due Date]]&lt;&gt;""),Main[[#This Row],[In Stock Date]]-Main[[#This Row],[Revised Due Date]],"")</f>
        <v/>
      </c>
      <c r="I825" s="72" t="s">
        <v>30</v>
      </c>
      <c r="J825" s="72" t="s">
        <v>28</v>
      </c>
      <c r="K825" s="81" t="s">
        <v>1941</v>
      </c>
      <c r="L825" s="74"/>
      <c r="M825" s="77" t="str">
        <f>IF(Main[[#This Row],[Tech Start Date]]&lt;1/1/1990,"",IF(Main[[#This Row],[Class]]="C",WORKDAY(Main[[#This Row],[Tech Start Date]],9),IF(Main[[#This Row],[Class]]="B", WORKDAY(Main[[#This Row],[Tech Start Date]],6),IF(Main[[#This Row],[Class]]="A",WORKDAY(Main[[#This Row],[Tech Start Date]],2),""))))</f>
        <v/>
      </c>
      <c r="N825" s="77" t="str">
        <f>IF(Main[[#This Row],[Tech Start Date]]&lt;1/1/1990,"",IF(Main[[#This Row],[Class]]="C",WORKDAY(Main[[#This Row],[Tech Start Date]],19),IF(Main[[#This Row],[Class]]="B", WORKDAY(Main[[#This Row],[Tech Start Date]],12),IF(Main[[#This Row],[Class]]="A",WORKDAY(Main[[#This Row],[Tech Start Date]],4),""))))</f>
        <v/>
      </c>
      <c r="O825" s="77" t="str">
        <f>IF(Main[[#This Row],[Tech Start Date]]&lt;1/1/1990,"",IF(Main[[#This Row],[Class]]="C",WORKDAY(Main[[#This Row],[Tech Start Date]],23),IF(Main[[#This Row],[Class]]="B", WORKDAY(Main[[#This Row],[Tech Start Date]],15),IF(Main[[#This Row],[Class]]="A",WORKDAY(Main[[#This Row],[Tech Start Date]],5),""))))</f>
        <v/>
      </c>
      <c r="P825" s="77" t="str">
        <f>IF(Main[[#This Row],[Tech Start Date]]&lt;1/1/1990,"",IF(Main[[#This Row],[Class]]="C",WORKDAY(Main[[#This Row],[Tech Start Date]],28),IF(Main[[#This Row],[Class]]="B", WORKDAY(Main[[#This Row],[Tech Start Date]],19),IF(Main[[#This Row],[Class]]="A",WORKDAY(Main[[#This Row],[Tech Start Date]],9),""))))</f>
        <v/>
      </c>
      <c r="Q825" s="74">
        <v>40694</v>
      </c>
      <c r="R825" s="74"/>
      <c r="S825" s="72" t="s">
        <v>6</v>
      </c>
      <c r="T825" s="80" t="s">
        <v>4</v>
      </c>
      <c r="U825" s="72" t="s">
        <v>29</v>
      </c>
      <c r="V825" s="72" t="s">
        <v>1935</v>
      </c>
      <c r="W825" s="72" t="s">
        <v>1936</v>
      </c>
      <c r="X825" s="72" t="s">
        <v>30</v>
      </c>
      <c r="Y825" s="72" t="s">
        <v>3044</v>
      </c>
      <c r="Z825" s="72" t="s">
        <v>30</v>
      </c>
      <c r="AA825" s="147" t="s">
        <v>30</v>
      </c>
    </row>
    <row r="826" spans="1:27" ht="18.600000000000001" customHeight="1">
      <c r="A826" s="140" t="str">
        <f>IF(priority(Main[[#This Row],[Comments]])&lt;&gt;0, priority(Main[[#This Row],[Comments]]),"")</f>
        <v/>
      </c>
      <c r="B826" s="90" t="s">
        <v>2150</v>
      </c>
      <c r="C826" s="72" t="s">
        <v>4</v>
      </c>
      <c r="D826" s="73" t="s">
        <v>2151</v>
      </c>
      <c r="E826" s="74">
        <v>40764.690844907411</v>
      </c>
      <c r="F826" s="74"/>
      <c r="G826" s="75" t="str">
        <f>IF(stdProdLT(Main[[#This Row],[Comments]])=0.1,"N/A",IF(stdProdLT(Main[[#This Row],[Comments]])=0,"",stdProdLT(Main[[#This Row],[Comments]])))</f>
        <v/>
      </c>
      <c r="H826" s="76" t="str">
        <f>IF(AND(Main[[#This Row],[In Stock Date]]&lt;&gt;"",Main[[#This Row],[Revised Due Date]]&lt;&gt;""),Main[[#This Row],[In Stock Date]]-Main[[#This Row],[Revised Due Date]],"")</f>
        <v/>
      </c>
      <c r="I826" s="72" t="s">
        <v>2237</v>
      </c>
      <c r="J826" s="72" t="s">
        <v>4</v>
      </c>
      <c r="K826" s="81" t="s">
        <v>4</v>
      </c>
      <c r="L826" s="74"/>
      <c r="M826" s="77" t="str">
        <f>IF(Main[[#This Row],[Tech Start Date]]&lt;1/1/1990,"",IF(Main[[#This Row],[Class]]="C",WORKDAY(Main[[#This Row],[Tech Start Date]],9),IF(Main[[#This Row],[Class]]="B", WORKDAY(Main[[#This Row],[Tech Start Date]],6),IF(Main[[#This Row],[Class]]="A",WORKDAY(Main[[#This Row],[Tech Start Date]],2),""))))</f>
        <v/>
      </c>
      <c r="N826" s="77" t="str">
        <f>IF(Main[[#This Row],[Tech Start Date]]&lt;1/1/1990,"",IF(Main[[#This Row],[Class]]="C",WORKDAY(Main[[#This Row],[Tech Start Date]],19),IF(Main[[#This Row],[Class]]="B", WORKDAY(Main[[#This Row],[Tech Start Date]],12),IF(Main[[#This Row],[Class]]="A",WORKDAY(Main[[#This Row],[Tech Start Date]],4),""))))</f>
        <v/>
      </c>
      <c r="O826" s="77" t="str">
        <f>IF(Main[[#This Row],[Tech Start Date]]&lt;1/1/1990,"",IF(Main[[#This Row],[Class]]="C",WORKDAY(Main[[#This Row],[Tech Start Date]],23),IF(Main[[#This Row],[Class]]="B", WORKDAY(Main[[#This Row],[Tech Start Date]],15),IF(Main[[#This Row],[Class]]="A",WORKDAY(Main[[#This Row],[Tech Start Date]],5),""))))</f>
        <v/>
      </c>
      <c r="P826" s="77" t="str">
        <f>IF(Main[[#This Row],[Tech Start Date]]&lt;1/1/1990,"",IF(Main[[#This Row],[Class]]="C",WORKDAY(Main[[#This Row],[Tech Start Date]],28),IF(Main[[#This Row],[Class]]="B", WORKDAY(Main[[#This Row],[Tech Start Date]],19),IF(Main[[#This Row],[Class]]="A",WORKDAY(Main[[#This Row],[Tech Start Date]],9),""))))</f>
        <v/>
      </c>
      <c r="Q826" s="74"/>
      <c r="R826" s="74"/>
      <c r="S826" s="72" t="s">
        <v>6</v>
      </c>
      <c r="T826" s="80" t="s">
        <v>4</v>
      </c>
      <c r="U826" s="72" t="s">
        <v>7</v>
      </c>
      <c r="V826" s="72" t="s">
        <v>1947</v>
      </c>
      <c r="W826" s="72" t="s">
        <v>1934</v>
      </c>
      <c r="X826" s="72" t="s">
        <v>310</v>
      </c>
      <c r="Y826" s="72" t="s">
        <v>4</v>
      </c>
      <c r="Z826" s="72" t="s">
        <v>2237</v>
      </c>
      <c r="AA826" s="147" t="s">
        <v>4</v>
      </c>
    </row>
    <row r="827" spans="1:27" ht="18.600000000000001" customHeight="1">
      <c r="A827" s="140" t="str">
        <f>IF(priority(Main[[#This Row],[Comments]])&lt;&gt;0, priority(Main[[#This Row],[Comments]]),"")</f>
        <v/>
      </c>
      <c r="B827" s="90" t="s">
        <v>1215</v>
      </c>
      <c r="C827" s="72" t="s">
        <v>4</v>
      </c>
      <c r="D827" s="73" t="s">
        <v>263</v>
      </c>
      <c r="E827" s="74">
        <v>40667.612881944442</v>
      </c>
      <c r="F827" s="74"/>
      <c r="G827" s="75" t="str">
        <f>IF(stdProdLT(Main[[#This Row],[Comments]])=0.1,"N/A",IF(stdProdLT(Main[[#This Row],[Comments]])=0,"",stdProdLT(Main[[#This Row],[Comments]])))</f>
        <v/>
      </c>
      <c r="H827" s="76" t="str">
        <f>IF(AND(Main[[#This Row],[In Stock Date]]&lt;&gt;"",Main[[#This Row],[Revised Due Date]]&lt;&gt;""),Main[[#This Row],[In Stock Date]]-Main[[#This Row],[Revised Due Date]],"")</f>
        <v/>
      </c>
      <c r="I827" s="72" t="s">
        <v>4</v>
      </c>
      <c r="J827" s="72" t="s">
        <v>4</v>
      </c>
      <c r="K827" s="72" t="s">
        <v>4</v>
      </c>
      <c r="L827" s="74"/>
      <c r="M827" s="77" t="str">
        <f>IF(Main[[#This Row],[Tech Start Date]]&lt;1/1/1990,"",IF(Main[[#This Row],[Class]]="C",WORKDAY(Main[[#This Row],[Tech Start Date]],9),IF(Main[[#This Row],[Class]]="B", WORKDAY(Main[[#This Row],[Tech Start Date]],6),IF(Main[[#This Row],[Class]]="A",WORKDAY(Main[[#This Row],[Tech Start Date]],2),""))))</f>
        <v/>
      </c>
      <c r="N827" s="77" t="str">
        <f>IF(Main[[#This Row],[Tech Start Date]]&lt;1/1/1990,"",IF(Main[[#This Row],[Class]]="C",WORKDAY(Main[[#This Row],[Tech Start Date]],19),IF(Main[[#This Row],[Class]]="B", WORKDAY(Main[[#This Row],[Tech Start Date]],12),IF(Main[[#This Row],[Class]]="A",WORKDAY(Main[[#This Row],[Tech Start Date]],4),""))))</f>
        <v/>
      </c>
      <c r="O827" s="77" t="str">
        <f>IF(Main[[#This Row],[Tech Start Date]]&lt;1/1/1990,"",IF(Main[[#This Row],[Class]]="C",WORKDAY(Main[[#This Row],[Tech Start Date]],23),IF(Main[[#This Row],[Class]]="B", WORKDAY(Main[[#This Row],[Tech Start Date]],15),IF(Main[[#This Row],[Class]]="A",WORKDAY(Main[[#This Row],[Tech Start Date]],5),""))))</f>
        <v/>
      </c>
      <c r="P827" s="77" t="str">
        <f>IF(Main[[#This Row],[Tech Start Date]]&lt;1/1/1990,"",IF(Main[[#This Row],[Class]]="C",WORKDAY(Main[[#This Row],[Tech Start Date]],28),IF(Main[[#This Row],[Class]]="B", WORKDAY(Main[[#This Row],[Tech Start Date]],19),IF(Main[[#This Row],[Class]]="A",WORKDAY(Main[[#This Row],[Tech Start Date]],9),""))))</f>
        <v/>
      </c>
      <c r="Q827" s="74">
        <v>40858</v>
      </c>
      <c r="R827" s="74"/>
      <c r="S827" s="72" t="s">
        <v>17</v>
      </c>
      <c r="T827" s="80" t="s">
        <v>4</v>
      </c>
      <c r="U827" s="72" t="s">
        <v>7</v>
      </c>
      <c r="V827" s="72" t="s">
        <v>1932</v>
      </c>
      <c r="W827" s="72" t="s">
        <v>1937</v>
      </c>
      <c r="X827" s="72" t="s">
        <v>50</v>
      </c>
      <c r="Y827" s="72" t="s">
        <v>3046</v>
      </c>
      <c r="Z827" s="72" t="s">
        <v>4</v>
      </c>
      <c r="AA827" s="147" t="s">
        <v>2912</v>
      </c>
    </row>
    <row r="828" spans="1:27" ht="18.600000000000001" customHeight="1">
      <c r="A828" s="140" t="str">
        <f>IF(priority(Main[[#This Row],[Comments]])&lt;&gt;0, priority(Main[[#This Row],[Comments]]),"")</f>
        <v/>
      </c>
      <c r="B828" s="90" t="s">
        <v>2084</v>
      </c>
      <c r="C828" s="72" t="s">
        <v>4</v>
      </c>
      <c r="D828" s="73" t="s">
        <v>2085</v>
      </c>
      <c r="E828" s="74">
        <v>40759.465995370374</v>
      </c>
      <c r="F828" s="74"/>
      <c r="G828" s="75" t="str">
        <f>IF(stdProdLT(Main[[#This Row],[Comments]])=0.1,"N/A",IF(stdProdLT(Main[[#This Row],[Comments]])=0,"",stdProdLT(Main[[#This Row],[Comments]])))</f>
        <v/>
      </c>
      <c r="H828" s="76" t="str">
        <f>IF(AND(Main[[#This Row],[In Stock Date]]&lt;&gt;"",Main[[#This Row],[Revised Due Date]]&lt;&gt;""),Main[[#This Row],[In Stock Date]]-Main[[#This Row],[Revised Due Date]],"")</f>
        <v/>
      </c>
      <c r="I828" s="72" t="s">
        <v>923</v>
      </c>
      <c r="J828" s="72" t="s">
        <v>52</v>
      </c>
      <c r="K828" s="81" t="s">
        <v>4</v>
      </c>
      <c r="L828" s="74"/>
      <c r="M828" s="77" t="str">
        <f>IF(Main[[#This Row],[Tech Start Date]]&lt;1/1/1990,"",IF(Main[[#This Row],[Class]]="C",WORKDAY(Main[[#This Row],[Tech Start Date]],9),IF(Main[[#This Row],[Class]]="B", WORKDAY(Main[[#This Row],[Tech Start Date]],6),IF(Main[[#This Row],[Class]]="A",WORKDAY(Main[[#This Row],[Tech Start Date]],2),""))))</f>
        <v/>
      </c>
      <c r="N828" s="77" t="str">
        <f>IF(Main[[#This Row],[Tech Start Date]]&lt;1/1/1990,"",IF(Main[[#This Row],[Class]]="C",WORKDAY(Main[[#This Row],[Tech Start Date]],19),IF(Main[[#This Row],[Class]]="B", WORKDAY(Main[[#This Row],[Tech Start Date]],12),IF(Main[[#This Row],[Class]]="A",WORKDAY(Main[[#This Row],[Tech Start Date]],4),""))))</f>
        <v/>
      </c>
      <c r="O828" s="77" t="str">
        <f>IF(Main[[#This Row],[Tech Start Date]]&lt;1/1/1990,"",IF(Main[[#This Row],[Class]]="C",WORKDAY(Main[[#This Row],[Tech Start Date]],23),IF(Main[[#This Row],[Class]]="B", WORKDAY(Main[[#This Row],[Tech Start Date]],15),IF(Main[[#This Row],[Class]]="A",WORKDAY(Main[[#This Row],[Tech Start Date]],5),""))))</f>
        <v/>
      </c>
      <c r="P828" s="77" t="str">
        <f>IF(Main[[#This Row],[Tech Start Date]]&lt;1/1/1990,"",IF(Main[[#This Row],[Class]]="C",WORKDAY(Main[[#This Row],[Tech Start Date]],28),IF(Main[[#This Row],[Class]]="B", WORKDAY(Main[[#This Row],[Tech Start Date]],19),IF(Main[[#This Row],[Class]]="A",WORKDAY(Main[[#This Row],[Tech Start Date]],9),""))))</f>
        <v/>
      </c>
      <c r="Q828" s="74"/>
      <c r="R828" s="74"/>
      <c r="S828" s="72" t="s">
        <v>6</v>
      </c>
      <c r="T828" s="80" t="s">
        <v>4</v>
      </c>
      <c r="U828" s="72" t="s">
        <v>29</v>
      </c>
      <c r="V828" s="72" t="s">
        <v>1932</v>
      </c>
      <c r="W828" s="72" t="s">
        <v>1936</v>
      </c>
      <c r="X828" s="72" t="s">
        <v>923</v>
      </c>
      <c r="Y828" s="72" t="s">
        <v>3144</v>
      </c>
      <c r="Z828" s="72" t="s">
        <v>4</v>
      </c>
      <c r="AA828" s="147" t="s">
        <v>923</v>
      </c>
    </row>
    <row r="829" spans="1:27" ht="18.600000000000001" customHeight="1">
      <c r="A829" s="140" t="str">
        <f>IF(priority(Main[[#This Row],[Comments]])&lt;&gt;0, priority(Main[[#This Row],[Comments]]),"")</f>
        <v/>
      </c>
      <c r="B829" s="90" t="s">
        <v>1667</v>
      </c>
      <c r="C829" s="72" t="s">
        <v>33</v>
      </c>
      <c r="D829" s="73" t="s">
        <v>727</v>
      </c>
      <c r="E829" s="74"/>
      <c r="F829" s="74">
        <v>40530</v>
      </c>
      <c r="G829" s="75" t="str">
        <f>IF(stdProdLT(Main[[#This Row],[Comments]])=0.1,"N/A",IF(stdProdLT(Main[[#This Row],[Comments]])=0,"",stdProdLT(Main[[#This Row],[Comments]])))</f>
        <v/>
      </c>
      <c r="H829" s="76" t="str">
        <f>IF(AND(Main[[#This Row],[In Stock Date]]&lt;&gt;"",Main[[#This Row],[Revised Due Date]]&lt;&gt;""),Main[[#This Row],[In Stock Date]]-Main[[#This Row],[Revised Due Date]],"")</f>
        <v/>
      </c>
      <c r="I829" s="72" t="s">
        <v>74</v>
      </c>
      <c r="J829" s="72" t="s">
        <v>28</v>
      </c>
      <c r="K829" s="72" t="s">
        <v>1944</v>
      </c>
      <c r="L829" s="74"/>
      <c r="M829" s="77" t="str">
        <f>IF(Main[[#This Row],[Tech Start Date]]&lt;1/1/1990,"",IF(Main[[#This Row],[Class]]="C",WORKDAY(Main[[#This Row],[Tech Start Date]],9),IF(Main[[#This Row],[Class]]="B", WORKDAY(Main[[#This Row],[Tech Start Date]],6),IF(Main[[#This Row],[Class]]="A",WORKDAY(Main[[#This Row],[Tech Start Date]],2),""))))</f>
        <v/>
      </c>
      <c r="N829" s="77" t="str">
        <f>IF(Main[[#This Row],[Tech Start Date]]&lt;1/1/1990,"",IF(Main[[#This Row],[Class]]="C",WORKDAY(Main[[#This Row],[Tech Start Date]],19),IF(Main[[#This Row],[Class]]="B", WORKDAY(Main[[#This Row],[Tech Start Date]],12),IF(Main[[#This Row],[Class]]="A",WORKDAY(Main[[#This Row],[Tech Start Date]],4),""))))</f>
        <v/>
      </c>
      <c r="O829" s="77" t="str">
        <f>IF(Main[[#This Row],[Tech Start Date]]&lt;1/1/1990,"",IF(Main[[#This Row],[Class]]="C",WORKDAY(Main[[#This Row],[Tech Start Date]],23),IF(Main[[#This Row],[Class]]="B", WORKDAY(Main[[#This Row],[Tech Start Date]],15),IF(Main[[#This Row],[Class]]="A",WORKDAY(Main[[#This Row],[Tech Start Date]],5),""))))</f>
        <v/>
      </c>
      <c r="P829" s="77" t="str">
        <f>IF(Main[[#This Row],[Tech Start Date]]&lt;1/1/1990,"",IF(Main[[#This Row],[Class]]="C",WORKDAY(Main[[#This Row],[Tech Start Date]],28),IF(Main[[#This Row],[Class]]="B", WORKDAY(Main[[#This Row],[Tech Start Date]],19),IF(Main[[#This Row],[Class]]="A",WORKDAY(Main[[#This Row],[Tech Start Date]],9),""))))</f>
        <v/>
      </c>
      <c r="Q829" s="74">
        <v>40390</v>
      </c>
      <c r="R829" s="74"/>
      <c r="S829" s="72" t="s">
        <v>17</v>
      </c>
      <c r="T829" s="80" t="s">
        <v>4</v>
      </c>
      <c r="U829" s="72" t="s">
        <v>14</v>
      </c>
      <c r="V829" s="72" t="s">
        <v>1935</v>
      </c>
      <c r="W829" s="72" t="s">
        <v>1937</v>
      </c>
      <c r="X829" s="72" t="s">
        <v>2910</v>
      </c>
      <c r="Y829" s="72" t="s">
        <v>4</v>
      </c>
      <c r="Z829" s="72" t="s">
        <v>74</v>
      </c>
      <c r="AA829" s="147" t="s">
        <v>2910</v>
      </c>
    </row>
    <row r="830" spans="1:27" ht="18.600000000000001" customHeight="1">
      <c r="A830" s="140" t="str">
        <f>IF(priority(Main[[#This Row],[Comments]])&lt;&gt;0, priority(Main[[#This Row],[Comments]]),"")</f>
        <v/>
      </c>
      <c r="B830" s="90" t="s">
        <v>1668</v>
      </c>
      <c r="C830" s="72" t="s">
        <v>4</v>
      </c>
      <c r="D830" s="73" t="s">
        <v>542</v>
      </c>
      <c r="E830" s="74"/>
      <c r="F830" s="74"/>
      <c r="G830" s="75" t="str">
        <f>IF(stdProdLT(Main[[#This Row],[Comments]])=0.1,"N/A",IF(stdProdLT(Main[[#This Row],[Comments]])=0,"",stdProdLT(Main[[#This Row],[Comments]])))</f>
        <v/>
      </c>
      <c r="H830" s="76" t="str">
        <f>IF(AND(Main[[#This Row],[In Stock Date]]&lt;&gt;"",Main[[#This Row],[Revised Due Date]]&lt;&gt;""),Main[[#This Row],[In Stock Date]]-Main[[#This Row],[Revised Due Date]],"")</f>
        <v/>
      </c>
      <c r="I830" s="72" t="s">
        <v>4</v>
      </c>
      <c r="J830" s="72" t="s">
        <v>4</v>
      </c>
      <c r="K830" s="81" t="s">
        <v>4</v>
      </c>
      <c r="L830" s="74"/>
      <c r="M830" s="77" t="str">
        <f>IF(Main[[#This Row],[Tech Start Date]]&lt;1/1/1990,"",IF(Main[[#This Row],[Class]]="C",WORKDAY(Main[[#This Row],[Tech Start Date]],9),IF(Main[[#This Row],[Class]]="B", WORKDAY(Main[[#This Row],[Tech Start Date]],6),IF(Main[[#This Row],[Class]]="A",WORKDAY(Main[[#This Row],[Tech Start Date]],2),""))))</f>
        <v/>
      </c>
      <c r="N830" s="77" t="str">
        <f>IF(Main[[#This Row],[Tech Start Date]]&lt;1/1/1990,"",IF(Main[[#This Row],[Class]]="C",WORKDAY(Main[[#This Row],[Tech Start Date]],19),IF(Main[[#This Row],[Class]]="B", WORKDAY(Main[[#This Row],[Tech Start Date]],12),IF(Main[[#This Row],[Class]]="A",WORKDAY(Main[[#This Row],[Tech Start Date]],4),""))))</f>
        <v/>
      </c>
      <c r="O830" s="77" t="str">
        <f>IF(Main[[#This Row],[Tech Start Date]]&lt;1/1/1990,"",IF(Main[[#This Row],[Class]]="C",WORKDAY(Main[[#This Row],[Tech Start Date]],23),IF(Main[[#This Row],[Class]]="B", WORKDAY(Main[[#This Row],[Tech Start Date]],15),IF(Main[[#This Row],[Class]]="A",WORKDAY(Main[[#This Row],[Tech Start Date]],5),""))))</f>
        <v/>
      </c>
      <c r="P830" s="77" t="str">
        <f>IF(Main[[#This Row],[Tech Start Date]]&lt;1/1/1990,"",IF(Main[[#This Row],[Class]]="C",WORKDAY(Main[[#This Row],[Tech Start Date]],28),IF(Main[[#This Row],[Class]]="B", WORKDAY(Main[[#This Row],[Tech Start Date]],19),IF(Main[[#This Row],[Class]]="A",WORKDAY(Main[[#This Row],[Tech Start Date]],9),""))))</f>
        <v/>
      </c>
      <c r="Q830" s="74">
        <v>40606</v>
      </c>
      <c r="R830" s="74"/>
      <c r="S830" s="72" t="s">
        <v>6</v>
      </c>
      <c r="T830" s="80" t="s">
        <v>4</v>
      </c>
      <c r="U830" s="72" t="s">
        <v>14</v>
      </c>
      <c r="V830" s="72" t="s">
        <v>1935</v>
      </c>
      <c r="W830" s="72" t="s">
        <v>1936</v>
      </c>
      <c r="X830" s="72" t="s">
        <v>2920</v>
      </c>
      <c r="Y830" s="72" t="s">
        <v>3052</v>
      </c>
      <c r="Z830" s="72" t="s">
        <v>4</v>
      </c>
      <c r="AA830" s="147" t="s">
        <v>2920</v>
      </c>
    </row>
    <row r="831" spans="1:27" ht="18.600000000000001" customHeight="1">
      <c r="A831" s="140" t="str">
        <f>IF(priority(Main[[#This Row],[Comments]])&lt;&gt;0, priority(Main[[#This Row],[Comments]]),"")</f>
        <v/>
      </c>
      <c r="B831" s="90" t="s">
        <v>1422</v>
      </c>
      <c r="C831" s="72" t="s">
        <v>4</v>
      </c>
      <c r="D831" s="73" t="s">
        <v>1970</v>
      </c>
      <c r="E831" s="74"/>
      <c r="F831" s="74"/>
      <c r="G831" s="75" t="str">
        <f>IF(stdProdLT(Main[[#This Row],[Comments]])=0.1,"N/A",IF(stdProdLT(Main[[#This Row],[Comments]])=0,"",stdProdLT(Main[[#This Row],[Comments]])))</f>
        <v/>
      </c>
      <c r="H831" s="76" t="str">
        <f>IF(AND(Main[[#This Row],[In Stock Date]]&lt;&gt;"",Main[[#This Row],[Revised Due Date]]&lt;&gt;""),Main[[#This Row],[In Stock Date]]-Main[[#This Row],[Revised Due Date]],"")</f>
        <v/>
      </c>
      <c r="I831" s="72" t="s">
        <v>4</v>
      </c>
      <c r="J831" s="72" t="s">
        <v>4</v>
      </c>
      <c r="K831" s="81" t="s">
        <v>4</v>
      </c>
      <c r="L831" s="74"/>
      <c r="M831" s="77" t="str">
        <f>IF(Main[[#This Row],[Tech Start Date]]&lt;1/1/1990,"",IF(Main[[#This Row],[Class]]="C",WORKDAY(Main[[#This Row],[Tech Start Date]],9),IF(Main[[#This Row],[Class]]="B", WORKDAY(Main[[#This Row],[Tech Start Date]],6),IF(Main[[#This Row],[Class]]="A",WORKDAY(Main[[#This Row],[Tech Start Date]],2),""))))</f>
        <v/>
      </c>
      <c r="N831" s="77" t="str">
        <f>IF(Main[[#This Row],[Tech Start Date]]&lt;1/1/1990,"",IF(Main[[#This Row],[Class]]="C",WORKDAY(Main[[#This Row],[Tech Start Date]],19),IF(Main[[#This Row],[Class]]="B", WORKDAY(Main[[#This Row],[Tech Start Date]],12),IF(Main[[#This Row],[Class]]="A",WORKDAY(Main[[#This Row],[Tech Start Date]],4),""))))</f>
        <v/>
      </c>
      <c r="O831" s="77" t="str">
        <f>IF(Main[[#This Row],[Tech Start Date]]&lt;1/1/1990,"",IF(Main[[#This Row],[Class]]="C",WORKDAY(Main[[#This Row],[Tech Start Date]],23),IF(Main[[#This Row],[Class]]="B", WORKDAY(Main[[#This Row],[Tech Start Date]],15),IF(Main[[#This Row],[Class]]="A",WORKDAY(Main[[#This Row],[Tech Start Date]],5),""))))</f>
        <v/>
      </c>
      <c r="P831" s="77" t="str">
        <f>IF(Main[[#This Row],[Tech Start Date]]&lt;1/1/1990,"",IF(Main[[#This Row],[Class]]="C",WORKDAY(Main[[#This Row],[Tech Start Date]],28),IF(Main[[#This Row],[Class]]="B", WORKDAY(Main[[#This Row],[Tech Start Date]],19),IF(Main[[#This Row],[Class]]="A",WORKDAY(Main[[#This Row],[Tech Start Date]],9),""))))</f>
        <v/>
      </c>
      <c r="Q831" s="74"/>
      <c r="R831" s="74"/>
      <c r="S831" s="72" t="s">
        <v>6</v>
      </c>
      <c r="T831" s="80" t="s">
        <v>4</v>
      </c>
      <c r="U831" s="72" t="s">
        <v>14</v>
      </c>
      <c r="V831" s="72" t="s">
        <v>1933</v>
      </c>
      <c r="W831" s="72" t="s">
        <v>1934</v>
      </c>
      <c r="X831" s="72" t="s">
        <v>933</v>
      </c>
      <c r="Y831" s="72" t="s">
        <v>3107</v>
      </c>
      <c r="Z831" s="72" t="s">
        <v>4</v>
      </c>
      <c r="AA831" s="147" t="s">
        <v>3591</v>
      </c>
    </row>
    <row r="832" spans="1:27" ht="18.600000000000001" customHeight="1">
      <c r="A832" s="140" t="str">
        <f>IF(priority(Main[[#This Row],[Comments]])&lt;&gt;0, priority(Main[[#This Row],[Comments]]),"")</f>
        <v/>
      </c>
      <c r="B832" s="90" t="s">
        <v>1669</v>
      </c>
      <c r="C832" s="72" t="s">
        <v>4</v>
      </c>
      <c r="D832" s="73" t="s">
        <v>728</v>
      </c>
      <c r="E832" s="74"/>
      <c r="F832" s="74">
        <v>40598</v>
      </c>
      <c r="G832" s="75" t="str">
        <f>IF(stdProdLT(Main[[#This Row],[Comments]])=0.1,"N/A",IF(stdProdLT(Main[[#This Row],[Comments]])=0,"",stdProdLT(Main[[#This Row],[Comments]])))</f>
        <v/>
      </c>
      <c r="H832" s="76" t="str">
        <f>IF(AND(Main[[#This Row],[In Stock Date]]&lt;&gt;"",Main[[#This Row],[Revised Due Date]]&lt;&gt;""),Main[[#This Row],[In Stock Date]]-Main[[#This Row],[Revised Due Date]],"")</f>
        <v/>
      </c>
      <c r="I832" s="72" t="s">
        <v>310</v>
      </c>
      <c r="J832" s="72" t="s">
        <v>75</v>
      </c>
      <c r="K832" s="72" t="s">
        <v>4</v>
      </c>
      <c r="L832" s="74"/>
      <c r="M832" s="77" t="str">
        <f>IF(Main[[#This Row],[Tech Start Date]]&lt;1/1/1990,"",IF(Main[[#This Row],[Class]]="C",WORKDAY(Main[[#This Row],[Tech Start Date]],9),IF(Main[[#This Row],[Class]]="B", WORKDAY(Main[[#This Row],[Tech Start Date]],6),IF(Main[[#This Row],[Class]]="A",WORKDAY(Main[[#This Row],[Tech Start Date]],2),""))))</f>
        <v/>
      </c>
      <c r="N832" s="77" t="str">
        <f>IF(Main[[#This Row],[Tech Start Date]]&lt;1/1/1990,"",IF(Main[[#This Row],[Class]]="C",WORKDAY(Main[[#This Row],[Tech Start Date]],19),IF(Main[[#This Row],[Class]]="B", WORKDAY(Main[[#This Row],[Tech Start Date]],12),IF(Main[[#This Row],[Class]]="A",WORKDAY(Main[[#This Row],[Tech Start Date]],4),""))))</f>
        <v/>
      </c>
      <c r="O832" s="77" t="str">
        <f>IF(Main[[#This Row],[Tech Start Date]]&lt;1/1/1990,"",IF(Main[[#This Row],[Class]]="C",WORKDAY(Main[[#This Row],[Tech Start Date]],23),IF(Main[[#This Row],[Class]]="B", WORKDAY(Main[[#This Row],[Tech Start Date]],15),IF(Main[[#This Row],[Class]]="A",WORKDAY(Main[[#This Row],[Tech Start Date]],5),""))))</f>
        <v/>
      </c>
      <c r="P832" s="77" t="str">
        <f>IF(Main[[#This Row],[Tech Start Date]]&lt;1/1/1990,"",IF(Main[[#This Row],[Class]]="C",WORKDAY(Main[[#This Row],[Tech Start Date]],28),IF(Main[[#This Row],[Class]]="B", WORKDAY(Main[[#This Row],[Tech Start Date]],19),IF(Main[[#This Row],[Class]]="A",WORKDAY(Main[[#This Row],[Tech Start Date]],9),""))))</f>
        <v/>
      </c>
      <c r="Q832" s="74">
        <v>40598</v>
      </c>
      <c r="R832" s="74"/>
      <c r="S832" s="72" t="s">
        <v>6</v>
      </c>
      <c r="T832" s="80" t="s">
        <v>4</v>
      </c>
      <c r="U832" s="72" t="s">
        <v>14</v>
      </c>
      <c r="V832" s="72" t="s">
        <v>1942</v>
      </c>
      <c r="W832" s="72" t="s">
        <v>1938</v>
      </c>
      <c r="X832" s="72" t="s">
        <v>2932</v>
      </c>
      <c r="Y832" s="72" t="s">
        <v>3066</v>
      </c>
      <c r="Z832" s="72" t="s">
        <v>310</v>
      </c>
      <c r="AA832" s="147" t="s">
        <v>2932</v>
      </c>
    </row>
    <row r="833" spans="1:27" ht="18.600000000000001" customHeight="1">
      <c r="A833" s="140" t="str">
        <f>IF(priority(Main[[#This Row],[Comments]])&lt;&gt;0, priority(Main[[#This Row],[Comments]]),"")</f>
        <v/>
      </c>
      <c r="B833" s="90" t="s">
        <v>1670</v>
      </c>
      <c r="C833" s="72" t="s">
        <v>351</v>
      </c>
      <c r="D833" s="73" t="s">
        <v>729</v>
      </c>
      <c r="E833" s="74"/>
      <c r="F833" s="74"/>
      <c r="G833" s="75" t="str">
        <f>IF(stdProdLT(Main[[#This Row],[Comments]])=0.1,"N/A",IF(stdProdLT(Main[[#This Row],[Comments]])=0,"",stdProdLT(Main[[#This Row],[Comments]])))</f>
        <v/>
      </c>
      <c r="H833" s="76" t="str">
        <f>IF(AND(Main[[#This Row],[In Stock Date]]&lt;&gt;"",Main[[#This Row],[Revised Due Date]]&lt;&gt;""),Main[[#This Row],[In Stock Date]]-Main[[#This Row],[Revised Due Date]],"")</f>
        <v/>
      </c>
      <c r="I833" s="72" t="s">
        <v>4</v>
      </c>
      <c r="J833" s="72" t="s">
        <v>28</v>
      </c>
      <c r="K833" s="72" t="s">
        <v>1944</v>
      </c>
      <c r="L833" s="74"/>
      <c r="M833" s="77" t="str">
        <f>IF(Main[[#This Row],[Tech Start Date]]&lt;1/1/1990,"",IF(Main[[#This Row],[Class]]="C",WORKDAY(Main[[#This Row],[Tech Start Date]],9),IF(Main[[#This Row],[Class]]="B", WORKDAY(Main[[#This Row],[Tech Start Date]],6),IF(Main[[#This Row],[Class]]="A",WORKDAY(Main[[#This Row],[Tech Start Date]],2),""))))</f>
        <v/>
      </c>
      <c r="N833" s="77" t="str">
        <f>IF(Main[[#This Row],[Tech Start Date]]&lt;1/1/1990,"",IF(Main[[#This Row],[Class]]="C",WORKDAY(Main[[#This Row],[Tech Start Date]],19),IF(Main[[#This Row],[Class]]="B", WORKDAY(Main[[#This Row],[Tech Start Date]],12),IF(Main[[#This Row],[Class]]="A",WORKDAY(Main[[#This Row],[Tech Start Date]],4),""))))</f>
        <v/>
      </c>
      <c r="O833" s="77" t="str">
        <f>IF(Main[[#This Row],[Tech Start Date]]&lt;1/1/1990,"",IF(Main[[#This Row],[Class]]="C",WORKDAY(Main[[#This Row],[Tech Start Date]],23),IF(Main[[#This Row],[Class]]="B", WORKDAY(Main[[#This Row],[Tech Start Date]],15),IF(Main[[#This Row],[Class]]="A",WORKDAY(Main[[#This Row],[Tech Start Date]],5),""))))</f>
        <v/>
      </c>
      <c r="P833" s="77" t="str">
        <f>IF(Main[[#This Row],[Tech Start Date]]&lt;1/1/1990,"",IF(Main[[#This Row],[Class]]="C",WORKDAY(Main[[#This Row],[Tech Start Date]],28),IF(Main[[#This Row],[Class]]="B", WORKDAY(Main[[#This Row],[Tech Start Date]],19),IF(Main[[#This Row],[Class]]="A",WORKDAY(Main[[#This Row],[Tech Start Date]],9),""))))</f>
        <v/>
      </c>
      <c r="Q833" s="74"/>
      <c r="R833" s="74"/>
      <c r="S833" s="72" t="s">
        <v>17</v>
      </c>
      <c r="T833" s="80" t="s">
        <v>4</v>
      </c>
      <c r="U833" s="72" t="s">
        <v>14</v>
      </c>
      <c r="V833" s="72" t="s">
        <v>1935</v>
      </c>
      <c r="W833" s="72" t="s">
        <v>1937</v>
      </c>
      <c r="X833" s="72" t="s">
        <v>50</v>
      </c>
      <c r="Y833" s="72" t="s">
        <v>3180</v>
      </c>
      <c r="Z833" s="72" t="s">
        <v>420</v>
      </c>
      <c r="AA833" s="147" t="s">
        <v>2956</v>
      </c>
    </row>
    <row r="834" spans="1:27" ht="18.600000000000001" customHeight="1">
      <c r="A834" s="140" t="str">
        <f>IF(priority(Main[[#This Row],[Comments]])&lt;&gt;0, priority(Main[[#This Row],[Comments]]),"")</f>
        <v/>
      </c>
      <c r="B834" s="90" t="s">
        <v>1672</v>
      </c>
      <c r="C834" s="72" t="s">
        <v>31</v>
      </c>
      <c r="D834" s="73" t="s">
        <v>392</v>
      </c>
      <c r="E834" s="74"/>
      <c r="F834" s="74">
        <v>40288</v>
      </c>
      <c r="G834" s="75" t="str">
        <f>IF(stdProdLT(Main[[#This Row],[Comments]])=0.1,"N/A",IF(stdProdLT(Main[[#This Row],[Comments]])=0,"",stdProdLT(Main[[#This Row],[Comments]])))</f>
        <v/>
      </c>
      <c r="H834" s="76" t="str">
        <f>IF(AND(Main[[#This Row],[In Stock Date]]&lt;&gt;"",Main[[#This Row],[Revised Due Date]]&lt;&gt;""),Main[[#This Row],[In Stock Date]]-Main[[#This Row],[Revised Due Date]],"")</f>
        <v/>
      </c>
      <c r="I834" s="72" t="s">
        <v>4</v>
      </c>
      <c r="J834" s="72" t="s">
        <v>4</v>
      </c>
      <c r="K834" s="72" t="s">
        <v>4</v>
      </c>
      <c r="L834" s="74"/>
      <c r="M834" s="77" t="str">
        <f>IF(Main[[#This Row],[Tech Start Date]]&lt;1/1/1990,"",IF(Main[[#This Row],[Class]]="C",WORKDAY(Main[[#This Row],[Tech Start Date]],9),IF(Main[[#This Row],[Class]]="B", WORKDAY(Main[[#This Row],[Tech Start Date]],6),IF(Main[[#This Row],[Class]]="A",WORKDAY(Main[[#This Row],[Tech Start Date]],2),""))))</f>
        <v/>
      </c>
      <c r="N834" s="77" t="str">
        <f>IF(Main[[#This Row],[Tech Start Date]]&lt;1/1/1990,"",IF(Main[[#This Row],[Class]]="C",WORKDAY(Main[[#This Row],[Tech Start Date]],19),IF(Main[[#This Row],[Class]]="B", WORKDAY(Main[[#This Row],[Tech Start Date]],12),IF(Main[[#This Row],[Class]]="A",WORKDAY(Main[[#This Row],[Tech Start Date]],4),""))))</f>
        <v/>
      </c>
      <c r="O834" s="77" t="str">
        <f>IF(Main[[#This Row],[Tech Start Date]]&lt;1/1/1990,"",IF(Main[[#This Row],[Class]]="C",WORKDAY(Main[[#This Row],[Tech Start Date]],23),IF(Main[[#This Row],[Class]]="B", WORKDAY(Main[[#This Row],[Tech Start Date]],15),IF(Main[[#This Row],[Class]]="A",WORKDAY(Main[[#This Row],[Tech Start Date]],5),""))))</f>
        <v/>
      </c>
      <c r="P834" s="77" t="str">
        <f>IF(Main[[#This Row],[Tech Start Date]]&lt;1/1/1990,"",IF(Main[[#This Row],[Class]]="C",WORKDAY(Main[[#This Row],[Tech Start Date]],28),IF(Main[[#This Row],[Class]]="B", WORKDAY(Main[[#This Row],[Tech Start Date]],19),IF(Main[[#This Row],[Class]]="A",WORKDAY(Main[[#This Row],[Tech Start Date]],9),""))))</f>
        <v/>
      </c>
      <c r="Q834" s="74">
        <v>40106</v>
      </c>
      <c r="R834" s="74"/>
      <c r="S834" s="72" t="s">
        <v>11</v>
      </c>
      <c r="T834" s="80" t="s">
        <v>4</v>
      </c>
      <c r="U834" s="72" t="s">
        <v>14</v>
      </c>
      <c r="V834" s="72" t="s">
        <v>1935</v>
      </c>
      <c r="W834" s="72" t="s">
        <v>1943</v>
      </c>
      <c r="X834" s="72" t="s">
        <v>2914</v>
      </c>
      <c r="Y834" s="72" t="s">
        <v>4</v>
      </c>
      <c r="Z834" s="72" t="s">
        <v>4</v>
      </c>
      <c r="AA834" s="147" t="s">
        <v>2914</v>
      </c>
    </row>
    <row r="835" spans="1:27" ht="18.600000000000001" customHeight="1">
      <c r="A835" s="140" t="str">
        <f>IF(priority(Main[[#This Row],[Comments]])&lt;&gt;0, priority(Main[[#This Row],[Comments]]),"")</f>
        <v/>
      </c>
      <c r="B835" s="90" t="s">
        <v>1695</v>
      </c>
      <c r="C835" s="72" t="s">
        <v>4</v>
      </c>
      <c r="D835" s="73" t="s">
        <v>39</v>
      </c>
      <c r="E835" s="74"/>
      <c r="F835" s="74"/>
      <c r="G835" s="75" t="str">
        <f>IF(stdProdLT(Main[[#This Row],[Comments]])=0.1,"N/A",IF(stdProdLT(Main[[#This Row],[Comments]])=0,"",stdProdLT(Main[[#This Row],[Comments]])))</f>
        <v/>
      </c>
      <c r="H835" s="76" t="str">
        <f>IF(AND(Main[[#This Row],[In Stock Date]]&lt;&gt;"",Main[[#This Row],[Revised Due Date]]&lt;&gt;""),Main[[#This Row],[In Stock Date]]-Main[[#This Row],[Revised Due Date]],"")</f>
        <v/>
      </c>
      <c r="I835" s="72" t="s">
        <v>4</v>
      </c>
      <c r="J835" s="72" t="s">
        <v>4</v>
      </c>
      <c r="K835" s="72" t="s">
        <v>4</v>
      </c>
      <c r="L835" s="74"/>
      <c r="M835" s="77" t="str">
        <f>IF(Main[[#This Row],[Tech Start Date]]&lt;1/1/1990,"",IF(Main[[#This Row],[Class]]="C",WORKDAY(Main[[#This Row],[Tech Start Date]],9),IF(Main[[#This Row],[Class]]="B", WORKDAY(Main[[#This Row],[Tech Start Date]],6),IF(Main[[#This Row],[Class]]="A",WORKDAY(Main[[#This Row],[Tech Start Date]],2),""))))</f>
        <v/>
      </c>
      <c r="N835" s="77" t="str">
        <f>IF(Main[[#This Row],[Tech Start Date]]&lt;1/1/1990,"",IF(Main[[#This Row],[Class]]="C",WORKDAY(Main[[#This Row],[Tech Start Date]],19),IF(Main[[#This Row],[Class]]="B", WORKDAY(Main[[#This Row],[Tech Start Date]],12),IF(Main[[#This Row],[Class]]="A",WORKDAY(Main[[#This Row],[Tech Start Date]],4),""))))</f>
        <v/>
      </c>
      <c r="O835" s="77" t="str">
        <f>IF(Main[[#This Row],[Tech Start Date]]&lt;1/1/1990,"",IF(Main[[#This Row],[Class]]="C",WORKDAY(Main[[#This Row],[Tech Start Date]],23),IF(Main[[#This Row],[Class]]="B", WORKDAY(Main[[#This Row],[Tech Start Date]],15),IF(Main[[#This Row],[Class]]="A",WORKDAY(Main[[#This Row],[Tech Start Date]],5),""))))</f>
        <v/>
      </c>
      <c r="P835" s="77" t="str">
        <f>IF(Main[[#This Row],[Tech Start Date]]&lt;1/1/1990,"",IF(Main[[#This Row],[Class]]="C",WORKDAY(Main[[#This Row],[Tech Start Date]],28),IF(Main[[#This Row],[Class]]="B", WORKDAY(Main[[#This Row],[Tech Start Date]],19),IF(Main[[#This Row],[Class]]="A",WORKDAY(Main[[#This Row],[Tech Start Date]],9),""))))</f>
        <v/>
      </c>
      <c r="Q835" s="74">
        <v>40669</v>
      </c>
      <c r="R835" s="74"/>
      <c r="S835" s="72" t="s">
        <v>6</v>
      </c>
      <c r="T835" s="80" t="s">
        <v>4</v>
      </c>
      <c r="U835" s="72" t="s">
        <v>14</v>
      </c>
      <c r="V835" s="72" t="s">
        <v>1935</v>
      </c>
      <c r="W835" s="72" t="s">
        <v>4</v>
      </c>
      <c r="X835" s="72" t="s">
        <v>2902</v>
      </c>
      <c r="Y835" s="72" t="s">
        <v>3016</v>
      </c>
      <c r="Z835" s="72" t="s">
        <v>4</v>
      </c>
      <c r="AA835" s="147" t="s">
        <v>2902</v>
      </c>
    </row>
    <row r="836" spans="1:27" ht="18.600000000000001" customHeight="1">
      <c r="A836" s="140" t="str">
        <f>IF(priority(Main[[#This Row],[Comments]])&lt;&gt;0, priority(Main[[#This Row],[Comments]]),"")</f>
        <v/>
      </c>
      <c r="B836" s="90" t="s">
        <v>1676</v>
      </c>
      <c r="C836" s="72" t="s">
        <v>72</v>
      </c>
      <c r="D836" s="73" t="s">
        <v>733</v>
      </c>
      <c r="E836" s="74"/>
      <c r="F836" s="74"/>
      <c r="G836" s="75" t="str">
        <f>IF(stdProdLT(Main[[#This Row],[Comments]])=0.1,"N/A",IF(stdProdLT(Main[[#This Row],[Comments]])=0,"",stdProdLT(Main[[#This Row],[Comments]])))</f>
        <v/>
      </c>
      <c r="H836" s="76" t="str">
        <f>IF(AND(Main[[#This Row],[In Stock Date]]&lt;&gt;"",Main[[#This Row],[Revised Due Date]]&lt;&gt;""),Main[[#This Row],[In Stock Date]]-Main[[#This Row],[Revised Due Date]],"")</f>
        <v/>
      </c>
      <c r="I836" s="72" t="s">
        <v>4</v>
      </c>
      <c r="J836" s="72" t="s">
        <v>4</v>
      </c>
      <c r="K836" s="72" t="s">
        <v>4</v>
      </c>
      <c r="L836" s="74"/>
      <c r="M836" s="77" t="str">
        <f>IF(Main[[#This Row],[Tech Start Date]]&lt;1/1/1990,"",IF(Main[[#This Row],[Class]]="C",WORKDAY(Main[[#This Row],[Tech Start Date]],9),IF(Main[[#This Row],[Class]]="B", WORKDAY(Main[[#This Row],[Tech Start Date]],6),IF(Main[[#This Row],[Class]]="A",WORKDAY(Main[[#This Row],[Tech Start Date]],2),""))))</f>
        <v/>
      </c>
      <c r="N836" s="77" t="str">
        <f>IF(Main[[#This Row],[Tech Start Date]]&lt;1/1/1990,"",IF(Main[[#This Row],[Class]]="C",WORKDAY(Main[[#This Row],[Tech Start Date]],19),IF(Main[[#This Row],[Class]]="B", WORKDAY(Main[[#This Row],[Tech Start Date]],12),IF(Main[[#This Row],[Class]]="A",WORKDAY(Main[[#This Row],[Tech Start Date]],4),""))))</f>
        <v/>
      </c>
      <c r="O836" s="77" t="str">
        <f>IF(Main[[#This Row],[Tech Start Date]]&lt;1/1/1990,"",IF(Main[[#This Row],[Class]]="C",WORKDAY(Main[[#This Row],[Tech Start Date]],23),IF(Main[[#This Row],[Class]]="B", WORKDAY(Main[[#This Row],[Tech Start Date]],15),IF(Main[[#This Row],[Class]]="A",WORKDAY(Main[[#This Row],[Tech Start Date]],5),""))))</f>
        <v/>
      </c>
      <c r="P836" s="77" t="str">
        <f>IF(Main[[#This Row],[Tech Start Date]]&lt;1/1/1990,"",IF(Main[[#This Row],[Class]]="C",WORKDAY(Main[[#This Row],[Tech Start Date]],28),IF(Main[[#This Row],[Class]]="B", WORKDAY(Main[[#This Row],[Tech Start Date]],19),IF(Main[[#This Row],[Class]]="A",WORKDAY(Main[[#This Row],[Tech Start Date]],9),""))))</f>
        <v/>
      </c>
      <c r="Q836" s="74"/>
      <c r="R836" s="74"/>
      <c r="S836" s="72" t="s">
        <v>11</v>
      </c>
      <c r="T836" s="80" t="s">
        <v>4</v>
      </c>
      <c r="U836" s="72" t="s">
        <v>14</v>
      </c>
      <c r="V836" s="72" t="s">
        <v>1933</v>
      </c>
      <c r="W836" s="72" t="s">
        <v>1940</v>
      </c>
      <c r="X836" s="72" t="s">
        <v>2911</v>
      </c>
      <c r="Y836" s="72" t="s">
        <v>3035</v>
      </c>
      <c r="Z836" s="72" t="s">
        <v>4</v>
      </c>
      <c r="AA836" s="147" t="s">
        <v>2911</v>
      </c>
    </row>
    <row r="837" spans="1:27" ht="18.600000000000001" customHeight="1">
      <c r="A837" s="140" t="str">
        <f>IF(priority(Main[[#This Row],[Comments]])&lt;&gt;0, priority(Main[[#This Row],[Comments]]),"")</f>
        <v/>
      </c>
      <c r="B837" s="90" t="s">
        <v>2189</v>
      </c>
      <c r="C837" s="72" t="s">
        <v>4</v>
      </c>
      <c r="D837" s="73" t="s">
        <v>2420</v>
      </c>
      <c r="E837" s="74">
        <v>40780.672893518517</v>
      </c>
      <c r="F837" s="74"/>
      <c r="G837" s="75" t="str">
        <f>IF(stdProdLT(Main[[#This Row],[Comments]])=0.1,"N/A",IF(stdProdLT(Main[[#This Row],[Comments]])=0,"",stdProdLT(Main[[#This Row],[Comments]])))</f>
        <v/>
      </c>
      <c r="H837" s="76" t="str">
        <f>IF(AND(Main[[#This Row],[In Stock Date]]&lt;&gt;"",Main[[#This Row],[Revised Due Date]]&lt;&gt;""),Main[[#This Row],[In Stock Date]]-Main[[#This Row],[Revised Due Date]],"")</f>
        <v/>
      </c>
      <c r="I837" s="72" t="s">
        <v>923</v>
      </c>
      <c r="J837" s="72" t="s">
        <v>52</v>
      </c>
      <c r="K837" s="72" t="s">
        <v>4</v>
      </c>
      <c r="L837" s="74"/>
      <c r="M837" s="77" t="str">
        <f>IF(Main[[#This Row],[Tech Start Date]]&lt;1/1/1990,"",IF(Main[[#This Row],[Class]]="C",WORKDAY(Main[[#This Row],[Tech Start Date]],9),IF(Main[[#This Row],[Class]]="B", WORKDAY(Main[[#This Row],[Tech Start Date]],6),IF(Main[[#This Row],[Class]]="A",WORKDAY(Main[[#This Row],[Tech Start Date]],2),""))))</f>
        <v/>
      </c>
      <c r="N837" s="77" t="str">
        <f>IF(Main[[#This Row],[Tech Start Date]]&lt;1/1/1990,"",IF(Main[[#This Row],[Class]]="C",WORKDAY(Main[[#This Row],[Tech Start Date]],19),IF(Main[[#This Row],[Class]]="B", WORKDAY(Main[[#This Row],[Tech Start Date]],12),IF(Main[[#This Row],[Class]]="A",WORKDAY(Main[[#This Row],[Tech Start Date]],4),""))))</f>
        <v/>
      </c>
      <c r="O837" s="77" t="str">
        <f>IF(Main[[#This Row],[Tech Start Date]]&lt;1/1/1990,"",IF(Main[[#This Row],[Class]]="C",WORKDAY(Main[[#This Row],[Tech Start Date]],23),IF(Main[[#This Row],[Class]]="B", WORKDAY(Main[[#This Row],[Tech Start Date]],15),IF(Main[[#This Row],[Class]]="A",WORKDAY(Main[[#This Row],[Tech Start Date]],5),""))))</f>
        <v/>
      </c>
      <c r="P837" s="77" t="str">
        <f>IF(Main[[#This Row],[Tech Start Date]]&lt;1/1/1990,"",IF(Main[[#This Row],[Class]]="C",WORKDAY(Main[[#This Row],[Tech Start Date]],28),IF(Main[[#This Row],[Class]]="B", WORKDAY(Main[[#This Row],[Tech Start Date]],19),IF(Main[[#This Row],[Class]]="A",WORKDAY(Main[[#This Row],[Tech Start Date]],9),""))))</f>
        <v/>
      </c>
      <c r="Q837" s="74">
        <v>40794</v>
      </c>
      <c r="R837" s="74"/>
      <c r="S837" s="72" t="s">
        <v>6</v>
      </c>
      <c r="T837" s="80" t="s">
        <v>4</v>
      </c>
      <c r="U837" s="72" t="s">
        <v>29</v>
      </c>
      <c r="V837" s="72" t="s">
        <v>1932</v>
      </c>
      <c r="W837" s="72" t="s">
        <v>1940</v>
      </c>
      <c r="X837" s="72" t="s">
        <v>2905</v>
      </c>
      <c r="Y837" s="72" t="s">
        <v>3023</v>
      </c>
      <c r="Z837" s="72" t="s">
        <v>129</v>
      </c>
      <c r="AA837" s="147" t="s">
        <v>2905</v>
      </c>
    </row>
    <row r="838" spans="1:27" ht="18.600000000000001" customHeight="1">
      <c r="A838" s="140" t="str">
        <f>IF(priority(Main[[#This Row],[Comments]])&lt;&gt;0, priority(Main[[#This Row],[Comments]]),"")</f>
        <v/>
      </c>
      <c r="B838" s="90" t="s">
        <v>1677</v>
      </c>
      <c r="C838" s="72" t="s">
        <v>4</v>
      </c>
      <c r="D838" s="73" t="s">
        <v>734</v>
      </c>
      <c r="E838" s="74"/>
      <c r="F838" s="74"/>
      <c r="G838" s="75" t="str">
        <f>IF(stdProdLT(Main[[#This Row],[Comments]])=0.1,"N/A",IF(stdProdLT(Main[[#This Row],[Comments]])=0,"",stdProdLT(Main[[#This Row],[Comments]])))</f>
        <v/>
      </c>
      <c r="H838" s="76" t="str">
        <f>IF(AND(Main[[#This Row],[In Stock Date]]&lt;&gt;"",Main[[#This Row],[Revised Due Date]]&lt;&gt;""),Main[[#This Row],[In Stock Date]]-Main[[#This Row],[Revised Due Date]],"")</f>
        <v/>
      </c>
      <c r="I838" s="72" t="s">
        <v>4</v>
      </c>
      <c r="J838" s="72" t="s">
        <v>4</v>
      </c>
      <c r="K838" s="72" t="s">
        <v>4</v>
      </c>
      <c r="L838" s="74"/>
      <c r="M838" s="77" t="str">
        <f>IF(Main[[#This Row],[Tech Start Date]]&lt;1/1/1990,"",IF(Main[[#This Row],[Class]]="C",WORKDAY(Main[[#This Row],[Tech Start Date]],9),IF(Main[[#This Row],[Class]]="B", WORKDAY(Main[[#This Row],[Tech Start Date]],6),IF(Main[[#This Row],[Class]]="A",WORKDAY(Main[[#This Row],[Tech Start Date]],2),""))))</f>
        <v/>
      </c>
      <c r="N838" s="77" t="str">
        <f>IF(Main[[#This Row],[Tech Start Date]]&lt;1/1/1990,"",IF(Main[[#This Row],[Class]]="C",WORKDAY(Main[[#This Row],[Tech Start Date]],19),IF(Main[[#This Row],[Class]]="B", WORKDAY(Main[[#This Row],[Tech Start Date]],12),IF(Main[[#This Row],[Class]]="A",WORKDAY(Main[[#This Row],[Tech Start Date]],4),""))))</f>
        <v/>
      </c>
      <c r="O838" s="77" t="str">
        <f>IF(Main[[#This Row],[Tech Start Date]]&lt;1/1/1990,"",IF(Main[[#This Row],[Class]]="C",WORKDAY(Main[[#This Row],[Tech Start Date]],23),IF(Main[[#This Row],[Class]]="B", WORKDAY(Main[[#This Row],[Tech Start Date]],15),IF(Main[[#This Row],[Class]]="A",WORKDAY(Main[[#This Row],[Tech Start Date]],5),""))))</f>
        <v/>
      </c>
      <c r="P838" s="77" t="str">
        <f>IF(Main[[#This Row],[Tech Start Date]]&lt;1/1/1990,"",IF(Main[[#This Row],[Class]]="C",WORKDAY(Main[[#This Row],[Tech Start Date]],28),IF(Main[[#This Row],[Class]]="B", WORKDAY(Main[[#This Row],[Tech Start Date]],19),IF(Main[[#This Row],[Class]]="A",WORKDAY(Main[[#This Row],[Tech Start Date]],9),""))))</f>
        <v/>
      </c>
      <c r="Q838" s="74">
        <v>40403</v>
      </c>
      <c r="R838" s="74"/>
      <c r="S838" s="72" t="s">
        <v>17</v>
      </c>
      <c r="T838" s="80" t="s">
        <v>4</v>
      </c>
      <c r="U838" s="72" t="s">
        <v>14</v>
      </c>
      <c r="V838" s="72" t="s">
        <v>1932</v>
      </c>
      <c r="W838" s="72" t="s">
        <v>1940</v>
      </c>
      <c r="X838" s="72" t="s">
        <v>129</v>
      </c>
      <c r="Y838" s="72" t="s">
        <v>4</v>
      </c>
      <c r="Z838" s="72" t="s">
        <v>4</v>
      </c>
      <c r="AA838" s="147" t="s">
        <v>2912</v>
      </c>
    </row>
    <row r="839" spans="1:27" ht="18.600000000000001" customHeight="1">
      <c r="A839" s="140" t="str">
        <f>IF(priority(Main[[#This Row],[Comments]])&lt;&gt;0, priority(Main[[#This Row],[Comments]]),"")</f>
        <v/>
      </c>
      <c r="B839" s="90" t="s">
        <v>1678</v>
      </c>
      <c r="C839" s="72" t="s">
        <v>58</v>
      </c>
      <c r="D839" s="73" t="s">
        <v>205</v>
      </c>
      <c r="E839" s="74"/>
      <c r="F839" s="74">
        <v>40697</v>
      </c>
      <c r="G839" s="75" t="str">
        <f>IF(stdProdLT(Main[[#This Row],[Comments]])=0.1,"N/A",IF(stdProdLT(Main[[#This Row],[Comments]])=0,"",stdProdLT(Main[[#This Row],[Comments]])))</f>
        <v/>
      </c>
      <c r="H839" s="76" t="str">
        <f>IF(AND(Main[[#This Row],[In Stock Date]]&lt;&gt;"",Main[[#This Row],[Revised Due Date]]&lt;&gt;""),Main[[#This Row],[In Stock Date]]-Main[[#This Row],[Revised Due Date]],"")</f>
        <v/>
      </c>
      <c r="I839" s="72" t="s">
        <v>4</v>
      </c>
      <c r="J839" s="72" t="s">
        <v>4</v>
      </c>
      <c r="K839" s="72" t="s">
        <v>4</v>
      </c>
      <c r="L839" s="74"/>
      <c r="M839" s="77" t="str">
        <f>IF(Main[[#This Row],[Tech Start Date]]&lt;1/1/1990,"",IF(Main[[#This Row],[Class]]="C",WORKDAY(Main[[#This Row],[Tech Start Date]],9),IF(Main[[#This Row],[Class]]="B", WORKDAY(Main[[#This Row],[Tech Start Date]],6),IF(Main[[#This Row],[Class]]="A",WORKDAY(Main[[#This Row],[Tech Start Date]],2),""))))</f>
        <v/>
      </c>
      <c r="N839" s="77" t="str">
        <f>IF(Main[[#This Row],[Tech Start Date]]&lt;1/1/1990,"",IF(Main[[#This Row],[Class]]="C",WORKDAY(Main[[#This Row],[Tech Start Date]],19),IF(Main[[#This Row],[Class]]="B", WORKDAY(Main[[#This Row],[Tech Start Date]],12),IF(Main[[#This Row],[Class]]="A",WORKDAY(Main[[#This Row],[Tech Start Date]],4),""))))</f>
        <v/>
      </c>
      <c r="O839" s="77" t="str">
        <f>IF(Main[[#This Row],[Tech Start Date]]&lt;1/1/1990,"",IF(Main[[#This Row],[Class]]="C",WORKDAY(Main[[#This Row],[Tech Start Date]],23),IF(Main[[#This Row],[Class]]="B", WORKDAY(Main[[#This Row],[Tech Start Date]],15),IF(Main[[#This Row],[Class]]="A",WORKDAY(Main[[#This Row],[Tech Start Date]],5),""))))</f>
        <v/>
      </c>
      <c r="P839" s="77" t="str">
        <f>IF(Main[[#This Row],[Tech Start Date]]&lt;1/1/1990,"",IF(Main[[#This Row],[Class]]="C",WORKDAY(Main[[#This Row],[Tech Start Date]],28),IF(Main[[#This Row],[Class]]="B", WORKDAY(Main[[#This Row],[Tech Start Date]],19),IF(Main[[#This Row],[Class]]="A",WORKDAY(Main[[#This Row],[Tech Start Date]],9),""))))</f>
        <v/>
      </c>
      <c r="Q839" s="74">
        <v>40539</v>
      </c>
      <c r="R839" s="74"/>
      <c r="S839" s="72" t="s">
        <v>11</v>
      </c>
      <c r="T839" s="80" t="s">
        <v>4</v>
      </c>
      <c r="U839" s="72" t="s">
        <v>14</v>
      </c>
      <c r="V839" s="72" t="s">
        <v>1932</v>
      </c>
      <c r="W839" s="72" t="s">
        <v>1938</v>
      </c>
      <c r="X839" s="72" t="s">
        <v>2913</v>
      </c>
      <c r="Y839" s="72" t="s">
        <v>3038</v>
      </c>
      <c r="Z839" s="72" t="s">
        <v>4</v>
      </c>
      <c r="AA839" s="147" t="s">
        <v>2913</v>
      </c>
    </row>
    <row r="840" spans="1:27" ht="18.600000000000001" customHeight="1">
      <c r="A840" s="140" t="str">
        <f>IF(priority(Main[[#This Row],[Comments]])&lt;&gt;0, priority(Main[[#This Row],[Comments]]),"")</f>
        <v/>
      </c>
      <c r="B840" s="90" t="s">
        <v>1681</v>
      </c>
      <c r="C840" s="72" t="s">
        <v>736</v>
      </c>
      <c r="D840" s="73" t="s">
        <v>737</v>
      </c>
      <c r="E840" s="74"/>
      <c r="F840" s="74">
        <v>40633</v>
      </c>
      <c r="G840" s="75" t="str">
        <f>IF(stdProdLT(Main[[#This Row],[Comments]])=0.1,"N/A",IF(stdProdLT(Main[[#This Row],[Comments]])=0,"",stdProdLT(Main[[#This Row],[Comments]])))</f>
        <v/>
      </c>
      <c r="H840" s="76" t="str">
        <f>IF(AND(Main[[#This Row],[In Stock Date]]&lt;&gt;"",Main[[#This Row],[Revised Due Date]]&lt;&gt;""),Main[[#This Row],[In Stock Date]]-Main[[#This Row],[Revised Due Date]],"")</f>
        <v/>
      </c>
      <c r="I840" s="72" t="s">
        <v>4</v>
      </c>
      <c r="J840" s="72" t="s">
        <v>4</v>
      </c>
      <c r="K840" s="72" t="s">
        <v>4</v>
      </c>
      <c r="L840" s="74"/>
      <c r="M840" s="77" t="str">
        <f>IF(Main[[#This Row],[Tech Start Date]]&lt;1/1/1990,"",IF(Main[[#This Row],[Class]]="C",WORKDAY(Main[[#This Row],[Tech Start Date]],9),IF(Main[[#This Row],[Class]]="B", WORKDAY(Main[[#This Row],[Tech Start Date]],6),IF(Main[[#This Row],[Class]]="A",WORKDAY(Main[[#This Row],[Tech Start Date]],2),""))))</f>
        <v/>
      </c>
      <c r="N840" s="77" t="str">
        <f>IF(Main[[#This Row],[Tech Start Date]]&lt;1/1/1990,"",IF(Main[[#This Row],[Class]]="C",WORKDAY(Main[[#This Row],[Tech Start Date]],19),IF(Main[[#This Row],[Class]]="B", WORKDAY(Main[[#This Row],[Tech Start Date]],12),IF(Main[[#This Row],[Class]]="A",WORKDAY(Main[[#This Row],[Tech Start Date]],4),""))))</f>
        <v/>
      </c>
      <c r="O840" s="77" t="str">
        <f>IF(Main[[#This Row],[Tech Start Date]]&lt;1/1/1990,"",IF(Main[[#This Row],[Class]]="C",WORKDAY(Main[[#This Row],[Tech Start Date]],23),IF(Main[[#This Row],[Class]]="B", WORKDAY(Main[[#This Row],[Tech Start Date]],15),IF(Main[[#This Row],[Class]]="A",WORKDAY(Main[[#This Row],[Tech Start Date]],5),""))))</f>
        <v/>
      </c>
      <c r="P840" s="77" t="str">
        <f>IF(Main[[#This Row],[Tech Start Date]]&lt;1/1/1990,"",IF(Main[[#This Row],[Class]]="C",WORKDAY(Main[[#This Row],[Tech Start Date]],28),IF(Main[[#This Row],[Class]]="B", WORKDAY(Main[[#This Row],[Tech Start Date]],19),IF(Main[[#This Row],[Class]]="A",WORKDAY(Main[[#This Row],[Tech Start Date]],9),""))))</f>
        <v/>
      </c>
      <c r="Q840" s="74">
        <v>40623</v>
      </c>
      <c r="R840" s="74"/>
      <c r="S840" s="72" t="s">
        <v>11</v>
      </c>
      <c r="T840" s="80" t="s">
        <v>4</v>
      </c>
      <c r="U840" s="72" t="s">
        <v>14</v>
      </c>
      <c r="V840" s="72" t="s">
        <v>1933</v>
      </c>
      <c r="W840" s="72" t="s">
        <v>1940</v>
      </c>
      <c r="X840" s="72" t="s">
        <v>2947</v>
      </c>
      <c r="Y840" s="72" t="s">
        <v>4</v>
      </c>
      <c r="Z840" s="72" t="s">
        <v>4</v>
      </c>
      <c r="AA840" s="147" t="s">
        <v>2947</v>
      </c>
    </row>
    <row r="841" spans="1:27" ht="18.600000000000001" customHeight="1">
      <c r="A841" s="140" t="str">
        <f>IF(priority(Main[[#This Row],[Comments]])&lt;&gt;0, priority(Main[[#This Row],[Comments]]),"")</f>
        <v/>
      </c>
      <c r="B841" s="90" t="s">
        <v>1683</v>
      </c>
      <c r="C841" s="72" t="s">
        <v>4</v>
      </c>
      <c r="D841" s="73" t="s">
        <v>97</v>
      </c>
      <c r="E841" s="74"/>
      <c r="F841" s="74"/>
      <c r="G841" s="75" t="str">
        <f>IF(stdProdLT(Main[[#This Row],[Comments]])=0.1,"N/A",IF(stdProdLT(Main[[#This Row],[Comments]])=0,"",stdProdLT(Main[[#This Row],[Comments]])))</f>
        <v/>
      </c>
      <c r="H841" s="76" t="str">
        <f>IF(AND(Main[[#This Row],[In Stock Date]]&lt;&gt;"",Main[[#This Row],[Revised Due Date]]&lt;&gt;""),Main[[#This Row],[In Stock Date]]-Main[[#This Row],[Revised Due Date]],"")</f>
        <v/>
      </c>
      <c r="I841" s="72" t="s">
        <v>4</v>
      </c>
      <c r="J841" s="72" t="s">
        <v>4</v>
      </c>
      <c r="K841" s="72" t="s">
        <v>4</v>
      </c>
      <c r="L841" s="74"/>
      <c r="M841" s="77" t="str">
        <f>IF(Main[[#This Row],[Tech Start Date]]&lt;1/1/1990,"",IF(Main[[#This Row],[Class]]="C",WORKDAY(Main[[#This Row],[Tech Start Date]],9),IF(Main[[#This Row],[Class]]="B", WORKDAY(Main[[#This Row],[Tech Start Date]],6),IF(Main[[#This Row],[Class]]="A",WORKDAY(Main[[#This Row],[Tech Start Date]],2),""))))</f>
        <v/>
      </c>
      <c r="N841" s="77" t="str">
        <f>IF(Main[[#This Row],[Tech Start Date]]&lt;1/1/1990,"",IF(Main[[#This Row],[Class]]="C",WORKDAY(Main[[#This Row],[Tech Start Date]],19),IF(Main[[#This Row],[Class]]="B", WORKDAY(Main[[#This Row],[Tech Start Date]],12),IF(Main[[#This Row],[Class]]="A",WORKDAY(Main[[#This Row],[Tech Start Date]],4),""))))</f>
        <v/>
      </c>
      <c r="O841" s="77" t="str">
        <f>IF(Main[[#This Row],[Tech Start Date]]&lt;1/1/1990,"",IF(Main[[#This Row],[Class]]="C",WORKDAY(Main[[#This Row],[Tech Start Date]],23),IF(Main[[#This Row],[Class]]="B", WORKDAY(Main[[#This Row],[Tech Start Date]],15),IF(Main[[#This Row],[Class]]="A",WORKDAY(Main[[#This Row],[Tech Start Date]],5),""))))</f>
        <v/>
      </c>
      <c r="P841" s="77" t="str">
        <f>IF(Main[[#This Row],[Tech Start Date]]&lt;1/1/1990,"",IF(Main[[#This Row],[Class]]="C",WORKDAY(Main[[#This Row],[Tech Start Date]],28),IF(Main[[#This Row],[Class]]="B", WORKDAY(Main[[#This Row],[Tech Start Date]],19),IF(Main[[#This Row],[Class]]="A",WORKDAY(Main[[#This Row],[Tech Start Date]],9),""))))</f>
        <v/>
      </c>
      <c r="Q841" s="74">
        <v>40858</v>
      </c>
      <c r="R841" s="74"/>
      <c r="S841" s="72" t="s">
        <v>17</v>
      </c>
      <c r="T841" s="80" t="s">
        <v>4</v>
      </c>
      <c r="U841" s="72" t="s">
        <v>14</v>
      </c>
      <c r="V841" s="72" t="s">
        <v>1932</v>
      </c>
      <c r="W841" s="72" t="s">
        <v>1937</v>
      </c>
      <c r="X841" s="72" t="s">
        <v>50</v>
      </c>
      <c r="Y841" s="72" t="s">
        <v>3046</v>
      </c>
      <c r="Z841" s="72" t="s">
        <v>4</v>
      </c>
      <c r="AA841" s="147" t="s">
        <v>2912</v>
      </c>
    </row>
    <row r="842" spans="1:27" ht="18.600000000000001" customHeight="1">
      <c r="A842" s="140" t="str">
        <f>IF(priority(Main[[#This Row],[Comments]])&lt;&gt;0, priority(Main[[#This Row],[Comments]]),"")</f>
        <v/>
      </c>
      <c r="B842" s="90" t="s">
        <v>1684</v>
      </c>
      <c r="C842" s="72" t="s">
        <v>4</v>
      </c>
      <c r="D842" s="73" t="s">
        <v>97</v>
      </c>
      <c r="E842" s="74"/>
      <c r="F842" s="74"/>
      <c r="G842" s="75" t="str">
        <f>IF(stdProdLT(Main[[#This Row],[Comments]])=0.1,"N/A",IF(stdProdLT(Main[[#This Row],[Comments]])=0,"",stdProdLT(Main[[#This Row],[Comments]])))</f>
        <v/>
      </c>
      <c r="H842" s="76" t="str">
        <f>IF(AND(Main[[#This Row],[In Stock Date]]&lt;&gt;"",Main[[#This Row],[Revised Due Date]]&lt;&gt;""),Main[[#This Row],[In Stock Date]]-Main[[#This Row],[Revised Due Date]],"")</f>
        <v/>
      </c>
      <c r="I842" s="72" t="s">
        <v>4</v>
      </c>
      <c r="J842" s="72" t="s">
        <v>4</v>
      </c>
      <c r="K842" s="72" t="s">
        <v>4</v>
      </c>
      <c r="L842" s="74"/>
      <c r="M842" s="77" t="str">
        <f>IF(Main[[#This Row],[Tech Start Date]]&lt;1/1/1990,"",IF(Main[[#This Row],[Class]]="C",WORKDAY(Main[[#This Row],[Tech Start Date]],9),IF(Main[[#This Row],[Class]]="B", WORKDAY(Main[[#This Row],[Tech Start Date]],6),IF(Main[[#This Row],[Class]]="A",WORKDAY(Main[[#This Row],[Tech Start Date]],2),""))))</f>
        <v/>
      </c>
      <c r="N842" s="77" t="str">
        <f>IF(Main[[#This Row],[Tech Start Date]]&lt;1/1/1990,"",IF(Main[[#This Row],[Class]]="C",WORKDAY(Main[[#This Row],[Tech Start Date]],19),IF(Main[[#This Row],[Class]]="B", WORKDAY(Main[[#This Row],[Tech Start Date]],12),IF(Main[[#This Row],[Class]]="A",WORKDAY(Main[[#This Row],[Tech Start Date]],4),""))))</f>
        <v/>
      </c>
      <c r="O842" s="77" t="str">
        <f>IF(Main[[#This Row],[Tech Start Date]]&lt;1/1/1990,"",IF(Main[[#This Row],[Class]]="C",WORKDAY(Main[[#This Row],[Tech Start Date]],23),IF(Main[[#This Row],[Class]]="B", WORKDAY(Main[[#This Row],[Tech Start Date]],15),IF(Main[[#This Row],[Class]]="A",WORKDAY(Main[[#This Row],[Tech Start Date]],5),""))))</f>
        <v/>
      </c>
      <c r="P842" s="77" t="str">
        <f>IF(Main[[#This Row],[Tech Start Date]]&lt;1/1/1990,"",IF(Main[[#This Row],[Class]]="C",WORKDAY(Main[[#This Row],[Tech Start Date]],28),IF(Main[[#This Row],[Class]]="B", WORKDAY(Main[[#This Row],[Tech Start Date]],19),IF(Main[[#This Row],[Class]]="A",WORKDAY(Main[[#This Row],[Tech Start Date]],9),""))))</f>
        <v/>
      </c>
      <c r="Q842" s="74">
        <v>40858</v>
      </c>
      <c r="R842" s="74"/>
      <c r="S842" s="72" t="s">
        <v>17</v>
      </c>
      <c r="T842" s="80" t="s">
        <v>4</v>
      </c>
      <c r="U842" s="72" t="s">
        <v>14</v>
      </c>
      <c r="V842" s="72" t="s">
        <v>1932</v>
      </c>
      <c r="W842" s="72" t="s">
        <v>1937</v>
      </c>
      <c r="X842" s="72" t="s">
        <v>50</v>
      </c>
      <c r="Y842" s="72" t="s">
        <v>3046</v>
      </c>
      <c r="Z842" s="72" t="s">
        <v>4</v>
      </c>
      <c r="AA842" s="147" t="s">
        <v>2912</v>
      </c>
    </row>
    <row r="843" spans="1:27" ht="18.600000000000001" customHeight="1">
      <c r="A843" s="140" t="str">
        <f>IF(priority(Main[[#This Row],[Comments]])&lt;&gt;0, priority(Main[[#This Row],[Comments]]),"")</f>
        <v/>
      </c>
      <c r="B843" s="90" t="s">
        <v>1685</v>
      </c>
      <c r="C843" s="72" t="s">
        <v>4</v>
      </c>
      <c r="D843" s="73" t="s">
        <v>97</v>
      </c>
      <c r="E843" s="74"/>
      <c r="F843" s="74"/>
      <c r="G843" s="75" t="str">
        <f>IF(stdProdLT(Main[[#This Row],[Comments]])=0.1,"N/A",IF(stdProdLT(Main[[#This Row],[Comments]])=0,"",stdProdLT(Main[[#This Row],[Comments]])))</f>
        <v/>
      </c>
      <c r="H843" s="76" t="str">
        <f>IF(AND(Main[[#This Row],[In Stock Date]]&lt;&gt;"",Main[[#This Row],[Revised Due Date]]&lt;&gt;""),Main[[#This Row],[In Stock Date]]-Main[[#This Row],[Revised Due Date]],"")</f>
        <v/>
      </c>
      <c r="I843" s="72" t="s">
        <v>4</v>
      </c>
      <c r="J843" s="72" t="s">
        <v>4</v>
      </c>
      <c r="K843" s="72" t="s">
        <v>4</v>
      </c>
      <c r="L843" s="74"/>
      <c r="M843" s="77" t="str">
        <f>IF(Main[[#This Row],[Tech Start Date]]&lt;1/1/1990,"",IF(Main[[#This Row],[Class]]="C",WORKDAY(Main[[#This Row],[Tech Start Date]],9),IF(Main[[#This Row],[Class]]="B", WORKDAY(Main[[#This Row],[Tech Start Date]],6),IF(Main[[#This Row],[Class]]="A",WORKDAY(Main[[#This Row],[Tech Start Date]],2),""))))</f>
        <v/>
      </c>
      <c r="N843" s="77" t="str">
        <f>IF(Main[[#This Row],[Tech Start Date]]&lt;1/1/1990,"",IF(Main[[#This Row],[Class]]="C",WORKDAY(Main[[#This Row],[Tech Start Date]],19),IF(Main[[#This Row],[Class]]="B", WORKDAY(Main[[#This Row],[Tech Start Date]],12),IF(Main[[#This Row],[Class]]="A",WORKDAY(Main[[#This Row],[Tech Start Date]],4),""))))</f>
        <v/>
      </c>
      <c r="O843" s="77" t="str">
        <f>IF(Main[[#This Row],[Tech Start Date]]&lt;1/1/1990,"",IF(Main[[#This Row],[Class]]="C",WORKDAY(Main[[#This Row],[Tech Start Date]],23),IF(Main[[#This Row],[Class]]="B", WORKDAY(Main[[#This Row],[Tech Start Date]],15),IF(Main[[#This Row],[Class]]="A",WORKDAY(Main[[#This Row],[Tech Start Date]],5),""))))</f>
        <v/>
      </c>
      <c r="P843" s="77" t="str">
        <f>IF(Main[[#This Row],[Tech Start Date]]&lt;1/1/1990,"",IF(Main[[#This Row],[Class]]="C",WORKDAY(Main[[#This Row],[Tech Start Date]],28),IF(Main[[#This Row],[Class]]="B", WORKDAY(Main[[#This Row],[Tech Start Date]],19),IF(Main[[#This Row],[Class]]="A",WORKDAY(Main[[#This Row],[Tech Start Date]],9),""))))</f>
        <v/>
      </c>
      <c r="Q843" s="74">
        <v>40858</v>
      </c>
      <c r="R843" s="74"/>
      <c r="S843" s="72" t="s">
        <v>17</v>
      </c>
      <c r="T843" s="80" t="s">
        <v>4</v>
      </c>
      <c r="U843" s="72" t="s">
        <v>14</v>
      </c>
      <c r="V843" s="72" t="s">
        <v>1932</v>
      </c>
      <c r="W843" s="72" t="s">
        <v>1937</v>
      </c>
      <c r="X843" s="72" t="s">
        <v>50</v>
      </c>
      <c r="Y843" s="72" t="s">
        <v>3046</v>
      </c>
      <c r="Z843" s="72" t="s">
        <v>4</v>
      </c>
      <c r="AA843" s="147" t="s">
        <v>2912</v>
      </c>
    </row>
    <row r="844" spans="1:27" ht="18.600000000000001" customHeight="1">
      <c r="A844" s="140" t="str">
        <f>IF(priority(Main[[#This Row],[Comments]])&lt;&gt;0, priority(Main[[#This Row],[Comments]]),"")</f>
        <v/>
      </c>
      <c r="B844" s="90" t="s">
        <v>1265</v>
      </c>
      <c r="C844" s="72" t="s">
        <v>4</v>
      </c>
      <c r="D844" s="73" t="s">
        <v>320</v>
      </c>
      <c r="E844" s="74"/>
      <c r="F844" s="74"/>
      <c r="G844" s="75" t="str">
        <f>IF(stdProdLT(Main[[#This Row],[Comments]])=0.1,"N/A",IF(stdProdLT(Main[[#This Row],[Comments]])=0,"",stdProdLT(Main[[#This Row],[Comments]])))</f>
        <v/>
      </c>
      <c r="H844" s="76" t="str">
        <f>IF(AND(Main[[#This Row],[In Stock Date]]&lt;&gt;"",Main[[#This Row],[Revised Due Date]]&lt;&gt;""),Main[[#This Row],[In Stock Date]]-Main[[#This Row],[Revised Due Date]],"")</f>
        <v/>
      </c>
      <c r="I844" s="72" t="s">
        <v>4</v>
      </c>
      <c r="J844" s="72" t="s">
        <v>4</v>
      </c>
      <c r="K844" s="72" t="s">
        <v>4</v>
      </c>
      <c r="L844" s="74"/>
      <c r="M844" s="77" t="str">
        <f>IF(Main[[#This Row],[Tech Start Date]]&lt;1/1/1990,"",IF(Main[[#This Row],[Class]]="C",WORKDAY(Main[[#This Row],[Tech Start Date]],9),IF(Main[[#This Row],[Class]]="B", WORKDAY(Main[[#This Row],[Tech Start Date]],6),IF(Main[[#This Row],[Class]]="A",WORKDAY(Main[[#This Row],[Tech Start Date]],2),""))))</f>
        <v/>
      </c>
      <c r="N844" s="77" t="str">
        <f>IF(Main[[#This Row],[Tech Start Date]]&lt;1/1/1990,"",IF(Main[[#This Row],[Class]]="C",WORKDAY(Main[[#This Row],[Tech Start Date]],19),IF(Main[[#This Row],[Class]]="B", WORKDAY(Main[[#This Row],[Tech Start Date]],12),IF(Main[[#This Row],[Class]]="A",WORKDAY(Main[[#This Row],[Tech Start Date]],4),""))))</f>
        <v/>
      </c>
      <c r="O844" s="77" t="str">
        <f>IF(Main[[#This Row],[Tech Start Date]]&lt;1/1/1990,"",IF(Main[[#This Row],[Class]]="C",WORKDAY(Main[[#This Row],[Tech Start Date]],23),IF(Main[[#This Row],[Class]]="B", WORKDAY(Main[[#This Row],[Tech Start Date]],15),IF(Main[[#This Row],[Class]]="A",WORKDAY(Main[[#This Row],[Tech Start Date]],5),""))))</f>
        <v/>
      </c>
      <c r="P844" s="77" t="str">
        <f>IF(Main[[#This Row],[Tech Start Date]]&lt;1/1/1990,"",IF(Main[[#This Row],[Class]]="C",WORKDAY(Main[[#This Row],[Tech Start Date]],28),IF(Main[[#This Row],[Class]]="B", WORKDAY(Main[[#This Row],[Tech Start Date]],19),IF(Main[[#This Row],[Class]]="A",WORKDAY(Main[[#This Row],[Tech Start Date]],9),""))))</f>
        <v/>
      </c>
      <c r="Q844" s="74">
        <v>40229</v>
      </c>
      <c r="R844" s="74"/>
      <c r="S844" s="72" t="s">
        <v>6</v>
      </c>
      <c r="T844" s="80" t="s">
        <v>4</v>
      </c>
      <c r="U844" s="72" t="s">
        <v>14</v>
      </c>
      <c r="V844" s="72" t="s">
        <v>1932</v>
      </c>
      <c r="W844" s="72" t="s">
        <v>1936</v>
      </c>
      <c r="X844" s="72" t="s">
        <v>2905</v>
      </c>
      <c r="Y844" s="72" t="s">
        <v>3023</v>
      </c>
      <c r="Z844" s="72" t="s">
        <v>4</v>
      </c>
      <c r="AA844" s="147" t="s">
        <v>2905</v>
      </c>
    </row>
    <row r="845" spans="1:27" ht="18.600000000000001" customHeight="1">
      <c r="A845" s="140" t="str">
        <f>IF(priority(Main[[#This Row],[Comments]])&lt;&gt;0, priority(Main[[#This Row],[Comments]]),"")</f>
        <v/>
      </c>
      <c r="B845" s="90" t="s">
        <v>2792</v>
      </c>
      <c r="C845" s="72" t="s">
        <v>4</v>
      </c>
      <c r="D845" s="73" t="s">
        <v>3315</v>
      </c>
      <c r="E845" s="74">
        <v>40912.464259259257</v>
      </c>
      <c r="F845" s="74"/>
      <c r="G845" s="75" t="str">
        <f>IF(stdProdLT(Main[[#This Row],[Comments]])=0.1,"N/A",IF(stdProdLT(Main[[#This Row],[Comments]])=0,"",stdProdLT(Main[[#This Row],[Comments]])))</f>
        <v/>
      </c>
      <c r="H845" s="76" t="str">
        <f>IF(AND(Main[[#This Row],[In Stock Date]]&lt;&gt;"",Main[[#This Row],[Revised Due Date]]&lt;&gt;""),Main[[#This Row],[In Stock Date]]-Main[[#This Row],[Revised Due Date]],"")</f>
        <v/>
      </c>
      <c r="I845" s="72" t="s">
        <v>30</v>
      </c>
      <c r="J845" s="72" t="s">
        <v>28</v>
      </c>
      <c r="K845" s="72" t="s">
        <v>1941</v>
      </c>
      <c r="L845" s="74"/>
      <c r="M845" s="77" t="str">
        <f>IF(Main[[#This Row],[Tech Start Date]]&lt;1/1/1990,"",IF(Main[[#This Row],[Class]]="C",WORKDAY(Main[[#This Row],[Tech Start Date]],9),IF(Main[[#This Row],[Class]]="B", WORKDAY(Main[[#This Row],[Tech Start Date]],6),IF(Main[[#This Row],[Class]]="A",WORKDAY(Main[[#This Row],[Tech Start Date]],2),""))))</f>
        <v/>
      </c>
      <c r="N845" s="77" t="str">
        <f>IF(Main[[#This Row],[Tech Start Date]]&lt;1/1/1990,"",IF(Main[[#This Row],[Class]]="C",WORKDAY(Main[[#This Row],[Tech Start Date]],19),IF(Main[[#This Row],[Class]]="B", WORKDAY(Main[[#This Row],[Tech Start Date]],12),IF(Main[[#This Row],[Class]]="A",WORKDAY(Main[[#This Row],[Tech Start Date]],4),""))))</f>
        <v/>
      </c>
      <c r="O845" s="77" t="str">
        <f>IF(Main[[#This Row],[Tech Start Date]]&lt;1/1/1990,"",IF(Main[[#This Row],[Class]]="C",WORKDAY(Main[[#This Row],[Tech Start Date]],23),IF(Main[[#This Row],[Class]]="B", WORKDAY(Main[[#This Row],[Tech Start Date]],15),IF(Main[[#This Row],[Class]]="A",WORKDAY(Main[[#This Row],[Tech Start Date]],5),""))))</f>
        <v/>
      </c>
      <c r="P845" s="77" t="str">
        <f>IF(Main[[#This Row],[Tech Start Date]]&lt;1/1/1990,"",IF(Main[[#This Row],[Class]]="C",WORKDAY(Main[[#This Row],[Tech Start Date]],28),IF(Main[[#This Row],[Class]]="B", WORKDAY(Main[[#This Row],[Tech Start Date]],19),IF(Main[[#This Row],[Class]]="A",WORKDAY(Main[[#This Row],[Tech Start Date]],9),""))))</f>
        <v/>
      </c>
      <c r="Q845" s="74">
        <v>40942</v>
      </c>
      <c r="R845" s="74"/>
      <c r="S845" s="72" t="s">
        <v>6</v>
      </c>
      <c r="T845" s="80" t="s">
        <v>4</v>
      </c>
      <c r="U845" s="72" t="s">
        <v>29</v>
      </c>
      <c r="V845" s="72" t="s">
        <v>1935</v>
      </c>
      <c r="W845" s="72" t="s">
        <v>1936</v>
      </c>
      <c r="X845" s="72" t="s">
        <v>2903</v>
      </c>
      <c r="Y845" s="72" t="s">
        <v>3019</v>
      </c>
      <c r="Z845" s="72" t="s">
        <v>30</v>
      </c>
      <c r="AA845" s="147" t="s">
        <v>2903</v>
      </c>
    </row>
    <row r="846" spans="1:27" ht="18.600000000000001" customHeight="1">
      <c r="A846" s="140" t="str">
        <f>IF(priority(Main[[#This Row],[Comments]])&lt;&gt;0, priority(Main[[#This Row],[Comments]]),"")</f>
        <v/>
      </c>
      <c r="B846" s="90" t="s">
        <v>1891</v>
      </c>
      <c r="C846" s="72" t="s">
        <v>4</v>
      </c>
      <c r="D846" s="73" t="s">
        <v>2793</v>
      </c>
      <c r="E846" s="74">
        <v>40624.37060185185</v>
      </c>
      <c r="F846" s="74"/>
      <c r="G846" s="75" t="str">
        <f>IF(stdProdLT(Main[[#This Row],[Comments]])=0.1,"N/A",IF(stdProdLT(Main[[#This Row],[Comments]])=0,"",stdProdLT(Main[[#This Row],[Comments]])))</f>
        <v/>
      </c>
      <c r="H846" s="76" t="str">
        <f>IF(AND(Main[[#This Row],[In Stock Date]]&lt;&gt;"",Main[[#This Row],[Revised Due Date]]&lt;&gt;""),Main[[#This Row],[In Stock Date]]-Main[[#This Row],[Revised Due Date]],"")</f>
        <v/>
      </c>
      <c r="I846" s="72" t="s">
        <v>888</v>
      </c>
      <c r="J846" s="72" t="s">
        <v>28</v>
      </c>
      <c r="K846" s="72" t="s">
        <v>1945</v>
      </c>
      <c r="L846" s="74"/>
      <c r="M846" s="77" t="str">
        <f>IF(Main[[#This Row],[Tech Start Date]]&lt;1/1/1990,"",IF(Main[[#This Row],[Class]]="C",WORKDAY(Main[[#This Row],[Tech Start Date]],9),IF(Main[[#This Row],[Class]]="B", WORKDAY(Main[[#This Row],[Tech Start Date]],6),IF(Main[[#This Row],[Class]]="A",WORKDAY(Main[[#This Row],[Tech Start Date]],2),""))))</f>
        <v/>
      </c>
      <c r="N846" s="77" t="str">
        <f>IF(Main[[#This Row],[Tech Start Date]]&lt;1/1/1990,"",IF(Main[[#This Row],[Class]]="C",WORKDAY(Main[[#This Row],[Tech Start Date]],19),IF(Main[[#This Row],[Class]]="B", WORKDAY(Main[[#This Row],[Tech Start Date]],12),IF(Main[[#This Row],[Class]]="A",WORKDAY(Main[[#This Row],[Tech Start Date]],4),""))))</f>
        <v/>
      </c>
      <c r="O846" s="77" t="str">
        <f>IF(Main[[#This Row],[Tech Start Date]]&lt;1/1/1990,"",IF(Main[[#This Row],[Class]]="C",WORKDAY(Main[[#This Row],[Tech Start Date]],23),IF(Main[[#This Row],[Class]]="B", WORKDAY(Main[[#This Row],[Tech Start Date]],15),IF(Main[[#This Row],[Class]]="A",WORKDAY(Main[[#This Row],[Tech Start Date]],5),""))))</f>
        <v/>
      </c>
      <c r="P846" s="77" t="str">
        <f>IF(Main[[#This Row],[Tech Start Date]]&lt;1/1/1990,"",IF(Main[[#This Row],[Class]]="C",WORKDAY(Main[[#This Row],[Tech Start Date]],28),IF(Main[[#This Row],[Class]]="B", WORKDAY(Main[[#This Row],[Tech Start Date]],19),IF(Main[[#This Row],[Class]]="A",WORKDAY(Main[[#This Row],[Tech Start Date]],9),""))))</f>
        <v/>
      </c>
      <c r="Q846" s="74">
        <v>40648</v>
      </c>
      <c r="R846" s="74">
        <v>40967</v>
      </c>
      <c r="S846" s="72" t="s">
        <v>6</v>
      </c>
      <c r="T846" s="80" t="s">
        <v>4</v>
      </c>
      <c r="U846" s="72" t="s">
        <v>29</v>
      </c>
      <c r="V846" s="72" t="s">
        <v>1932</v>
      </c>
      <c r="W846" s="72" t="s">
        <v>1936</v>
      </c>
      <c r="X846" s="72" t="s">
        <v>888</v>
      </c>
      <c r="Y846" s="72" t="s">
        <v>4</v>
      </c>
      <c r="Z846" s="72" t="s">
        <v>129</v>
      </c>
      <c r="AA846" s="147" t="s">
        <v>3623</v>
      </c>
    </row>
    <row r="847" spans="1:27" ht="18.600000000000001" customHeight="1">
      <c r="A847" s="140" t="str">
        <f>IF(priority(Main[[#This Row],[Comments]])&lt;&gt;0, priority(Main[[#This Row],[Comments]]),"")</f>
        <v/>
      </c>
      <c r="B847" s="90" t="s">
        <v>1686</v>
      </c>
      <c r="C847" s="72" t="s">
        <v>4</v>
      </c>
      <c r="D847" s="73" t="s">
        <v>739</v>
      </c>
      <c r="E847" s="74"/>
      <c r="F847" s="74"/>
      <c r="G847" s="75" t="str">
        <f>IF(stdProdLT(Main[[#This Row],[Comments]])=0.1,"N/A",IF(stdProdLT(Main[[#This Row],[Comments]])=0,"",stdProdLT(Main[[#This Row],[Comments]])))</f>
        <v/>
      </c>
      <c r="H847" s="76" t="str">
        <f>IF(AND(Main[[#This Row],[In Stock Date]]&lt;&gt;"",Main[[#This Row],[Revised Due Date]]&lt;&gt;""),Main[[#This Row],[In Stock Date]]-Main[[#This Row],[Revised Due Date]],"")</f>
        <v/>
      </c>
      <c r="I847" s="72" t="s">
        <v>4</v>
      </c>
      <c r="J847" s="72" t="s">
        <v>4</v>
      </c>
      <c r="K847" s="72" t="s">
        <v>4</v>
      </c>
      <c r="L847" s="74"/>
      <c r="M847" s="77" t="str">
        <f>IF(Main[[#This Row],[Tech Start Date]]&lt;1/1/1990,"",IF(Main[[#This Row],[Class]]="C",WORKDAY(Main[[#This Row],[Tech Start Date]],9),IF(Main[[#This Row],[Class]]="B", WORKDAY(Main[[#This Row],[Tech Start Date]],6),IF(Main[[#This Row],[Class]]="A",WORKDAY(Main[[#This Row],[Tech Start Date]],2),""))))</f>
        <v/>
      </c>
      <c r="N847" s="77" t="str">
        <f>IF(Main[[#This Row],[Tech Start Date]]&lt;1/1/1990,"",IF(Main[[#This Row],[Class]]="C",WORKDAY(Main[[#This Row],[Tech Start Date]],19),IF(Main[[#This Row],[Class]]="B", WORKDAY(Main[[#This Row],[Tech Start Date]],12),IF(Main[[#This Row],[Class]]="A",WORKDAY(Main[[#This Row],[Tech Start Date]],4),""))))</f>
        <v/>
      </c>
      <c r="O847" s="77" t="str">
        <f>IF(Main[[#This Row],[Tech Start Date]]&lt;1/1/1990,"",IF(Main[[#This Row],[Class]]="C",WORKDAY(Main[[#This Row],[Tech Start Date]],23),IF(Main[[#This Row],[Class]]="B", WORKDAY(Main[[#This Row],[Tech Start Date]],15),IF(Main[[#This Row],[Class]]="A",WORKDAY(Main[[#This Row],[Tech Start Date]],5),""))))</f>
        <v/>
      </c>
      <c r="P847" s="77" t="str">
        <f>IF(Main[[#This Row],[Tech Start Date]]&lt;1/1/1990,"",IF(Main[[#This Row],[Class]]="C",WORKDAY(Main[[#This Row],[Tech Start Date]],28),IF(Main[[#This Row],[Class]]="B", WORKDAY(Main[[#This Row],[Tech Start Date]],19),IF(Main[[#This Row],[Class]]="A",WORKDAY(Main[[#This Row],[Tech Start Date]],9),""))))</f>
        <v/>
      </c>
      <c r="Q847" s="74"/>
      <c r="R847" s="74"/>
      <c r="S847" s="72" t="s">
        <v>23</v>
      </c>
      <c r="T847" s="80" t="s">
        <v>4</v>
      </c>
      <c r="U847" s="72" t="s">
        <v>14</v>
      </c>
      <c r="V847" s="72" t="s">
        <v>1932</v>
      </c>
      <c r="W847" s="72" t="s">
        <v>1936</v>
      </c>
      <c r="X847" s="72" t="s">
        <v>403</v>
      </c>
      <c r="Y847" s="72" t="s">
        <v>4</v>
      </c>
      <c r="Z847" s="72" t="s">
        <v>4</v>
      </c>
      <c r="AA847" s="147" t="s">
        <v>3119</v>
      </c>
    </row>
    <row r="848" spans="1:27" ht="18.600000000000001" customHeight="1">
      <c r="A848" s="140" t="str">
        <f>IF(priority(Main[[#This Row],[Comments]])&lt;&gt;0, priority(Main[[#This Row],[Comments]]),"")</f>
        <v/>
      </c>
      <c r="B848" s="90" t="s">
        <v>1688</v>
      </c>
      <c r="C848" s="72" t="s">
        <v>4</v>
      </c>
      <c r="D848" s="73" t="s">
        <v>741</v>
      </c>
      <c r="E848" s="74">
        <v>40679.253067129626</v>
      </c>
      <c r="F848" s="74"/>
      <c r="G848" s="75" t="str">
        <f>IF(stdProdLT(Main[[#This Row],[Comments]])=0.1,"N/A",IF(stdProdLT(Main[[#This Row],[Comments]])=0,"",stdProdLT(Main[[#This Row],[Comments]])))</f>
        <v/>
      </c>
      <c r="H848" s="76" t="str">
        <f>IF(AND(Main[[#This Row],[In Stock Date]]&lt;&gt;"",Main[[#This Row],[Revised Due Date]]&lt;&gt;""),Main[[#This Row],[In Stock Date]]-Main[[#This Row],[Revised Due Date]],"")</f>
        <v/>
      </c>
      <c r="I848" s="72" t="s">
        <v>4</v>
      </c>
      <c r="J848" s="72" t="s">
        <v>4</v>
      </c>
      <c r="K848" s="72" t="s">
        <v>4</v>
      </c>
      <c r="L848" s="74"/>
      <c r="M848" s="77" t="str">
        <f>IF(Main[[#This Row],[Tech Start Date]]&lt;1/1/1990,"",IF(Main[[#This Row],[Class]]="C",WORKDAY(Main[[#This Row],[Tech Start Date]],9),IF(Main[[#This Row],[Class]]="B", WORKDAY(Main[[#This Row],[Tech Start Date]],6),IF(Main[[#This Row],[Class]]="A",WORKDAY(Main[[#This Row],[Tech Start Date]],2),""))))</f>
        <v/>
      </c>
      <c r="N848" s="77" t="str">
        <f>IF(Main[[#This Row],[Tech Start Date]]&lt;1/1/1990,"",IF(Main[[#This Row],[Class]]="C",WORKDAY(Main[[#This Row],[Tech Start Date]],19),IF(Main[[#This Row],[Class]]="B", WORKDAY(Main[[#This Row],[Tech Start Date]],12),IF(Main[[#This Row],[Class]]="A",WORKDAY(Main[[#This Row],[Tech Start Date]],4),""))))</f>
        <v/>
      </c>
      <c r="O848" s="77" t="str">
        <f>IF(Main[[#This Row],[Tech Start Date]]&lt;1/1/1990,"",IF(Main[[#This Row],[Class]]="C",WORKDAY(Main[[#This Row],[Tech Start Date]],23),IF(Main[[#This Row],[Class]]="B", WORKDAY(Main[[#This Row],[Tech Start Date]],15),IF(Main[[#This Row],[Class]]="A",WORKDAY(Main[[#This Row],[Tech Start Date]],5),""))))</f>
        <v/>
      </c>
      <c r="P848" s="77" t="str">
        <f>IF(Main[[#This Row],[Tech Start Date]]&lt;1/1/1990,"",IF(Main[[#This Row],[Class]]="C",WORKDAY(Main[[#This Row],[Tech Start Date]],28),IF(Main[[#This Row],[Class]]="B", WORKDAY(Main[[#This Row],[Tech Start Date]],19),IF(Main[[#This Row],[Class]]="A",WORKDAY(Main[[#This Row],[Tech Start Date]],9),""))))</f>
        <v/>
      </c>
      <c r="Q848" s="74">
        <v>40724</v>
      </c>
      <c r="R848" s="74"/>
      <c r="S848" s="72" t="s">
        <v>6</v>
      </c>
      <c r="T848" s="80" t="s">
        <v>4</v>
      </c>
      <c r="U848" s="72" t="s">
        <v>7</v>
      </c>
      <c r="V848" s="72" t="s">
        <v>1932</v>
      </c>
      <c r="W848" s="72" t="s">
        <v>4</v>
      </c>
      <c r="X848" s="72" t="s">
        <v>2906</v>
      </c>
      <c r="Y848" s="72" t="s">
        <v>3025</v>
      </c>
      <c r="Z848" s="72" t="s">
        <v>4</v>
      </c>
      <c r="AA848" s="147" t="s">
        <v>2906</v>
      </c>
    </row>
    <row r="849" spans="1:27" ht="18.600000000000001" customHeight="1">
      <c r="A849" s="140" t="str">
        <f>IF(priority(Main[[#This Row],[Comments]])&lt;&gt;0, priority(Main[[#This Row],[Comments]]),"")</f>
        <v/>
      </c>
      <c r="B849" s="90" t="s">
        <v>1689</v>
      </c>
      <c r="C849" s="72" t="s">
        <v>4</v>
      </c>
      <c r="D849" s="73" t="s">
        <v>742</v>
      </c>
      <c r="E849" s="74">
        <v>40679.252465277779</v>
      </c>
      <c r="F849" s="74"/>
      <c r="G849" s="75" t="str">
        <f>IF(stdProdLT(Main[[#This Row],[Comments]])=0.1,"N/A",IF(stdProdLT(Main[[#This Row],[Comments]])=0,"",stdProdLT(Main[[#This Row],[Comments]])))</f>
        <v/>
      </c>
      <c r="H849" s="76" t="str">
        <f>IF(AND(Main[[#This Row],[In Stock Date]]&lt;&gt;"",Main[[#This Row],[Revised Due Date]]&lt;&gt;""),Main[[#This Row],[In Stock Date]]-Main[[#This Row],[Revised Due Date]],"")</f>
        <v/>
      </c>
      <c r="I849" s="72" t="s">
        <v>4</v>
      </c>
      <c r="J849" s="72" t="s">
        <v>4</v>
      </c>
      <c r="K849" s="72" t="s">
        <v>4</v>
      </c>
      <c r="L849" s="74"/>
      <c r="M849" s="77" t="str">
        <f>IF(Main[[#This Row],[Tech Start Date]]&lt;1/1/1990,"",IF(Main[[#This Row],[Class]]="C",WORKDAY(Main[[#This Row],[Tech Start Date]],9),IF(Main[[#This Row],[Class]]="B", WORKDAY(Main[[#This Row],[Tech Start Date]],6),IF(Main[[#This Row],[Class]]="A",WORKDAY(Main[[#This Row],[Tech Start Date]],2),""))))</f>
        <v/>
      </c>
      <c r="N849" s="77" t="str">
        <f>IF(Main[[#This Row],[Tech Start Date]]&lt;1/1/1990,"",IF(Main[[#This Row],[Class]]="C",WORKDAY(Main[[#This Row],[Tech Start Date]],19),IF(Main[[#This Row],[Class]]="B", WORKDAY(Main[[#This Row],[Tech Start Date]],12),IF(Main[[#This Row],[Class]]="A",WORKDAY(Main[[#This Row],[Tech Start Date]],4),""))))</f>
        <v/>
      </c>
      <c r="O849" s="77" t="str">
        <f>IF(Main[[#This Row],[Tech Start Date]]&lt;1/1/1990,"",IF(Main[[#This Row],[Class]]="C",WORKDAY(Main[[#This Row],[Tech Start Date]],23),IF(Main[[#This Row],[Class]]="B", WORKDAY(Main[[#This Row],[Tech Start Date]],15),IF(Main[[#This Row],[Class]]="A",WORKDAY(Main[[#This Row],[Tech Start Date]],5),""))))</f>
        <v/>
      </c>
      <c r="P849" s="77" t="str">
        <f>IF(Main[[#This Row],[Tech Start Date]]&lt;1/1/1990,"",IF(Main[[#This Row],[Class]]="C",WORKDAY(Main[[#This Row],[Tech Start Date]],28),IF(Main[[#This Row],[Class]]="B", WORKDAY(Main[[#This Row],[Tech Start Date]],19),IF(Main[[#This Row],[Class]]="A",WORKDAY(Main[[#This Row],[Tech Start Date]],9),""))))</f>
        <v/>
      </c>
      <c r="Q849" s="74">
        <v>40724</v>
      </c>
      <c r="R849" s="74"/>
      <c r="S849" s="72" t="s">
        <v>6</v>
      </c>
      <c r="T849" s="80" t="s">
        <v>4</v>
      </c>
      <c r="U849" s="72" t="s">
        <v>7</v>
      </c>
      <c r="V849" s="72" t="s">
        <v>1932</v>
      </c>
      <c r="W849" s="72" t="s">
        <v>4</v>
      </c>
      <c r="X849" s="72" t="s">
        <v>2906</v>
      </c>
      <c r="Y849" s="72" t="s">
        <v>3025</v>
      </c>
      <c r="Z849" s="72" t="s">
        <v>4</v>
      </c>
      <c r="AA849" s="147" t="s">
        <v>2906</v>
      </c>
    </row>
    <row r="850" spans="1:27" ht="18.600000000000001" customHeight="1">
      <c r="A850" s="140" t="str">
        <f>IF(priority(Main[[#This Row],[Comments]])&lt;&gt;0, priority(Main[[#This Row],[Comments]]),"")</f>
        <v/>
      </c>
      <c r="B850" s="90" t="s">
        <v>1690</v>
      </c>
      <c r="C850" s="72" t="s">
        <v>4</v>
      </c>
      <c r="D850" s="73" t="s">
        <v>743</v>
      </c>
      <c r="E850" s="74">
        <v>40679.253668981481</v>
      </c>
      <c r="F850" s="74"/>
      <c r="G850" s="75" t="str">
        <f>IF(stdProdLT(Main[[#This Row],[Comments]])=0.1,"N/A",IF(stdProdLT(Main[[#This Row],[Comments]])=0,"",stdProdLT(Main[[#This Row],[Comments]])))</f>
        <v/>
      </c>
      <c r="H850" s="76" t="str">
        <f>IF(AND(Main[[#This Row],[In Stock Date]]&lt;&gt;"",Main[[#This Row],[Revised Due Date]]&lt;&gt;""),Main[[#This Row],[In Stock Date]]-Main[[#This Row],[Revised Due Date]],"")</f>
        <v/>
      </c>
      <c r="I850" s="72" t="s">
        <v>4</v>
      </c>
      <c r="J850" s="72" t="s">
        <v>4</v>
      </c>
      <c r="K850" s="72" t="s">
        <v>4</v>
      </c>
      <c r="L850" s="74"/>
      <c r="M850" s="77" t="str">
        <f>IF(Main[[#This Row],[Tech Start Date]]&lt;1/1/1990,"",IF(Main[[#This Row],[Class]]="C",WORKDAY(Main[[#This Row],[Tech Start Date]],9),IF(Main[[#This Row],[Class]]="B", WORKDAY(Main[[#This Row],[Tech Start Date]],6),IF(Main[[#This Row],[Class]]="A",WORKDAY(Main[[#This Row],[Tech Start Date]],2),""))))</f>
        <v/>
      </c>
      <c r="N850" s="77" t="str">
        <f>IF(Main[[#This Row],[Tech Start Date]]&lt;1/1/1990,"",IF(Main[[#This Row],[Class]]="C",WORKDAY(Main[[#This Row],[Tech Start Date]],19),IF(Main[[#This Row],[Class]]="B", WORKDAY(Main[[#This Row],[Tech Start Date]],12),IF(Main[[#This Row],[Class]]="A",WORKDAY(Main[[#This Row],[Tech Start Date]],4),""))))</f>
        <v/>
      </c>
      <c r="O850" s="77" t="str">
        <f>IF(Main[[#This Row],[Tech Start Date]]&lt;1/1/1990,"",IF(Main[[#This Row],[Class]]="C",WORKDAY(Main[[#This Row],[Tech Start Date]],23),IF(Main[[#This Row],[Class]]="B", WORKDAY(Main[[#This Row],[Tech Start Date]],15),IF(Main[[#This Row],[Class]]="A",WORKDAY(Main[[#This Row],[Tech Start Date]],5),""))))</f>
        <v/>
      </c>
      <c r="P850" s="77" t="str">
        <f>IF(Main[[#This Row],[Tech Start Date]]&lt;1/1/1990,"",IF(Main[[#This Row],[Class]]="C",WORKDAY(Main[[#This Row],[Tech Start Date]],28),IF(Main[[#This Row],[Class]]="B", WORKDAY(Main[[#This Row],[Tech Start Date]],19),IF(Main[[#This Row],[Class]]="A",WORKDAY(Main[[#This Row],[Tech Start Date]],9),""))))</f>
        <v/>
      </c>
      <c r="Q850" s="74">
        <v>40724</v>
      </c>
      <c r="R850" s="74"/>
      <c r="S850" s="72" t="s">
        <v>6</v>
      </c>
      <c r="T850" s="80" t="s">
        <v>4</v>
      </c>
      <c r="U850" s="72" t="s">
        <v>7</v>
      </c>
      <c r="V850" s="72" t="s">
        <v>1932</v>
      </c>
      <c r="W850" s="72" t="s">
        <v>4</v>
      </c>
      <c r="X850" s="72" t="s">
        <v>2906</v>
      </c>
      <c r="Y850" s="72" t="s">
        <v>3025</v>
      </c>
      <c r="Z850" s="72" t="s">
        <v>4</v>
      </c>
      <c r="AA850" s="147" t="s">
        <v>2906</v>
      </c>
    </row>
    <row r="851" spans="1:27" ht="18.600000000000001" customHeight="1">
      <c r="A851" s="140" t="str">
        <f>IF(priority(Main[[#This Row],[Comments]])&lt;&gt;0, priority(Main[[#This Row],[Comments]]),"")</f>
        <v/>
      </c>
      <c r="B851" s="90" t="s">
        <v>1696</v>
      </c>
      <c r="C851" s="72" t="s">
        <v>4</v>
      </c>
      <c r="D851" s="73" t="s">
        <v>746</v>
      </c>
      <c r="E851" s="74"/>
      <c r="F851" s="74">
        <v>40598</v>
      </c>
      <c r="G851" s="75" t="str">
        <f>IF(stdProdLT(Main[[#This Row],[Comments]])=0.1,"N/A",IF(stdProdLT(Main[[#This Row],[Comments]])=0,"",stdProdLT(Main[[#This Row],[Comments]])))</f>
        <v/>
      </c>
      <c r="H851" s="76" t="str">
        <f>IF(AND(Main[[#This Row],[In Stock Date]]&lt;&gt;"",Main[[#This Row],[Revised Due Date]]&lt;&gt;""),Main[[#This Row],[In Stock Date]]-Main[[#This Row],[Revised Due Date]],"")</f>
        <v/>
      </c>
      <c r="I851" s="72" t="s">
        <v>4</v>
      </c>
      <c r="J851" s="72" t="s">
        <v>4</v>
      </c>
      <c r="K851" s="72" t="s">
        <v>4</v>
      </c>
      <c r="L851" s="74"/>
      <c r="M851" s="77" t="str">
        <f>IF(Main[[#This Row],[Tech Start Date]]&lt;1/1/1990,"",IF(Main[[#This Row],[Class]]="C",WORKDAY(Main[[#This Row],[Tech Start Date]],9),IF(Main[[#This Row],[Class]]="B", WORKDAY(Main[[#This Row],[Tech Start Date]],6),IF(Main[[#This Row],[Class]]="A",WORKDAY(Main[[#This Row],[Tech Start Date]],2),""))))</f>
        <v/>
      </c>
      <c r="N851" s="77" t="str">
        <f>IF(Main[[#This Row],[Tech Start Date]]&lt;1/1/1990,"",IF(Main[[#This Row],[Class]]="C",WORKDAY(Main[[#This Row],[Tech Start Date]],19),IF(Main[[#This Row],[Class]]="B", WORKDAY(Main[[#This Row],[Tech Start Date]],12),IF(Main[[#This Row],[Class]]="A",WORKDAY(Main[[#This Row],[Tech Start Date]],4),""))))</f>
        <v/>
      </c>
      <c r="O851" s="77" t="str">
        <f>IF(Main[[#This Row],[Tech Start Date]]&lt;1/1/1990,"",IF(Main[[#This Row],[Class]]="C",WORKDAY(Main[[#This Row],[Tech Start Date]],23),IF(Main[[#This Row],[Class]]="B", WORKDAY(Main[[#This Row],[Tech Start Date]],15),IF(Main[[#This Row],[Class]]="A",WORKDAY(Main[[#This Row],[Tech Start Date]],5),""))))</f>
        <v/>
      </c>
      <c r="P851" s="77" t="str">
        <f>IF(Main[[#This Row],[Tech Start Date]]&lt;1/1/1990,"",IF(Main[[#This Row],[Class]]="C",WORKDAY(Main[[#This Row],[Tech Start Date]],28),IF(Main[[#This Row],[Class]]="B", WORKDAY(Main[[#This Row],[Tech Start Date]],19),IF(Main[[#This Row],[Class]]="A",WORKDAY(Main[[#This Row],[Tech Start Date]],9),""))))</f>
        <v/>
      </c>
      <c r="Q851" s="74">
        <v>40598</v>
      </c>
      <c r="R851" s="74"/>
      <c r="S851" s="72" t="s">
        <v>11</v>
      </c>
      <c r="T851" s="80" t="s">
        <v>4</v>
      </c>
      <c r="U851" s="72" t="s">
        <v>14</v>
      </c>
      <c r="V851" s="72" t="s">
        <v>1942</v>
      </c>
      <c r="W851" s="72" t="s">
        <v>1938</v>
      </c>
      <c r="X851" s="72" t="s">
        <v>2932</v>
      </c>
      <c r="Y851" s="72" t="s">
        <v>3066</v>
      </c>
      <c r="Z851" s="72" t="s">
        <v>4</v>
      </c>
      <c r="AA851" s="147" t="s">
        <v>2932</v>
      </c>
    </row>
    <row r="852" spans="1:27" ht="18.600000000000001" customHeight="1">
      <c r="A852" s="140" t="str">
        <f>IF(priority(Main[[#This Row],[Comments]])&lt;&gt;0, priority(Main[[#This Row],[Comments]]),"")</f>
        <v/>
      </c>
      <c r="B852" s="90" t="s">
        <v>1699</v>
      </c>
      <c r="C852" s="72" t="s">
        <v>4</v>
      </c>
      <c r="D852" s="73" t="s">
        <v>750</v>
      </c>
      <c r="E852" s="74">
        <v>40591.815474537034</v>
      </c>
      <c r="F852" s="74"/>
      <c r="G852" s="75" t="str">
        <f>IF(stdProdLT(Main[[#This Row],[Comments]])=0.1,"N/A",IF(stdProdLT(Main[[#This Row],[Comments]])=0,"",stdProdLT(Main[[#This Row],[Comments]])))</f>
        <v/>
      </c>
      <c r="H852" s="76" t="str">
        <f>IF(AND(Main[[#This Row],[In Stock Date]]&lt;&gt;"",Main[[#This Row],[Revised Due Date]]&lt;&gt;""),Main[[#This Row],[In Stock Date]]-Main[[#This Row],[Revised Due Date]],"")</f>
        <v/>
      </c>
      <c r="I852" s="72" t="s">
        <v>131</v>
      </c>
      <c r="J852" s="72" t="s">
        <v>70</v>
      </c>
      <c r="K852" s="81" t="s">
        <v>1941</v>
      </c>
      <c r="L852" s="74"/>
      <c r="M852" s="77" t="str">
        <f>IF(Main[[#This Row],[Tech Start Date]]&lt;1/1/1990,"",IF(Main[[#This Row],[Class]]="C",WORKDAY(Main[[#This Row],[Tech Start Date]],9),IF(Main[[#This Row],[Class]]="B", WORKDAY(Main[[#This Row],[Tech Start Date]],6),IF(Main[[#This Row],[Class]]="A",WORKDAY(Main[[#This Row],[Tech Start Date]],2),""))))</f>
        <v/>
      </c>
      <c r="N852" s="77" t="str">
        <f>IF(Main[[#This Row],[Tech Start Date]]&lt;1/1/1990,"",IF(Main[[#This Row],[Class]]="C",WORKDAY(Main[[#This Row],[Tech Start Date]],19),IF(Main[[#This Row],[Class]]="B", WORKDAY(Main[[#This Row],[Tech Start Date]],12),IF(Main[[#This Row],[Class]]="A",WORKDAY(Main[[#This Row],[Tech Start Date]],4),""))))</f>
        <v/>
      </c>
      <c r="O852" s="77" t="str">
        <f>IF(Main[[#This Row],[Tech Start Date]]&lt;1/1/1990,"",IF(Main[[#This Row],[Class]]="C",WORKDAY(Main[[#This Row],[Tech Start Date]],23),IF(Main[[#This Row],[Class]]="B", WORKDAY(Main[[#This Row],[Tech Start Date]],15),IF(Main[[#This Row],[Class]]="A",WORKDAY(Main[[#This Row],[Tech Start Date]],5),""))))</f>
        <v/>
      </c>
      <c r="P852" s="77" t="str">
        <f>IF(Main[[#This Row],[Tech Start Date]]&lt;1/1/1990,"",IF(Main[[#This Row],[Class]]="C",WORKDAY(Main[[#This Row],[Tech Start Date]],28),IF(Main[[#This Row],[Class]]="B", WORKDAY(Main[[#This Row],[Tech Start Date]],19),IF(Main[[#This Row],[Class]]="A",WORKDAY(Main[[#This Row],[Tech Start Date]],9),""))))</f>
        <v/>
      </c>
      <c r="Q852" s="74">
        <v>40736</v>
      </c>
      <c r="R852" s="74"/>
      <c r="S852" s="72" t="s">
        <v>6</v>
      </c>
      <c r="T852" s="80" t="s">
        <v>4</v>
      </c>
      <c r="U852" s="72" t="s">
        <v>29</v>
      </c>
      <c r="V852" s="72" t="s">
        <v>1935</v>
      </c>
      <c r="W852" s="72" t="s">
        <v>1936</v>
      </c>
      <c r="X852" s="72" t="s">
        <v>30</v>
      </c>
      <c r="Y852" s="72" t="s">
        <v>3044</v>
      </c>
      <c r="Z852" s="72" t="s">
        <v>30</v>
      </c>
      <c r="AA852" s="147" t="s">
        <v>30</v>
      </c>
    </row>
    <row r="853" spans="1:27" ht="18.600000000000001" customHeight="1">
      <c r="A853" s="140" t="str">
        <f>IF(priority(Main[[#This Row],[Comments]])&lt;&gt;0, priority(Main[[#This Row],[Comments]]),"")</f>
        <v/>
      </c>
      <c r="B853" s="90" t="s">
        <v>2056</v>
      </c>
      <c r="C853" s="72" t="s">
        <v>37</v>
      </c>
      <c r="D853" s="73" t="s">
        <v>490</v>
      </c>
      <c r="E853" s="74"/>
      <c r="F853" s="74"/>
      <c r="G853" s="75" t="str">
        <f>IF(stdProdLT(Main[[#This Row],[Comments]])=0.1,"N/A",IF(stdProdLT(Main[[#This Row],[Comments]])=0,"",stdProdLT(Main[[#This Row],[Comments]])))</f>
        <v/>
      </c>
      <c r="H853" s="76" t="str">
        <f>IF(AND(Main[[#This Row],[In Stock Date]]&lt;&gt;"",Main[[#This Row],[Revised Due Date]]&lt;&gt;""),Main[[#This Row],[In Stock Date]]-Main[[#This Row],[Revised Due Date]],"")</f>
        <v/>
      </c>
      <c r="I853" s="72" t="s">
        <v>4</v>
      </c>
      <c r="J853" s="72" t="s">
        <v>21</v>
      </c>
      <c r="K853" s="72" t="s">
        <v>4</v>
      </c>
      <c r="L853" s="74"/>
      <c r="M853" s="77" t="str">
        <f>IF(Main[[#This Row],[Tech Start Date]]&lt;1/1/1990,"",IF(Main[[#This Row],[Class]]="C",WORKDAY(Main[[#This Row],[Tech Start Date]],9),IF(Main[[#This Row],[Class]]="B", WORKDAY(Main[[#This Row],[Tech Start Date]],6),IF(Main[[#This Row],[Class]]="A",WORKDAY(Main[[#This Row],[Tech Start Date]],2),""))))</f>
        <v/>
      </c>
      <c r="N853" s="77" t="str">
        <f>IF(Main[[#This Row],[Tech Start Date]]&lt;1/1/1990,"",IF(Main[[#This Row],[Class]]="C",WORKDAY(Main[[#This Row],[Tech Start Date]],19),IF(Main[[#This Row],[Class]]="B", WORKDAY(Main[[#This Row],[Tech Start Date]],12),IF(Main[[#This Row],[Class]]="A",WORKDAY(Main[[#This Row],[Tech Start Date]],4),""))))</f>
        <v/>
      </c>
      <c r="O853" s="77" t="str">
        <f>IF(Main[[#This Row],[Tech Start Date]]&lt;1/1/1990,"",IF(Main[[#This Row],[Class]]="C",WORKDAY(Main[[#This Row],[Tech Start Date]],23),IF(Main[[#This Row],[Class]]="B", WORKDAY(Main[[#This Row],[Tech Start Date]],15),IF(Main[[#This Row],[Class]]="A",WORKDAY(Main[[#This Row],[Tech Start Date]],5),""))))</f>
        <v/>
      </c>
      <c r="P853" s="77" t="str">
        <f>IF(Main[[#This Row],[Tech Start Date]]&lt;1/1/1990,"",IF(Main[[#This Row],[Class]]="C",WORKDAY(Main[[#This Row],[Tech Start Date]],28),IF(Main[[#This Row],[Class]]="B", WORKDAY(Main[[#This Row],[Tech Start Date]],19),IF(Main[[#This Row],[Class]]="A",WORKDAY(Main[[#This Row],[Tech Start Date]],9),""))))</f>
        <v/>
      </c>
      <c r="Q853" s="74">
        <v>40696</v>
      </c>
      <c r="R853" s="74"/>
      <c r="S853" s="72" t="s">
        <v>6</v>
      </c>
      <c r="T853" s="80" t="s">
        <v>4</v>
      </c>
      <c r="U853" s="72" t="s">
        <v>12</v>
      </c>
      <c r="V853" s="72" t="s">
        <v>1932</v>
      </c>
      <c r="W853" s="72" t="s">
        <v>1943</v>
      </c>
      <c r="X853" s="72" t="s">
        <v>50</v>
      </c>
      <c r="Y853" s="72" t="s">
        <v>3184</v>
      </c>
      <c r="Z853" s="72" t="s">
        <v>3250</v>
      </c>
      <c r="AA853" s="147" t="s">
        <v>982</v>
      </c>
    </row>
    <row r="854" spans="1:27" ht="18.600000000000001" customHeight="1">
      <c r="A854" s="140" t="str">
        <f>IF(priority(Main[[#This Row],[Comments]])&lt;&gt;0, priority(Main[[#This Row],[Comments]]),"")</f>
        <v/>
      </c>
      <c r="B854" s="90" t="s">
        <v>2218</v>
      </c>
      <c r="C854" s="72" t="s">
        <v>4</v>
      </c>
      <c r="D854" s="73" t="s">
        <v>2219</v>
      </c>
      <c r="E854" s="74"/>
      <c r="F854" s="74">
        <v>40848</v>
      </c>
      <c r="G854" s="75" t="str">
        <f>IF(stdProdLT(Main[[#This Row],[Comments]])=0.1,"N/A",IF(stdProdLT(Main[[#This Row],[Comments]])=0,"",stdProdLT(Main[[#This Row],[Comments]])))</f>
        <v/>
      </c>
      <c r="H854" s="76" t="str">
        <f>IF(AND(Main[[#This Row],[In Stock Date]]&lt;&gt;"",Main[[#This Row],[Revised Due Date]]&lt;&gt;""),Main[[#This Row],[In Stock Date]]-Main[[#This Row],[Revised Due Date]],"")</f>
        <v/>
      </c>
      <c r="I854" s="72" t="s">
        <v>4</v>
      </c>
      <c r="J854" s="72" t="s">
        <v>4</v>
      </c>
      <c r="K854" s="72" t="s">
        <v>4</v>
      </c>
      <c r="L854" s="74"/>
      <c r="M854" s="77" t="str">
        <f>IF(Main[[#This Row],[Tech Start Date]]&lt;1/1/1990,"",IF(Main[[#This Row],[Class]]="C",WORKDAY(Main[[#This Row],[Tech Start Date]],9),IF(Main[[#This Row],[Class]]="B", WORKDAY(Main[[#This Row],[Tech Start Date]],6),IF(Main[[#This Row],[Class]]="A",WORKDAY(Main[[#This Row],[Tech Start Date]],2),""))))</f>
        <v/>
      </c>
      <c r="N854" s="77" t="str">
        <f>IF(Main[[#This Row],[Tech Start Date]]&lt;1/1/1990,"",IF(Main[[#This Row],[Class]]="C",WORKDAY(Main[[#This Row],[Tech Start Date]],19),IF(Main[[#This Row],[Class]]="B", WORKDAY(Main[[#This Row],[Tech Start Date]],12),IF(Main[[#This Row],[Class]]="A",WORKDAY(Main[[#This Row],[Tech Start Date]],4),""))))</f>
        <v/>
      </c>
      <c r="O854" s="77" t="str">
        <f>IF(Main[[#This Row],[Tech Start Date]]&lt;1/1/1990,"",IF(Main[[#This Row],[Class]]="C",WORKDAY(Main[[#This Row],[Tech Start Date]],23),IF(Main[[#This Row],[Class]]="B", WORKDAY(Main[[#This Row],[Tech Start Date]],15),IF(Main[[#This Row],[Class]]="A",WORKDAY(Main[[#This Row],[Tech Start Date]],5),""))))</f>
        <v/>
      </c>
      <c r="P854" s="77" t="str">
        <f>IF(Main[[#This Row],[Tech Start Date]]&lt;1/1/1990,"",IF(Main[[#This Row],[Class]]="C",WORKDAY(Main[[#This Row],[Tech Start Date]],28),IF(Main[[#This Row],[Class]]="B", WORKDAY(Main[[#This Row],[Tech Start Date]],19),IF(Main[[#This Row],[Class]]="A",WORKDAY(Main[[#This Row],[Tech Start Date]],9),""))))</f>
        <v/>
      </c>
      <c r="Q854" s="74">
        <v>40800</v>
      </c>
      <c r="R854" s="74"/>
      <c r="S854" s="72" t="s">
        <v>11</v>
      </c>
      <c r="T854" s="80" t="s">
        <v>4</v>
      </c>
      <c r="U854" s="72" t="s">
        <v>14</v>
      </c>
      <c r="V854" s="72" t="s">
        <v>1942</v>
      </c>
      <c r="W854" s="72" t="s">
        <v>1940</v>
      </c>
      <c r="X854" s="72" t="s">
        <v>2989</v>
      </c>
      <c r="Y854" s="72" t="s">
        <v>3185</v>
      </c>
      <c r="Z854" s="72" t="s">
        <v>4</v>
      </c>
      <c r="AA854" s="147" t="s">
        <v>2989</v>
      </c>
    </row>
    <row r="855" spans="1:27" ht="18.600000000000001" customHeight="1">
      <c r="A855" s="140" t="str">
        <f>IF(priority(Main[[#This Row],[Comments]])&lt;&gt;0, priority(Main[[#This Row],[Comments]]),"")</f>
        <v/>
      </c>
      <c r="B855" s="90" t="s">
        <v>1700</v>
      </c>
      <c r="C855" s="72" t="s">
        <v>4</v>
      </c>
      <c r="D855" s="73" t="s">
        <v>747</v>
      </c>
      <c r="E855" s="74">
        <v>40520.411597222221</v>
      </c>
      <c r="F855" s="74"/>
      <c r="G855" s="75" t="str">
        <f>IF(stdProdLT(Main[[#This Row],[Comments]])=0.1,"N/A",IF(stdProdLT(Main[[#This Row],[Comments]])=0,"",stdProdLT(Main[[#This Row],[Comments]])))</f>
        <v/>
      </c>
      <c r="H855" s="76" t="str">
        <f>IF(AND(Main[[#This Row],[In Stock Date]]&lt;&gt;"",Main[[#This Row],[Revised Due Date]]&lt;&gt;""),Main[[#This Row],[In Stock Date]]-Main[[#This Row],[Revised Due Date]],"")</f>
        <v/>
      </c>
      <c r="I855" s="72" t="s">
        <v>4</v>
      </c>
      <c r="J855" s="72" t="s">
        <v>28</v>
      </c>
      <c r="K855" s="72" t="s">
        <v>4</v>
      </c>
      <c r="L855" s="74"/>
      <c r="M855" s="77" t="str">
        <f>IF(Main[[#This Row],[Tech Start Date]]&lt;1/1/1990,"",IF(Main[[#This Row],[Class]]="C",WORKDAY(Main[[#This Row],[Tech Start Date]],9),IF(Main[[#This Row],[Class]]="B", WORKDAY(Main[[#This Row],[Tech Start Date]],6),IF(Main[[#This Row],[Class]]="A",WORKDAY(Main[[#This Row],[Tech Start Date]],2),""))))</f>
        <v/>
      </c>
      <c r="N855" s="77" t="str">
        <f>IF(Main[[#This Row],[Tech Start Date]]&lt;1/1/1990,"",IF(Main[[#This Row],[Class]]="C",WORKDAY(Main[[#This Row],[Tech Start Date]],19),IF(Main[[#This Row],[Class]]="B", WORKDAY(Main[[#This Row],[Tech Start Date]],12),IF(Main[[#This Row],[Class]]="A",WORKDAY(Main[[#This Row],[Tech Start Date]],4),""))))</f>
        <v/>
      </c>
      <c r="O855" s="77" t="str">
        <f>IF(Main[[#This Row],[Tech Start Date]]&lt;1/1/1990,"",IF(Main[[#This Row],[Class]]="C",WORKDAY(Main[[#This Row],[Tech Start Date]],23),IF(Main[[#This Row],[Class]]="B", WORKDAY(Main[[#This Row],[Tech Start Date]],15),IF(Main[[#This Row],[Class]]="A",WORKDAY(Main[[#This Row],[Tech Start Date]],5),""))))</f>
        <v/>
      </c>
      <c r="P855" s="77" t="str">
        <f>IF(Main[[#This Row],[Tech Start Date]]&lt;1/1/1990,"",IF(Main[[#This Row],[Class]]="C",WORKDAY(Main[[#This Row],[Tech Start Date]],28),IF(Main[[#This Row],[Class]]="B", WORKDAY(Main[[#This Row],[Tech Start Date]],19),IF(Main[[#This Row],[Class]]="A",WORKDAY(Main[[#This Row],[Tech Start Date]],9),""))))</f>
        <v/>
      </c>
      <c r="Q855" s="74">
        <v>40571</v>
      </c>
      <c r="R855" s="74"/>
      <c r="S855" s="72" t="s">
        <v>6</v>
      </c>
      <c r="T855" s="80" t="s">
        <v>4</v>
      </c>
      <c r="U855" s="72" t="s">
        <v>7</v>
      </c>
      <c r="V855" s="72" t="s">
        <v>1932</v>
      </c>
      <c r="W855" s="72" t="s">
        <v>1934</v>
      </c>
      <c r="X855" s="72" t="s">
        <v>2902</v>
      </c>
      <c r="Y855" s="72" t="s">
        <v>3016</v>
      </c>
      <c r="Z855" s="72" t="s">
        <v>129</v>
      </c>
      <c r="AA855" s="147" t="s">
        <v>2902</v>
      </c>
    </row>
    <row r="856" spans="1:27" ht="18.600000000000001" customHeight="1">
      <c r="A856" s="140" t="str">
        <f>IF(priority(Main[[#This Row],[Comments]])&lt;&gt;0, priority(Main[[#This Row],[Comments]]),"")</f>
        <v/>
      </c>
      <c r="B856" s="90" t="s">
        <v>1701</v>
      </c>
      <c r="C856" s="72" t="s">
        <v>4</v>
      </c>
      <c r="D856" s="73" t="s">
        <v>748</v>
      </c>
      <c r="E856" s="74"/>
      <c r="F856" s="74"/>
      <c r="G856" s="75" t="str">
        <f>IF(stdProdLT(Main[[#This Row],[Comments]])=0.1,"N/A",IF(stdProdLT(Main[[#This Row],[Comments]])=0,"",stdProdLT(Main[[#This Row],[Comments]])))</f>
        <v/>
      </c>
      <c r="H856" s="76" t="str">
        <f>IF(AND(Main[[#This Row],[In Stock Date]]&lt;&gt;"",Main[[#This Row],[Revised Due Date]]&lt;&gt;""),Main[[#This Row],[In Stock Date]]-Main[[#This Row],[Revised Due Date]],"")</f>
        <v/>
      </c>
      <c r="I856" s="72" t="s">
        <v>4</v>
      </c>
      <c r="J856" s="72" t="s">
        <v>28</v>
      </c>
      <c r="K856" s="72" t="s">
        <v>4</v>
      </c>
      <c r="L856" s="74"/>
      <c r="M856" s="77" t="str">
        <f>IF(Main[[#This Row],[Tech Start Date]]&lt;1/1/1990,"",IF(Main[[#This Row],[Class]]="C",WORKDAY(Main[[#This Row],[Tech Start Date]],9),IF(Main[[#This Row],[Class]]="B", WORKDAY(Main[[#This Row],[Tech Start Date]],6),IF(Main[[#This Row],[Class]]="A",WORKDAY(Main[[#This Row],[Tech Start Date]],2),""))))</f>
        <v/>
      </c>
      <c r="N856" s="77" t="str">
        <f>IF(Main[[#This Row],[Tech Start Date]]&lt;1/1/1990,"",IF(Main[[#This Row],[Class]]="C",WORKDAY(Main[[#This Row],[Tech Start Date]],19),IF(Main[[#This Row],[Class]]="B", WORKDAY(Main[[#This Row],[Tech Start Date]],12),IF(Main[[#This Row],[Class]]="A",WORKDAY(Main[[#This Row],[Tech Start Date]],4),""))))</f>
        <v/>
      </c>
      <c r="O856" s="77" t="str">
        <f>IF(Main[[#This Row],[Tech Start Date]]&lt;1/1/1990,"",IF(Main[[#This Row],[Class]]="C",WORKDAY(Main[[#This Row],[Tech Start Date]],23),IF(Main[[#This Row],[Class]]="B", WORKDAY(Main[[#This Row],[Tech Start Date]],15),IF(Main[[#This Row],[Class]]="A",WORKDAY(Main[[#This Row],[Tech Start Date]],5),""))))</f>
        <v/>
      </c>
      <c r="P856" s="77" t="str">
        <f>IF(Main[[#This Row],[Tech Start Date]]&lt;1/1/1990,"",IF(Main[[#This Row],[Class]]="C",WORKDAY(Main[[#This Row],[Tech Start Date]],28),IF(Main[[#This Row],[Class]]="B", WORKDAY(Main[[#This Row],[Tech Start Date]],19),IF(Main[[#This Row],[Class]]="A",WORKDAY(Main[[#This Row],[Tech Start Date]],9),""))))</f>
        <v/>
      </c>
      <c r="Q856" s="74"/>
      <c r="R856" s="74"/>
      <c r="S856" s="72" t="s">
        <v>17</v>
      </c>
      <c r="T856" s="80" t="s">
        <v>4</v>
      </c>
      <c r="U856" s="72" t="s">
        <v>14</v>
      </c>
      <c r="V856" s="72" t="s">
        <v>1932</v>
      </c>
      <c r="W856" s="72" t="s">
        <v>1940</v>
      </c>
      <c r="X856" s="72" t="s">
        <v>933</v>
      </c>
      <c r="Y856" s="72" t="s">
        <v>3069</v>
      </c>
      <c r="Z856" s="72" t="s">
        <v>129</v>
      </c>
      <c r="AA856" s="147" t="s">
        <v>933</v>
      </c>
    </row>
    <row r="857" spans="1:27" ht="18.600000000000001" customHeight="1">
      <c r="A857" s="140" t="str">
        <f>IF(priority(Main[[#This Row],[Comments]])&lt;&gt;0, priority(Main[[#This Row],[Comments]]),"")</f>
        <v/>
      </c>
      <c r="B857" s="90" t="s">
        <v>1704</v>
      </c>
      <c r="C857" s="72" t="s">
        <v>4</v>
      </c>
      <c r="D857" s="73" t="s">
        <v>752</v>
      </c>
      <c r="E857" s="74"/>
      <c r="F857" s="74"/>
      <c r="G857" s="75" t="str">
        <f>IF(stdProdLT(Main[[#This Row],[Comments]])=0.1,"N/A",IF(stdProdLT(Main[[#This Row],[Comments]])=0,"",stdProdLT(Main[[#This Row],[Comments]])))</f>
        <v/>
      </c>
      <c r="H857" s="76" t="str">
        <f>IF(AND(Main[[#This Row],[In Stock Date]]&lt;&gt;"",Main[[#This Row],[Revised Due Date]]&lt;&gt;""),Main[[#This Row],[In Stock Date]]-Main[[#This Row],[Revised Due Date]],"")</f>
        <v/>
      </c>
      <c r="I857" s="72" t="s">
        <v>4</v>
      </c>
      <c r="J857" s="72" t="s">
        <v>4</v>
      </c>
      <c r="K857" s="72" t="s">
        <v>4</v>
      </c>
      <c r="L857" s="74"/>
      <c r="M857" s="77" t="str">
        <f>IF(Main[[#This Row],[Tech Start Date]]&lt;1/1/1990,"",IF(Main[[#This Row],[Class]]="C",WORKDAY(Main[[#This Row],[Tech Start Date]],9),IF(Main[[#This Row],[Class]]="B", WORKDAY(Main[[#This Row],[Tech Start Date]],6),IF(Main[[#This Row],[Class]]="A",WORKDAY(Main[[#This Row],[Tech Start Date]],2),""))))</f>
        <v/>
      </c>
      <c r="N857" s="77" t="str">
        <f>IF(Main[[#This Row],[Tech Start Date]]&lt;1/1/1990,"",IF(Main[[#This Row],[Class]]="C",WORKDAY(Main[[#This Row],[Tech Start Date]],19),IF(Main[[#This Row],[Class]]="B", WORKDAY(Main[[#This Row],[Tech Start Date]],12),IF(Main[[#This Row],[Class]]="A",WORKDAY(Main[[#This Row],[Tech Start Date]],4),""))))</f>
        <v/>
      </c>
      <c r="O857" s="77" t="str">
        <f>IF(Main[[#This Row],[Tech Start Date]]&lt;1/1/1990,"",IF(Main[[#This Row],[Class]]="C",WORKDAY(Main[[#This Row],[Tech Start Date]],23),IF(Main[[#This Row],[Class]]="B", WORKDAY(Main[[#This Row],[Tech Start Date]],15),IF(Main[[#This Row],[Class]]="A",WORKDAY(Main[[#This Row],[Tech Start Date]],5),""))))</f>
        <v/>
      </c>
      <c r="P857" s="77" t="str">
        <f>IF(Main[[#This Row],[Tech Start Date]]&lt;1/1/1990,"",IF(Main[[#This Row],[Class]]="C",WORKDAY(Main[[#This Row],[Tech Start Date]],28),IF(Main[[#This Row],[Class]]="B", WORKDAY(Main[[#This Row],[Tech Start Date]],19),IF(Main[[#This Row],[Class]]="A",WORKDAY(Main[[#This Row],[Tech Start Date]],9),""))))</f>
        <v/>
      </c>
      <c r="Q857" s="74"/>
      <c r="R857" s="74"/>
      <c r="S857" s="72" t="s">
        <v>23</v>
      </c>
      <c r="T857" s="80" t="s">
        <v>4</v>
      </c>
      <c r="U857" s="72" t="s">
        <v>14</v>
      </c>
      <c r="V857" s="72" t="s">
        <v>1932</v>
      </c>
      <c r="W857" s="72" t="s">
        <v>1936</v>
      </c>
      <c r="X857" s="72" t="s">
        <v>403</v>
      </c>
      <c r="Y857" s="72" t="s">
        <v>4</v>
      </c>
      <c r="Z857" s="72" t="s">
        <v>4</v>
      </c>
      <c r="AA857" s="147" t="s">
        <v>3119</v>
      </c>
    </row>
    <row r="858" spans="1:27" ht="18.600000000000001" customHeight="1">
      <c r="A858" s="140" t="str">
        <f>IF(priority(Main[[#This Row],[Comments]])&lt;&gt;0, priority(Main[[#This Row],[Comments]]),"")</f>
        <v/>
      </c>
      <c r="B858" s="90" t="s">
        <v>1851</v>
      </c>
      <c r="C858" s="72" t="s">
        <v>4</v>
      </c>
      <c r="D858" s="73" t="s">
        <v>898</v>
      </c>
      <c r="E858" s="74">
        <v>40371.599317129629</v>
      </c>
      <c r="F858" s="74"/>
      <c r="G858" s="75" t="str">
        <f>IF(stdProdLT(Main[[#This Row],[Comments]])=0.1,"N/A",IF(stdProdLT(Main[[#This Row],[Comments]])=0,"",stdProdLT(Main[[#This Row],[Comments]])))</f>
        <v/>
      </c>
      <c r="H858" s="76" t="str">
        <f>IF(AND(Main[[#This Row],[In Stock Date]]&lt;&gt;"",Main[[#This Row],[Revised Due Date]]&lt;&gt;""),Main[[#This Row],[In Stock Date]]-Main[[#This Row],[Revised Due Date]],"")</f>
        <v/>
      </c>
      <c r="I858" s="72" t="s">
        <v>126</v>
      </c>
      <c r="J858" s="72" t="s">
        <v>28</v>
      </c>
      <c r="K858" s="72" t="s">
        <v>1944</v>
      </c>
      <c r="L858" s="74"/>
      <c r="M858" s="77" t="str">
        <f>IF(Main[[#This Row],[Tech Start Date]]&lt;1/1/1990,"",IF(Main[[#This Row],[Class]]="C",WORKDAY(Main[[#This Row],[Tech Start Date]],9),IF(Main[[#This Row],[Class]]="B", WORKDAY(Main[[#This Row],[Tech Start Date]],6),IF(Main[[#This Row],[Class]]="A",WORKDAY(Main[[#This Row],[Tech Start Date]],2),""))))</f>
        <v/>
      </c>
      <c r="N858" s="77" t="str">
        <f>IF(Main[[#This Row],[Tech Start Date]]&lt;1/1/1990,"",IF(Main[[#This Row],[Class]]="C",WORKDAY(Main[[#This Row],[Tech Start Date]],19),IF(Main[[#This Row],[Class]]="B", WORKDAY(Main[[#This Row],[Tech Start Date]],12),IF(Main[[#This Row],[Class]]="A",WORKDAY(Main[[#This Row],[Tech Start Date]],4),""))))</f>
        <v/>
      </c>
      <c r="O858" s="77" t="str">
        <f>IF(Main[[#This Row],[Tech Start Date]]&lt;1/1/1990,"",IF(Main[[#This Row],[Class]]="C",WORKDAY(Main[[#This Row],[Tech Start Date]],23),IF(Main[[#This Row],[Class]]="B", WORKDAY(Main[[#This Row],[Tech Start Date]],15),IF(Main[[#This Row],[Class]]="A",WORKDAY(Main[[#This Row],[Tech Start Date]],5),""))))</f>
        <v/>
      </c>
      <c r="P858" s="77" t="str">
        <f>IF(Main[[#This Row],[Tech Start Date]]&lt;1/1/1990,"",IF(Main[[#This Row],[Class]]="C",WORKDAY(Main[[#This Row],[Tech Start Date]],28),IF(Main[[#This Row],[Class]]="B", WORKDAY(Main[[#This Row],[Tech Start Date]],19),IF(Main[[#This Row],[Class]]="A",WORKDAY(Main[[#This Row],[Tech Start Date]],9),""))))</f>
        <v/>
      </c>
      <c r="Q858" s="74">
        <v>40420</v>
      </c>
      <c r="R858" s="74">
        <v>40420</v>
      </c>
      <c r="S858" s="72" t="s">
        <v>17</v>
      </c>
      <c r="T858" s="80" t="s">
        <v>4</v>
      </c>
      <c r="U858" s="72" t="s">
        <v>29</v>
      </c>
      <c r="V858" s="72" t="s">
        <v>1932</v>
      </c>
      <c r="W858" s="72" t="s">
        <v>1940</v>
      </c>
      <c r="X858" s="72" t="s">
        <v>129</v>
      </c>
      <c r="Y858" s="72" t="s">
        <v>3046</v>
      </c>
      <c r="Z858" s="72" t="s">
        <v>129</v>
      </c>
      <c r="AA858" s="147" t="s">
        <v>2912</v>
      </c>
    </row>
    <row r="859" spans="1:27" ht="18.600000000000001" customHeight="1">
      <c r="A859" s="140" t="str">
        <f>IF(priority(Main[[#This Row],[Comments]])&lt;&gt;0, priority(Main[[#This Row],[Comments]]),"")</f>
        <v/>
      </c>
      <c r="B859" s="90" t="s">
        <v>1705</v>
      </c>
      <c r="C859" s="72" t="s">
        <v>4</v>
      </c>
      <c r="D859" s="73" t="s">
        <v>753</v>
      </c>
      <c r="E859" s="74"/>
      <c r="F859" s="74"/>
      <c r="G859" s="75" t="str">
        <f>IF(stdProdLT(Main[[#This Row],[Comments]])=0.1,"N/A",IF(stdProdLT(Main[[#This Row],[Comments]])=0,"",stdProdLT(Main[[#This Row],[Comments]])))</f>
        <v/>
      </c>
      <c r="H859" s="76" t="str">
        <f>IF(AND(Main[[#This Row],[In Stock Date]]&lt;&gt;"",Main[[#This Row],[Revised Due Date]]&lt;&gt;""),Main[[#This Row],[In Stock Date]]-Main[[#This Row],[Revised Due Date]],"")</f>
        <v/>
      </c>
      <c r="I859" s="72" t="s">
        <v>4</v>
      </c>
      <c r="J859" s="72" t="s">
        <v>28</v>
      </c>
      <c r="K859" s="72" t="s">
        <v>1939</v>
      </c>
      <c r="L859" s="74"/>
      <c r="M859" s="77" t="str">
        <f>IF(Main[[#This Row],[Tech Start Date]]&lt;1/1/1990,"",IF(Main[[#This Row],[Class]]="C",WORKDAY(Main[[#This Row],[Tech Start Date]],9),IF(Main[[#This Row],[Class]]="B", WORKDAY(Main[[#This Row],[Tech Start Date]],6),IF(Main[[#This Row],[Class]]="A",WORKDAY(Main[[#This Row],[Tech Start Date]],2),""))))</f>
        <v/>
      </c>
      <c r="N859" s="77" t="str">
        <f>IF(Main[[#This Row],[Tech Start Date]]&lt;1/1/1990,"",IF(Main[[#This Row],[Class]]="C",WORKDAY(Main[[#This Row],[Tech Start Date]],19),IF(Main[[#This Row],[Class]]="B", WORKDAY(Main[[#This Row],[Tech Start Date]],12),IF(Main[[#This Row],[Class]]="A",WORKDAY(Main[[#This Row],[Tech Start Date]],4),""))))</f>
        <v/>
      </c>
      <c r="O859" s="77" t="str">
        <f>IF(Main[[#This Row],[Tech Start Date]]&lt;1/1/1990,"",IF(Main[[#This Row],[Class]]="C",WORKDAY(Main[[#This Row],[Tech Start Date]],23),IF(Main[[#This Row],[Class]]="B", WORKDAY(Main[[#This Row],[Tech Start Date]],15),IF(Main[[#This Row],[Class]]="A",WORKDAY(Main[[#This Row],[Tech Start Date]],5),""))))</f>
        <v/>
      </c>
      <c r="P859" s="77" t="str">
        <f>IF(Main[[#This Row],[Tech Start Date]]&lt;1/1/1990,"",IF(Main[[#This Row],[Class]]="C",WORKDAY(Main[[#This Row],[Tech Start Date]],28),IF(Main[[#This Row],[Class]]="B", WORKDAY(Main[[#This Row],[Tech Start Date]],19),IF(Main[[#This Row],[Class]]="A",WORKDAY(Main[[#This Row],[Tech Start Date]],9),""))))</f>
        <v/>
      </c>
      <c r="Q859" s="74"/>
      <c r="R859" s="74"/>
      <c r="S859" s="72" t="s">
        <v>6</v>
      </c>
      <c r="T859" s="80" t="s">
        <v>4</v>
      </c>
      <c r="U859" s="72" t="s">
        <v>14</v>
      </c>
      <c r="V859" s="72" t="s">
        <v>1932</v>
      </c>
      <c r="W859" s="72" t="s">
        <v>1936</v>
      </c>
      <c r="X859" s="72" t="s">
        <v>310</v>
      </c>
      <c r="Y859" s="72" t="s">
        <v>3186</v>
      </c>
      <c r="Z859" s="72" t="s">
        <v>129</v>
      </c>
      <c r="AA859" s="147" t="s">
        <v>3624</v>
      </c>
    </row>
    <row r="860" spans="1:27" ht="18.600000000000001" customHeight="1">
      <c r="A860" s="140" t="str">
        <f>IF(priority(Main[[#This Row],[Comments]])&lt;&gt;0, priority(Main[[#This Row],[Comments]]),"")</f>
        <v/>
      </c>
      <c r="B860" s="90" t="s">
        <v>1707</v>
      </c>
      <c r="C860" s="72" t="s">
        <v>4</v>
      </c>
      <c r="D860" s="73" t="s">
        <v>756</v>
      </c>
      <c r="E860" s="74"/>
      <c r="F860" s="74"/>
      <c r="G860" s="75" t="str">
        <f>IF(stdProdLT(Main[[#This Row],[Comments]])=0.1,"N/A",IF(stdProdLT(Main[[#This Row],[Comments]])=0,"",stdProdLT(Main[[#This Row],[Comments]])))</f>
        <v/>
      </c>
      <c r="H860" s="76" t="str">
        <f>IF(AND(Main[[#This Row],[In Stock Date]]&lt;&gt;"",Main[[#This Row],[Revised Due Date]]&lt;&gt;""),Main[[#This Row],[In Stock Date]]-Main[[#This Row],[Revised Due Date]],"")</f>
        <v/>
      </c>
      <c r="I860" s="72" t="s">
        <v>4</v>
      </c>
      <c r="J860" s="72" t="s">
        <v>4</v>
      </c>
      <c r="K860" s="72" t="s">
        <v>4</v>
      </c>
      <c r="L860" s="74"/>
      <c r="M860" s="77" t="str">
        <f>IF(Main[[#This Row],[Tech Start Date]]&lt;1/1/1990,"",IF(Main[[#This Row],[Class]]="C",WORKDAY(Main[[#This Row],[Tech Start Date]],9),IF(Main[[#This Row],[Class]]="B", WORKDAY(Main[[#This Row],[Tech Start Date]],6),IF(Main[[#This Row],[Class]]="A",WORKDAY(Main[[#This Row],[Tech Start Date]],2),""))))</f>
        <v/>
      </c>
      <c r="N860" s="77" t="str">
        <f>IF(Main[[#This Row],[Tech Start Date]]&lt;1/1/1990,"",IF(Main[[#This Row],[Class]]="C",WORKDAY(Main[[#This Row],[Tech Start Date]],19),IF(Main[[#This Row],[Class]]="B", WORKDAY(Main[[#This Row],[Tech Start Date]],12),IF(Main[[#This Row],[Class]]="A",WORKDAY(Main[[#This Row],[Tech Start Date]],4),""))))</f>
        <v/>
      </c>
      <c r="O860" s="77" t="str">
        <f>IF(Main[[#This Row],[Tech Start Date]]&lt;1/1/1990,"",IF(Main[[#This Row],[Class]]="C",WORKDAY(Main[[#This Row],[Tech Start Date]],23),IF(Main[[#This Row],[Class]]="B", WORKDAY(Main[[#This Row],[Tech Start Date]],15),IF(Main[[#This Row],[Class]]="A",WORKDAY(Main[[#This Row],[Tech Start Date]],5),""))))</f>
        <v/>
      </c>
      <c r="P860" s="77" t="str">
        <f>IF(Main[[#This Row],[Tech Start Date]]&lt;1/1/1990,"",IF(Main[[#This Row],[Class]]="C",WORKDAY(Main[[#This Row],[Tech Start Date]],28),IF(Main[[#This Row],[Class]]="B", WORKDAY(Main[[#This Row],[Tech Start Date]],19),IF(Main[[#This Row],[Class]]="A",WORKDAY(Main[[#This Row],[Tech Start Date]],9),""))))</f>
        <v/>
      </c>
      <c r="Q860" s="74"/>
      <c r="R860" s="74"/>
      <c r="S860" s="72" t="s">
        <v>11</v>
      </c>
      <c r="T860" s="80" t="s">
        <v>4</v>
      </c>
      <c r="U860" s="72" t="s">
        <v>14</v>
      </c>
      <c r="V860" s="72" t="s">
        <v>1932</v>
      </c>
      <c r="W860" s="72" t="s">
        <v>1936</v>
      </c>
      <c r="X860" s="72" t="s">
        <v>718</v>
      </c>
      <c r="Y860" s="72" t="s">
        <v>3172</v>
      </c>
      <c r="Z860" s="72" t="s">
        <v>4</v>
      </c>
      <c r="AA860" s="147" t="s">
        <v>981</v>
      </c>
    </row>
    <row r="861" spans="1:27" ht="18.600000000000001" customHeight="1">
      <c r="A861" s="140" t="str">
        <f>IF(priority(Main[[#This Row],[Comments]])&lt;&gt;0, priority(Main[[#This Row],[Comments]]),"")</f>
        <v/>
      </c>
      <c r="B861" s="90" t="s">
        <v>1708</v>
      </c>
      <c r="C861" s="72" t="s">
        <v>4</v>
      </c>
      <c r="D861" s="73" t="s">
        <v>757</v>
      </c>
      <c r="E861" s="74"/>
      <c r="F861" s="74"/>
      <c r="G861" s="75" t="str">
        <f>IF(stdProdLT(Main[[#This Row],[Comments]])=0.1,"N/A",IF(stdProdLT(Main[[#This Row],[Comments]])=0,"",stdProdLT(Main[[#This Row],[Comments]])))</f>
        <v/>
      </c>
      <c r="H861" s="76" t="str">
        <f>IF(AND(Main[[#This Row],[In Stock Date]]&lt;&gt;"",Main[[#This Row],[Revised Due Date]]&lt;&gt;""),Main[[#This Row],[In Stock Date]]-Main[[#This Row],[Revised Due Date]],"")</f>
        <v/>
      </c>
      <c r="I861" s="72" t="s">
        <v>434</v>
      </c>
      <c r="J861" s="72" t="s">
        <v>70</v>
      </c>
      <c r="K861" s="72" t="s">
        <v>4</v>
      </c>
      <c r="L861" s="74"/>
      <c r="M861" s="77" t="str">
        <f>IF(Main[[#This Row],[Tech Start Date]]&lt;1/1/1990,"",IF(Main[[#This Row],[Class]]="C",WORKDAY(Main[[#This Row],[Tech Start Date]],9),IF(Main[[#This Row],[Class]]="B", WORKDAY(Main[[#This Row],[Tech Start Date]],6),IF(Main[[#This Row],[Class]]="A",WORKDAY(Main[[#This Row],[Tech Start Date]],2),""))))</f>
        <v/>
      </c>
      <c r="N861" s="77" t="str">
        <f>IF(Main[[#This Row],[Tech Start Date]]&lt;1/1/1990,"",IF(Main[[#This Row],[Class]]="C",WORKDAY(Main[[#This Row],[Tech Start Date]],19),IF(Main[[#This Row],[Class]]="B", WORKDAY(Main[[#This Row],[Tech Start Date]],12),IF(Main[[#This Row],[Class]]="A",WORKDAY(Main[[#This Row],[Tech Start Date]],4),""))))</f>
        <v/>
      </c>
      <c r="O861" s="77" t="str">
        <f>IF(Main[[#This Row],[Tech Start Date]]&lt;1/1/1990,"",IF(Main[[#This Row],[Class]]="C",WORKDAY(Main[[#This Row],[Tech Start Date]],23),IF(Main[[#This Row],[Class]]="B", WORKDAY(Main[[#This Row],[Tech Start Date]],15),IF(Main[[#This Row],[Class]]="A",WORKDAY(Main[[#This Row],[Tech Start Date]],5),""))))</f>
        <v/>
      </c>
      <c r="P861" s="77" t="str">
        <f>IF(Main[[#This Row],[Tech Start Date]]&lt;1/1/1990,"",IF(Main[[#This Row],[Class]]="C",WORKDAY(Main[[#This Row],[Tech Start Date]],28),IF(Main[[#This Row],[Class]]="B", WORKDAY(Main[[#This Row],[Tech Start Date]],19),IF(Main[[#This Row],[Class]]="A",WORKDAY(Main[[#This Row],[Tech Start Date]],9),""))))</f>
        <v/>
      </c>
      <c r="Q861" s="74">
        <v>40437</v>
      </c>
      <c r="R861" s="74"/>
      <c r="S861" s="72" t="s">
        <v>6</v>
      </c>
      <c r="T861" s="80" t="s">
        <v>4</v>
      </c>
      <c r="U861" s="72" t="s">
        <v>14</v>
      </c>
      <c r="V861" s="72" t="s">
        <v>1935</v>
      </c>
      <c r="W861" s="72" t="s">
        <v>1934</v>
      </c>
      <c r="X861" s="72" t="s">
        <v>2906</v>
      </c>
      <c r="Y861" s="72" t="s">
        <v>3025</v>
      </c>
      <c r="Z861" s="72" t="s">
        <v>535</v>
      </c>
      <c r="AA861" s="147" t="s">
        <v>2906</v>
      </c>
    </row>
    <row r="862" spans="1:27" ht="18.600000000000001" customHeight="1">
      <c r="A862" s="140" t="str">
        <f>IF(priority(Main[[#This Row],[Comments]])&lt;&gt;0, priority(Main[[#This Row],[Comments]]),"")</f>
        <v/>
      </c>
      <c r="B862" s="90" t="s">
        <v>2794</v>
      </c>
      <c r="C862" s="72" t="s">
        <v>4</v>
      </c>
      <c r="D862" s="73" t="s">
        <v>2795</v>
      </c>
      <c r="E862" s="74">
        <v>40886.69462962963</v>
      </c>
      <c r="F862" s="74"/>
      <c r="G862" s="75" t="str">
        <f>IF(stdProdLT(Main[[#This Row],[Comments]])=0.1,"N/A",IF(stdProdLT(Main[[#This Row],[Comments]])=0,"",stdProdLT(Main[[#This Row],[Comments]])))</f>
        <v/>
      </c>
      <c r="H862" s="76" t="str">
        <f>IF(AND(Main[[#This Row],[In Stock Date]]&lt;&gt;"",Main[[#This Row],[Revised Due Date]]&lt;&gt;""),Main[[#This Row],[In Stock Date]]-Main[[#This Row],[Revised Due Date]],"")</f>
        <v/>
      </c>
      <c r="I862" s="72" t="s">
        <v>4</v>
      </c>
      <c r="J862" s="72" t="s">
        <v>4</v>
      </c>
      <c r="K862" s="72" t="s">
        <v>4</v>
      </c>
      <c r="L862" s="74"/>
      <c r="M862" s="77" t="str">
        <f>IF(Main[[#This Row],[Tech Start Date]]&lt;1/1/1990,"",IF(Main[[#This Row],[Class]]="C",WORKDAY(Main[[#This Row],[Tech Start Date]],9),IF(Main[[#This Row],[Class]]="B", WORKDAY(Main[[#This Row],[Tech Start Date]],6),IF(Main[[#This Row],[Class]]="A",WORKDAY(Main[[#This Row],[Tech Start Date]],2),""))))</f>
        <v/>
      </c>
      <c r="N862" s="77" t="str">
        <f>IF(Main[[#This Row],[Tech Start Date]]&lt;1/1/1990,"",IF(Main[[#This Row],[Class]]="C",WORKDAY(Main[[#This Row],[Tech Start Date]],19),IF(Main[[#This Row],[Class]]="B", WORKDAY(Main[[#This Row],[Tech Start Date]],12),IF(Main[[#This Row],[Class]]="A",WORKDAY(Main[[#This Row],[Tech Start Date]],4),""))))</f>
        <v/>
      </c>
      <c r="O862" s="77" t="str">
        <f>IF(Main[[#This Row],[Tech Start Date]]&lt;1/1/1990,"",IF(Main[[#This Row],[Class]]="C",WORKDAY(Main[[#This Row],[Tech Start Date]],23),IF(Main[[#This Row],[Class]]="B", WORKDAY(Main[[#This Row],[Tech Start Date]],15),IF(Main[[#This Row],[Class]]="A",WORKDAY(Main[[#This Row],[Tech Start Date]],5),""))))</f>
        <v/>
      </c>
      <c r="P862" s="77" t="str">
        <f>IF(Main[[#This Row],[Tech Start Date]]&lt;1/1/1990,"",IF(Main[[#This Row],[Class]]="C",WORKDAY(Main[[#This Row],[Tech Start Date]],28),IF(Main[[#This Row],[Class]]="B", WORKDAY(Main[[#This Row],[Tech Start Date]],19),IF(Main[[#This Row],[Class]]="A",WORKDAY(Main[[#This Row],[Tech Start Date]],9),""))))</f>
        <v/>
      </c>
      <c r="Q862" s="74">
        <v>40959</v>
      </c>
      <c r="R862" s="74"/>
      <c r="S862" s="72" t="s">
        <v>17</v>
      </c>
      <c r="T862" s="80" t="s">
        <v>4</v>
      </c>
      <c r="U862" s="72" t="s">
        <v>7</v>
      </c>
      <c r="V862" s="72" t="s">
        <v>1932</v>
      </c>
      <c r="W862" s="72" t="s">
        <v>4</v>
      </c>
      <c r="X862" s="72" t="s">
        <v>968</v>
      </c>
      <c r="Y862" s="72" t="s">
        <v>3181</v>
      </c>
      <c r="Z862" s="72" t="s">
        <v>4</v>
      </c>
      <c r="AA862" s="147" t="s">
        <v>968</v>
      </c>
    </row>
    <row r="863" spans="1:27" ht="18.600000000000001" customHeight="1">
      <c r="A863" s="140" t="str">
        <f>IF(priority(Main[[#This Row],[Comments]])&lt;&gt;0, priority(Main[[#This Row],[Comments]]),"")</f>
        <v/>
      </c>
      <c r="B863" s="90" t="s">
        <v>1712</v>
      </c>
      <c r="C863" s="72" t="s">
        <v>47</v>
      </c>
      <c r="D863" s="73" t="s">
        <v>761</v>
      </c>
      <c r="E863" s="74"/>
      <c r="F863" s="74"/>
      <c r="G863" s="75" t="str">
        <f>IF(stdProdLT(Main[[#This Row],[Comments]])=0.1,"N/A",IF(stdProdLT(Main[[#This Row],[Comments]])=0,"",stdProdLT(Main[[#This Row],[Comments]])))</f>
        <v/>
      </c>
      <c r="H863" s="76" t="str">
        <f>IF(AND(Main[[#This Row],[In Stock Date]]&lt;&gt;"",Main[[#This Row],[Revised Due Date]]&lt;&gt;""),Main[[#This Row],[In Stock Date]]-Main[[#This Row],[Revised Due Date]],"")</f>
        <v/>
      </c>
      <c r="I863" s="72" t="s">
        <v>4</v>
      </c>
      <c r="J863" s="72" t="s">
        <v>4</v>
      </c>
      <c r="K863" s="72" t="s">
        <v>4</v>
      </c>
      <c r="L863" s="74"/>
      <c r="M863" s="77" t="str">
        <f>IF(Main[[#This Row],[Tech Start Date]]&lt;1/1/1990,"",IF(Main[[#This Row],[Class]]="C",WORKDAY(Main[[#This Row],[Tech Start Date]],9),IF(Main[[#This Row],[Class]]="B", WORKDAY(Main[[#This Row],[Tech Start Date]],6),IF(Main[[#This Row],[Class]]="A",WORKDAY(Main[[#This Row],[Tech Start Date]],2),""))))</f>
        <v/>
      </c>
      <c r="N863" s="77" t="str">
        <f>IF(Main[[#This Row],[Tech Start Date]]&lt;1/1/1990,"",IF(Main[[#This Row],[Class]]="C",WORKDAY(Main[[#This Row],[Tech Start Date]],19),IF(Main[[#This Row],[Class]]="B", WORKDAY(Main[[#This Row],[Tech Start Date]],12),IF(Main[[#This Row],[Class]]="A",WORKDAY(Main[[#This Row],[Tech Start Date]],4),""))))</f>
        <v/>
      </c>
      <c r="O863" s="77" t="str">
        <f>IF(Main[[#This Row],[Tech Start Date]]&lt;1/1/1990,"",IF(Main[[#This Row],[Class]]="C",WORKDAY(Main[[#This Row],[Tech Start Date]],23),IF(Main[[#This Row],[Class]]="B", WORKDAY(Main[[#This Row],[Tech Start Date]],15),IF(Main[[#This Row],[Class]]="A",WORKDAY(Main[[#This Row],[Tech Start Date]],5),""))))</f>
        <v/>
      </c>
      <c r="P863" s="77" t="str">
        <f>IF(Main[[#This Row],[Tech Start Date]]&lt;1/1/1990,"",IF(Main[[#This Row],[Class]]="C",WORKDAY(Main[[#This Row],[Tech Start Date]],28),IF(Main[[#This Row],[Class]]="B", WORKDAY(Main[[#This Row],[Tech Start Date]],19),IF(Main[[#This Row],[Class]]="A",WORKDAY(Main[[#This Row],[Tech Start Date]],9),""))))</f>
        <v/>
      </c>
      <c r="Q863" s="74"/>
      <c r="R863" s="74"/>
      <c r="S863" s="72" t="s">
        <v>49</v>
      </c>
      <c r="T863" s="80" t="s">
        <v>4</v>
      </c>
      <c r="U863" s="72" t="s">
        <v>14</v>
      </c>
      <c r="V863" s="72" t="s">
        <v>1935</v>
      </c>
      <c r="W863" s="72" t="s">
        <v>1936</v>
      </c>
      <c r="X863" s="72" t="s">
        <v>310</v>
      </c>
      <c r="Y863" s="72" t="s">
        <v>3028</v>
      </c>
      <c r="Z863" s="72" t="s">
        <v>4</v>
      </c>
      <c r="AA863" s="147" t="s">
        <v>3564</v>
      </c>
    </row>
    <row r="864" spans="1:27" ht="18.600000000000001" customHeight="1">
      <c r="A864" s="140" t="str">
        <f>IF(priority(Main[[#This Row],[Comments]])&lt;&gt;0, priority(Main[[#This Row],[Comments]]),"")</f>
        <v/>
      </c>
      <c r="B864" s="90" t="s">
        <v>2120</v>
      </c>
      <c r="C864" s="72" t="s">
        <v>963</v>
      </c>
      <c r="D864" s="73" t="s">
        <v>2121</v>
      </c>
      <c r="E864" s="74"/>
      <c r="F864" s="74">
        <v>40871</v>
      </c>
      <c r="G864" s="75" t="str">
        <f>IF(stdProdLT(Main[[#This Row],[Comments]])=0.1,"N/A",IF(stdProdLT(Main[[#This Row],[Comments]])=0,"",stdProdLT(Main[[#This Row],[Comments]])))</f>
        <v/>
      </c>
      <c r="H864" s="76" t="str">
        <f>IF(AND(Main[[#This Row],[In Stock Date]]&lt;&gt;"",Main[[#This Row],[Revised Due Date]]&lt;&gt;""),Main[[#This Row],[In Stock Date]]-Main[[#This Row],[Revised Due Date]],"")</f>
        <v/>
      </c>
      <c r="I864" s="72" t="s">
        <v>4</v>
      </c>
      <c r="J864" s="72" t="s">
        <v>4</v>
      </c>
      <c r="K864" s="81" t="s">
        <v>4</v>
      </c>
      <c r="L864" s="74"/>
      <c r="M864" s="77" t="str">
        <f>IF(Main[[#This Row],[Tech Start Date]]&lt;1/1/1990,"",IF(Main[[#This Row],[Class]]="C",WORKDAY(Main[[#This Row],[Tech Start Date]],9),IF(Main[[#This Row],[Class]]="B", WORKDAY(Main[[#This Row],[Tech Start Date]],6),IF(Main[[#This Row],[Class]]="A",WORKDAY(Main[[#This Row],[Tech Start Date]],2),""))))</f>
        <v/>
      </c>
      <c r="N864" s="77" t="str">
        <f>IF(Main[[#This Row],[Tech Start Date]]&lt;1/1/1990,"",IF(Main[[#This Row],[Class]]="C",WORKDAY(Main[[#This Row],[Tech Start Date]],19),IF(Main[[#This Row],[Class]]="B", WORKDAY(Main[[#This Row],[Tech Start Date]],12),IF(Main[[#This Row],[Class]]="A",WORKDAY(Main[[#This Row],[Tech Start Date]],4),""))))</f>
        <v/>
      </c>
      <c r="O864" s="77" t="str">
        <f>IF(Main[[#This Row],[Tech Start Date]]&lt;1/1/1990,"",IF(Main[[#This Row],[Class]]="C",WORKDAY(Main[[#This Row],[Tech Start Date]],23),IF(Main[[#This Row],[Class]]="B", WORKDAY(Main[[#This Row],[Tech Start Date]],15),IF(Main[[#This Row],[Class]]="A",WORKDAY(Main[[#This Row],[Tech Start Date]],5),""))))</f>
        <v/>
      </c>
      <c r="P864" s="77" t="str">
        <f>IF(Main[[#This Row],[Tech Start Date]]&lt;1/1/1990,"",IF(Main[[#This Row],[Class]]="C",WORKDAY(Main[[#This Row],[Tech Start Date]],28),IF(Main[[#This Row],[Class]]="B", WORKDAY(Main[[#This Row],[Tech Start Date]],19),IF(Main[[#This Row],[Class]]="A",WORKDAY(Main[[#This Row],[Tech Start Date]],9),""))))</f>
        <v/>
      </c>
      <c r="Q864" s="74"/>
      <c r="R864" s="74"/>
      <c r="S864" s="72" t="s">
        <v>11</v>
      </c>
      <c r="T864" s="80" t="s">
        <v>4</v>
      </c>
      <c r="U864" s="72" t="s">
        <v>14</v>
      </c>
      <c r="V864" s="72" t="s">
        <v>1935</v>
      </c>
      <c r="W864" s="72" t="s">
        <v>1940</v>
      </c>
      <c r="X864" s="72" t="s">
        <v>50</v>
      </c>
      <c r="Y864" s="72" t="s">
        <v>3048</v>
      </c>
      <c r="Z864" s="72" t="s">
        <v>4</v>
      </c>
      <c r="AA864" s="147" t="s">
        <v>50</v>
      </c>
    </row>
    <row r="865" spans="1:27" ht="18.600000000000001" customHeight="1">
      <c r="A865" s="140" t="str">
        <f>IF(priority(Main[[#This Row],[Comments]])&lt;&gt;0, priority(Main[[#This Row],[Comments]]),"")</f>
        <v/>
      </c>
      <c r="B865" s="90" t="s">
        <v>3736</v>
      </c>
      <c r="C865" s="72" t="s">
        <v>4</v>
      </c>
      <c r="D865" s="73" t="s">
        <v>3737</v>
      </c>
      <c r="E865" s="74">
        <v>40948.373171296298</v>
      </c>
      <c r="F865" s="74"/>
      <c r="G865" s="75" t="str">
        <f>IF(stdProdLT(Main[[#This Row],[Comments]])=0.1,"N/A",IF(stdProdLT(Main[[#This Row],[Comments]])=0,"",stdProdLT(Main[[#This Row],[Comments]])))</f>
        <v/>
      </c>
      <c r="H865" s="76" t="str">
        <f>IF(AND(Main[[#This Row],[In Stock Date]]&lt;&gt;"",Main[[#This Row],[Revised Due Date]]&lt;&gt;""),Main[[#This Row],[In Stock Date]]-Main[[#This Row],[Revised Due Date]],"")</f>
        <v/>
      </c>
      <c r="I865" s="72" t="s">
        <v>4</v>
      </c>
      <c r="J865" s="72" t="s">
        <v>4</v>
      </c>
      <c r="K865" s="72" t="s">
        <v>4</v>
      </c>
      <c r="L865" s="74"/>
      <c r="M865" s="77" t="str">
        <f>IF(Main[[#This Row],[Tech Start Date]]&lt;1/1/1990,"",IF(Main[[#This Row],[Class]]="C",WORKDAY(Main[[#This Row],[Tech Start Date]],9),IF(Main[[#This Row],[Class]]="B", WORKDAY(Main[[#This Row],[Tech Start Date]],6),IF(Main[[#This Row],[Class]]="A",WORKDAY(Main[[#This Row],[Tech Start Date]],2),""))))</f>
        <v/>
      </c>
      <c r="N865" s="77" t="str">
        <f>IF(Main[[#This Row],[Tech Start Date]]&lt;1/1/1990,"",IF(Main[[#This Row],[Class]]="C",WORKDAY(Main[[#This Row],[Tech Start Date]],19),IF(Main[[#This Row],[Class]]="B", WORKDAY(Main[[#This Row],[Tech Start Date]],12),IF(Main[[#This Row],[Class]]="A",WORKDAY(Main[[#This Row],[Tech Start Date]],4),""))))</f>
        <v/>
      </c>
      <c r="O865" s="77" t="str">
        <f>IF(Main[[#This Row],[Tech Start Date]]&lt;1/1/1990,"",IF(Main[[#This Row],[Class]]="C",WORKDAY(Main[[#This Row],[Tech Start Date]],23),IF(Main[[#This Row],[Class]]="B", WORKDAY(Main[[#This Row],[Tech Start Date]],15),IF(Main[[#This Row],[Class]]="A",WORKDAY(Main[[#This Row],[Tech Start Date]],5),""))))</f>
        <v/>
      </c>
      <c r="P865" s="77" t="str">
        <f>IF(Main[[#This Row],[Tech Start Date]]&lt;1/1/1990,"",IF(Main[[#This Row],[Class]]="C",WORKDAY(Main[[#This Row],[Tech Start Date]],28),IF(Main[[#This Row],[Class]]="B", WORKDAY(Main[[#This Row],[Tech Start Date]],19),IF(Main[[#This Row],[Class]]="A",WORKDAY(Main[[#This Row],[Tech Start Date]],9),""))))</f>
        <v/>
      </c>
      <c r="Q865" s="74">
        <v>40977</v>
      </c>
      <c r="R865" s="74"/>
      <c r="S865" s="72" t="s">
        <v>6</v>
      </c>
      <c r="T865" s="80" t="s">
        <v>4</v>
      </c>
      <c r="U865" s="72" t="s">
        <v>7</v>
      </c>
      <c r="V865" s="72" t="s">
        <v>1932</v>
      </c>
      <c r="W865" s="72" t="s">
        <v>4</v>
      </c>
      <c r="X865" s="72" t="s">
        <v>2906</v>
      </c>
      <c r="Y865" s="72" t="s">
        <v>3025</v>
      </c>
      <c r="Z865" s="72" t="s">
        <v>4</v>
      </c>
      <c r="AA865" s="147" t="s">
        <v>2906</v>
      </c>
    </row>
    <row r="866" spans="1:27" ht="18.600000000000001" customHeight="1">
      <c r="A866" s="140" t="str">
        <f>IF(priority(Main[[#This Row],[Comments]])&lt;&gt;0, priority(Main[[#This Row],[Comments]]),"")</f>
        <v/>
      </c>
      <c r="B866" s="90" t="s">
        <v>3738</v>
      </c>
      <c r="C866" s="72" t="s">
        <v>3739</v>
      </c>
      <c r="D866" s="73" t="s">
        <v>3740</v>
      </c>
      <c r="E866" s="74">
        <v>40948.638680555552</v>
      </c>
      <c r="F866" s="74">
        <v>41029</v>
      </c>
      <c r="G866" s="75" t="str">
        <f>IF(stdProdLT(Main[[#This Row],[Comments]])=0.1,"N/A",IF(stdProdLT(Main[[#This Row],[Comments]])=0,"",stdProdLT(Main[[#This Row],[Comments]])))</f>
        <v/>
      </c>
      <c r="H866" s="76" t="str">
        <f>IF(AND(Main[[#This Row],[In Stock Date]]&lt;&gt;"",Main[[#This Row],[Revised Due Date]]&lt;&gt;""),Main[[#This Row],[In Stock Date]]-Main[[#This Row],[Revised Due Date]],"")</f>
        <v/>
      </c>
      <c r="I866" s="72" t="s">
        <v>4</v>
      </c>
      <c r="J866" s="72" t="s">
        <v>4</v>
      </c>
      <c r="K866" s="72" t="s">
        <v>1941</v>
      </c>
      <c r="L866" s="74"/>
      <c r="M866" s="77" t="str">
        <f>IF(Main[[#This Row],[Tech Start Date]]&lt;1/1/1990,"",IF(Main[[#This Row],[Class]]="C",WORKDAY(Main[[#This Row],[Tech Start Date]],9),IF(Main[[#This Row],[Class]]="B", WORKDAY(Main[[#This Row],[Tech Start Date]],6),IF(Main[[#This Row],[Class]]="A",WORKDAY(Main[[#This Row],[Tech Start Date]],2),""))))</f>
        <v/>
      </c>
      <c r="N866" s="77" t="str">
        <f>IF(Main[[#This Row],[Tech Start Date]]&lt;1/1/1990,"",IF(Main[[#This Row],[Class]]="C",WORKDAY(Main[[#This Row],[Tech Start Date]],19),IF(Main[[#This Row],[Class]]="B", WORKDAY(Main[[#This Row],[Tech Start Date]],12),IF(Main[[#This Row],[Class]]="A",WORKDAY(Main[[#This Row],[Tech Start Date]],4),""))))</f>
        <v/>
      </c>
      <c r="O866" s="77" t="str">
        <f>IF(Main[[#This Row],[Tech Start Date]]&lt;1/1/1990,"",IF(Main[[#This Row],[Class]]="C",WORKDAY(Main[[#This Row],[Tech Start Date]],23),IF(Main[[#This Row],[Class]]="B", WORKDAY(Main[[#This Row],[Tech Start Date]],15),IF(Main[[#This Row],[Class]]="A",WORKDAY(Main[[#This Row],[Tech Start Date]],5),""))))</f>
        <v/>
      </c>
      <c r="P866" s="77" t="str">
        <f>IF(Main[[#This Row],[Tech Start Date]]&lt;1/1/1990,"",IF(Main[[#This Row],[Class]]="C",WORKDAY(Main[[#This Row],[Tech Start Date]],28),IF(Main[[#This Row],[Class]]="B", WORKDAY(Main[[#This Row],[Tech Start Date]],19),IF(Main[[#This Row],[Class]]="A",WORKDAY(Main[[#This Row],[Tech Start Date]],9),""))))</f>
        <v/>
      </c>
      <c r="Q866" s="74">
        <v>40956</v>
      </c>
      <c r="R866" s="74"/>
      <c r="S866" s="72" t="s">
        <v>11</v>
      </c>
      <c r="T866" s="80" t="s">
        <v>4</v>
      </c>
      <c r="U866" s="72" t="s">
        <v>29</v>
      </c>
      <c r="V866" s="72" t="s">
        <v>1942</v>
      </c>
      <c r="W866" s="72" t="s">
        <v>1940</v>
      </c>
      <c r="X866" s="72" t="s">
        <v>2994</v>
      </c>
      <c r="Y866" s="72" t="s">
        <v>3741</v>
      </c>
      <c r="Z866" s="72" t="s">
        <v>4</v>
      </c>
      <c r="AA866" s="147" t="s">
        <v>2994</v>
      </c>
    </row>
    <row r="867" spans="1:27" ht="18.600000000000001" customHeight="1">
      <c r="A867" s="140" t="str">
        <f>IF(priority(Main[[#This Row],[Comments]])&lt;&gt;0, priority(Main[[#This Row],[Comments]]),"")</f>
        <v/>
      </c>
      <c r="B867" s="90" t="s">
        <v>1721</v>
      </c>
      <c r="C867" s="72" t="s">
        <v>31</v>
      </c>
      <c r="D867" s="73" t="s">
        <v>764</v>
      </c>
      <c r="E867" s="74"/>
      <c r="F867" s="74">
        <v>40602</v>
      </c>
      <c r="G867" s="75" t="str">
        <f>IF(stdProdLT(Main[[#This Row],[Comments]])=0.1,"N/A",IF(stdProdLT(Main[[#This Row],[Comments]])=0,"",stdProdLT(Main[[#This Row],[Comments]])))</f>
        <v/>
      </c>
      <c r="H867" s="76" t="str">
        <f>IF(AND(Main[[#This Row],[In Stock Date]]&lt;&gt;"",Main[[#This Row],[Revised Due Date]]&lt;&gt;""),Main[[#This Row],[In Stock Date]]-Main[[#This Row],[Revised Due Date]],"")</f>
        <v/>
      </c>
      <c r="I867" s="72" t="s">
        <v>403</v>
      </c>
      <c r="J867" s="72" t="s">
        <v>75</v>
      </c>
      <c r="K867" s="72" t="s">
        <v>1941</v>
      </c>
      <c r="L867" s="74"/>
      <c r="M867" s="77" t="str">
        <f>IF(Main[[#This Row],[Tech Start Date]]&lt;1/1/1990,"",IF(Main[[#This Row],[Class]]="C",WORKDAY(Main[[#This Row],[Tech Start Date]],9),IF(Main[[#This Row],[Class]]="B", WORKDAY(Main[[#This Row],[Tech Start Date]],6),IF(Main[[#This Row],[Class]]="A",WORKDAY(Main[[#This Row],[Tech Start Date]],2),""))))</f>
        <v/>
      </c>
      <c r="N867" s="77" t="str">
        <f>IF(Main[[#This Row],[Tech Start Date]]&lt;1/1/1990,"",IF(Main[[#This Row],[Class]]="C",WORKDAY(Main[[#This Row],[Tech Start Date]],19),IF(Main[[#This Row],[Class]]="B", WORKDAY(Main[[#This Row],[Tech Start Date]],12),IF(Main[[#This Row],[Class]]="A",WORKDAY(Main[[#This Row],[Tech Start Date]],4),""))))</f>
        <v/>
      </c>
      <c r="O867" s="77" t="str">
        <f>IF(Main[[#This Row],[Tech Start Date]]&lt;1/1/1990,"",IF(Main[[#This Row],[Class]]="C",WORKDAY(Main[[#This Row],[Tech Start Date]],23),IF(Main[[#This Row],[Class]]="B", WORKDAY(Main[[#This Row],[Tech Start Date]],15),IF(Main[[#This Row],[Class]]="A",WORKDAY(Main[[#This Row],[Tech Start Date]],5),""))))</f>
        <v/>
      </c>
      <c r="P867" s="77" t="str">
        <f>IF(Main[[#This Row],[Tech Start Date]]&lt;1/1/1990,"",IF(Main[[#This Row],[Class]]="C",WORKDAY(Main[[#This Row],[Tech Start Date]],28),IF(Main[[#This Row],[Class]]="B", WORKDAY(Main[[#This Row],[Tech Start Date]],19),IF(Main[[#This Row],[Class]]="A",WORKDAY(Main[[#This Row],[Tech Start Date]],9),""))))</f>
        <v/>
      </c>
      <c r="Q867" s="74"/>
      <c r="R867" s="74"/>
      <c r="S867" s="72" t="s">
        <v>11</v>
      </c>
      <c r="T867" s="80" t="s">
        <v>4</v>
      </c>
      <c r="U867" s="72" t="s">
        <v>14</v>
      </c>
      <c r="V867" s="72" t="s">
        <v>1935</v>
      </c>
      <c r="W867" s="72" t="s">
        <v>1938</v>
      </c>
      <c r="X867" s="72" t="s">
        <v>50</v>
      </c>
      <c r="Y867" s="72" t="s">
        <v>3048</v>
      </c>
      <c r="Z867" s="72" t="s">
        <v>310</v>
      </c>
      <c r="AA867" s="147" t="s">
        <v>50</v>
      </c>
    </row>
    <row r="868" spans="1:27" ht="18.600000000000001" customHeight="1">
      <c r="A868" s="140" t="str">
        <f>IF(priority(Main[[#This Row],[Comments]])&lt;&gt;0, priority(Main[[#This Row],[Comments]]),"")</f>
        <v/>
      </c>
      <c r="B868" s="90" t="s">
        <v>1722</v>
      </c>
      <c r="C868" s="72" t="s">
        <v>93</v>
      </c>
      <c r="D868" s="73" t="s">
        <v>765</v>
      </c>
      <c r="E868" s="74"/>
      <c r="F868" s="74">
        <v>40302</v>
      </c>
      <c r="G868" s="75" t="str">
        <f>IF(stdProdLT(Main[[#This Row],[Comments]])=0.1,"N/A",IF(stdProdLT(Main[[#This Row],[Comments]])=0,"",stdProdLT(Main[[#This Row],[Comments]])))</f>
        <v/>
      </c>
      <c r="H868" s="76" t="str">
        <f>IF(AND(Main[[#This Row],[In Stock Date]]&lt;&gt;"",Main[[#This Row],[Revised Due Date]]&lt;&gt;""),Main[[#This Row],[In Stock Date]]-Main[[#This Row],[Revised Due Date]],"")</f>
        <v/>
      </c>
      <c r="I868" s="72" t="s">
        <v>4</v>
      </c>
      <c r="J868" s="72" t="s">
        <v>4</v>
      </c>
      <c r="K868" s="72" t="s">
        <v>4</v>
      </c>
      <c r="L868" s="74"/>
      <c r="M868" s="77" t="str">
        <f>IF(Main[[#This Row],[Tech Start Date]]&lt;1/1/1990,"",IF(Main[[#This Row],[Class]]="C",WORKDAY(Main[[#This Row],[Tech Start Date]],9),IF(Main[[#This Row],[Class]]="B", WORKDAY(Main[[#This Row],[Tech Start Date]],6),IF(Main[[#This Row],[Class]]="A",WORKDAY(Main[[#This Row],[Tech Start Date]],2),""))))</f>
        <v/>
      </c>
      <c r="N868" s="77" t="str">
        <f>IF(Main[[#This Row],[Tech Start Date]]&lt;1/1/1990,"",IF(Main[[#This Row],[Class]]="C",WORKDAY(Main[[#This Row],[Tech Start Date]],19),IF(Main[[#This Row],[Class]]="B", WORKDAY(Main[[#This Row],[Tech Start Date]],12),IF(Main[[#This Row],[Class]]="A",WORKDAY(Main[[#This Row],[Tech Start Date]],4),""))))</f>
        <v/>
      </c>
      <c r="O868" s="77" t="str">
        <f>IF(Main[[#This Row],[Tech Start Date]]&lt;1/1/1990,"",IF(Main[[#This Row],[Class]]="C",WORKDAY(Main[[#This Row],[Tech Start Date]],23),IF(Main[[#This Row],[Class]]="B", WORKDAY(Main[[#This Row],[Tech Start Date]],15),IF(Main[[#This Row],[Class]]="A",WORKDAY(Main[[#This Row],[Tech Start Date]],5),""))))</f>
        <v/>
      </c>
      <c r="P868" s="77" t="str">
        <f>IF(Main[[#This Row],[Tech Start Date]]&lt;1/1/1990,"",IF(Main[[#This Row],[Class]]="C",WORKDAY(Main[[#This Row],[Tech Start Date]],28),IF(Main[[#This Row],[Class]]="B", WORKDAY(Main[[#This Row],[Tech Start Date]],19),IF(Main[[#This Row],[Class]]="A",WORKDAY(Main[[#This Row],[Tech Start Date]],9),""))))</f>
        <v/>
      </c>
      <c r="Q868" s="74">
        <v>40190</v>
      </c>
      <c r="R868" s="74"/>
      <c r="S868" s="72" t="s">
        <v>11</v>
      </c>
      <c r="T868" s="80" t="s">
        <v>4</v>
      </c>
      <c r="U868" s="72" t="s">
        <v>12</v>
      </c>
      <c r="V868" s="72" t="s">
        <v>1942</v>
      </c>
      <c r="W868" s="72" t="s">
        <v>1938</v>
      </c>
      <c r="X868" s="72" t="s">
        <v>2982</v>
      </c>
      <c r="Y868" s="72" t="s">
        <v>4</v>
      </c>
      <c r="Z868" s="72" t="s">
        <v>4</v>
      </c>
      <c r="AA868" s="147" t="s">
        <v>2982</v>
      </c>
    </row>
    <row r="869" spans="1:27" ht="18.600000000000001" customHeight="1">
      <c r="A869" s="140" t="str">
        <f>IF(priority(Main[[#This Row],[Comments]])&lt;&gt;0, priority(Main[[#This Row],[Comments]]),"")</f>
        <v/>
      </c>
      <c r="B869" s="90" t="s">
        <v>1878</v>
      </c>
      <c r="C869" s="72" t="s">
        <v>31</v>
      </c>
      <c r="D869" s="73" t="s">
        <v>928</v>
      </c>
      <c r="E869" s="74"/>
      <c r="F869" s="74">
        <v>40664</v>
      </c>
      <c r="G869" s="75" t="str">
        <f>IF(stdProdLT(Main[[#This Row],[Comments]])=0.1,"N/A",IF(stdProdLT(Main[[#This Row],[Comments]])=0,"",stdProdLT(Main[[#This Row],[Comments]])))</f>
        <v/>
      </c>
      <c r="H869" s="76">
        <f>IF(AND(Main[[#This Row],[In Stock Date]]&lt;&gt;"",Main[[#This Row],[Revised Due Date]]&lt;&gt;""),Main[[#This Row],[In Stock Date]]-Main[[#This Row],[Revised Due Date]],"")</f>
        <v>87</v>
      </c>
      <c r="I869" s="72" t="s">
        <v>403</v>
      </c>
      <c r="J869" s="72" t="s">
        <v>75</v>
      </c>
      <c r="K869" s="72" t="s">
        <v>1941</v>
      </c>
      <c r="L869" s="74"/>
      <c r="M869" s="77" t="str">
        <f>IF(Main[[#This Row],[Tech Start Date]]&lt;1/1/1990,"",IF(Main[[#This Row],[Class]]="C",WORKDAY(Main[[#This Row],[Tech Start Date]],9),IF(Main[[#This Row],[Class]]="B", WORKDAY(Main[[#This Row],[Tech Start Date]],6),IF(Main[[#This Row],[Class]]="A",WORKDAY(Main[[#This Row],[Tech Start Date]],2),""))))</f>
        <v/>
      </c>
      <c r="N869" s="77" t="str">
        <f>IF(Main[[#This Row],[Tech Start Date]]&lt;1/1/1990,"",IF(Main[[#This Row],[Class]]="C",WORKDAY(Main[[#This Row],[Tech Start Date]],19),IF(Main[[#This Row],[Class]]="B", WORKDAY(Main[[#This Row],[Tech Start Date]],12),IF(Main[[#This Row],[Class]]="A",WORKDAY(Main[[#This Row],[Tech Start Date]],4),""))))</f>
        <v/>
      </c>
      <c r="O869" s="77" t="str">
        <f>IF(Main[[#This Row],[Tech Start Date]]&lt;1/1/1990,"",IF(Main[[#This Row],[Class]]="C",WORKDAY(Main[[#This Row],[Tech Start Date]],23),IF(Main[[#This Row],[Class]]="B", WORKDAY(Main[[#This Row],[Tech Start Date]],15),IF(Main[[#This Row],[Class]]="A",WORKDAY(Main[[#This Row],[Tech Start Date]],5),""))))</f>
        <v/>
      </c>
      <c r="P869" s="77" t="str">
        <f>IF(Main[[#This Row],[Tech Start Date]]&lt;1/1/1990,"",IF(Main[[#This Row],[Class]]="C",WORKDAY(Main[[#This Row],[Tech Start Date]],28),IF(Main[[#This Row],[Class]]="B", WORKDAY(Main[[#This Row],[Tech Start Date]],19),IF(Main[[#This Row],[Class]]="A",WORKDAY(Main[[#This Row],[Tech Start Date]],9),""))))</f>
        <v/>
      </c>
      <c r="Q869" s="74"/>
      <c r="R869" s="74">
        <v>40577</v>
      </c>
      <c r="S869" s="72" t="s">
        <v>11</v>
      </c>
      <c r="T869" s="80" t="s">
        <v>4</v>
      </c>
      <c r="U869" s="72" t="s">
        <v>14</v>
      </c>
      <c r="V869" s="72" t="s">
        <v>1935</v>
      </c>
      <c r="W869" s="72" t="s">
        <v>1938</v>
      </c>
      <c r="X869" s="72" t="s">
        <v>2909</v>
      </c>
      <c r="Y869" s="72" t="s">
        <v>3054</v>
      </c>
      <c r="Z869" s="72" t="s">
        <v>535</v>
      </c>
      <c r="AA869" s="147" t="s">
        <v>2909</v>
      </c>
    </row>
    <row r="870" spans="1:27" ht="18.600000000000001" customHeight="1">
      <c r="A870" s="140" t="str">
        <f>IF(priority(Main[[#This Row],[Comments]])&lt;&gt;0, priority(Main[[#This Row],[Comments]]),"")</f>
        <v/>
      </c>
      <c r="B870" s="90" t="s">
        <v>1743</v>
      </c>
      <c r="C870" s="72" t="s">
        <v>4</v>
      </c>
      <c r="D870" s="73" t="s">
        <v>792</v>
      </c>
      <c r="E870" s="74"/>
      <c r="F870" s="74"/>
      <c r="G870" s="75" t="str">
        <f>IF(stdProdLT(Main[[#This Row],[Comments]])=0.1,"N/A",IF(stdProdLT(Main[[#This Row],[Comments]])=0,"",stdProdLT(Main[[#This Row],[Comments]])))</f>
        <v/>
      </c>
      <c r="H870" s="76" t="str">
        <f>IF(AND(Main[[#This Row],[In Stock Date]]&lt;&gt;"",Main[[#This Row],[Revised Due Date]]&lt;&gt;""),Main[[#This Row],[In Stock Date]]-Main[[#This Row],[Revised Due Date]],"")</f>
        <v/>
      </c>
      <c r="I870" s="72" t="s">
        <v>4</v>
      </c>
      <c r="J870" s="72" t="s">
        <v>4</v>
      </c>
      <c r="K870" s="81" t="s">
        <v>4</v>
      </c>
      <c r="L870" s="74"/>
      <c r="M870" s="77" t="str">
        <f>IF(Main[[#This Row],[Tech Start Date]]&lt;1/1/1990,"",IF(Main[[#This Row],[Class]]="C",WORKDAY(Main[[#This Row],[Tech Start Date]],9),IF(Main[[#This Row],[Class]]="B", WORKDAY(Main[[#This Row],[Tech Start Date]],6),IF(Main[[#This Row],[Class]]="A",WORKDAY(Main[[#This Row],[Tech Start Date]],2),""))))</f>
        <v/>
      </c>
      <c r="N870" s="77" t="str">
        <f>IF(Main[[#This Row],[Tech Start Date]]&lt;1/1/1990,"",IF(Main[[#This Row],[Class]]="C",WORKDAY(Main[[#This Row],[Tech Start Date]],19),IF(Main[[#This Row],[Class]]="B", WORKDAY(Main[[#This Row],[Tech Start Date]],12),IF(Main[[#This Row],[Class]]="A",WORKDAY(Main[[#This Row],[Tech Start Date]],4),""))))</f>
        <v/>
      </c>
      <c r="O870" s="77" t="str">
        <f>IF(Main[[#This Row],[Tech Start Date]]&lt;1/1/1990,"",IF(Main[[#This Row],[Class]]="C",WORKDAY(Main[[#This Row],[Tech Start Date]],23),IF(Main[[#This Row],[Class]]="B", WORKDAY(Main[[#This Row],[Tech Start Date]],15),IF(Main[[#This Row],[Class]]="A",WORKDAY(Main[[#This Row],[Tech Start Date]],5),""))))</f>
        <v/>
      </c>
      <c r="P870" s="77" t="str">
        <f>IF(Main[[#This Row],[Tech Start Date]]&lt;1/1/1990,"",IF(Main[[#This Row],[Class]]="C",WORKDAY(Main[[#This Row],[Tech Start Date]],28),IF(Main[[#This Row],[Class]]="B", WORKDAY(Main[[#This Row],[Tech Start Date]],19),IF(Main[[#This Row],[Class]]="A",WORKDAY(Main[[#This Row],[Tech Start Date]],9),""))))</f>
        <v/>
      </c>
      <c r="Q870" s="74"/>
      <c r="R870" s="74"/>
      <c r="S870" s="72" t="s">
        <v>49</v>
      </c>
      <c r="T870" s="80" t="s">
        <v>4</v>
      </c>
      <c r="U870" s="72" t="s">
        <v>103</v>
      </c>
      <c r="V870" s="72" t="s">
        <v>1933</v>
      </c>
      <c r="W870" s="72" t="s">
        <v>1936</v>
      </c>
      <c r="X870" s="72" t="s">
        <v>310</v>
      </c>
      <c r="Y870" s="72" t="s">
        <v>4</v>
      </c>
      <c r="Z870" s="72" t="s">
        <v>4</v>
      </c>
      <c r="AA870" s="147" t="s">
        <v>4</v>
      </c>
    </row>
    <row r="871" spans="1:27" ht="18.600000000000001" customHeight="1">
      <c r="A871" s="140" t="str">
        <f>IF(priority(Main[[#This Row],[Comments]])&lt;&gt;0, priority(Main[[#This Row],[Comments]]),"")</f>
        <v/>
      </c>
      <c r="B871" s="90" t="s">
        <v>2220</v>
      </c>
      <c r="C871" s="72" t="s">
        <v>4</v>
      </c>
      <c r="D871" s="73" t="s">
        <v>2221</v>
      </c>
      <c r="E871" s="74"/>
      <c r="F871" s="74"/>
      <c r="G871" s="75" t="str">
        <f>IF(stdProdLT(Main[[#This Row],[Comments]])=0.1,"N/A",IF(stdProdLT(Main[[#This Row],[Comments]])=0,"",stdProdLT(Main[[#This Row],[Comments]])))</f>
        <v/>
      </c>
      <c r="H871" s="76" t="str">
        <f>IF(AND(Main[[#This Row],[In Stock Date]]&lt;&gt;"",Main[[#This Row],[Revised Due Date]]&lt;&gt;""),Main[[#This Row],[In Stock Date]]-Main[[#This Row],[Revised Due Date]],"")</f>
        <v/>
      </c>
      <c r="I871" s="72" t="s">
        <v>4</v>
      </c>
      <c r="J871" s="72" t="s">
        <v>4</v>
      </c>
      <c r="K871" s="72" t="s">
        <v>4</v>
      </c>
      <c r="L871" s="74"/>
      <c r="M871" s="77" t="str">
        <f>IF(Main[[#This Row],[Tech Start Date]]&lt;1/1/1990,"",IF(Main[[#This Row],[Class]]="C",WORKDAY(Main[[#This Row],[Tech Start Date]],9),IF(Main[[#This Row],[Class]]="B", WORKDAY(Main[[#This Row],[Tech Start Date]],6),IF(Main[[#This Row],[Class]]="A",WORKDAY(Main[[#This Row],[Tech Start Date]],2),""))))</f>
        <v/>
      </c>
      <c r="N871" s="77" t="str">
        <f>IF(Main[[#This Row],[Tech Start Date]]&lt;1/1/1990,"",IF(Main[[#This Row],[Class]]="C",WORKDAY(Main[[#This Row],[Tech Start Date]],19),IF(Main[[#This Row],[Class]]="B", WORKDAY(Main[[#This Row],[Tech Start Date]],12),IF(Main[[#This Row],[Class]]="A",WORKDAY(Main[[#This Row],[Tech Start Date]],4),""))))</f>
        <v/>
      </c>
      <c r="O871" s="77" t="str">
        <f>IF(Main[[#This Row],[Tech Start Date]]&lt;1/1/1990,"",IF(Main[[#This Row],[Class]]="C",WORKDAY(Main[[#This Row],[Tech Start Date]],23),IF(Main[[#This Row],[Class]]="B", WORKDAY(Main[[#This Row],[Tech Start Date]],15),IF(Main[[#This Row],[Class]]="A",WORKDAY(Main[[#This Row],[Tech Start Date]],5),""))))</f>
        <v/>
      </c>
      <c r="P871" s="77" t="str">
        <f>IF(Main[[#This Row],[Tech Start Date]]&lt;1/1/1990,"",IF(Main[[#This Row],[Class]]="C",WORKDAY(Main[[#This Row],[Tech Start Date]],28),IF(Main[[#This Row],[Class]]="B", WORKDAY(Main[[#This Row],[Tech Start Date]],19),IF(Main[[#This Row],[Class]]="A",WORKDAY(Main[[#This Row],[Tech Start Date]],9),""))))</f>
        <v/>
      </c>
      <c r="Q871" s="74"/>
      <c r="R871" s="74"/>
      <c r="S871" s="72" t="s">
        <v>6</v>
      </c>
      <c r="T871" s="80" t="s">
        <v>4</v>
      </c>
      <c r="U871" s="72" t="s">
        <v>14</v>
      </c>
      <c r="V871" s="72" t="s">
        <v>1947</v>
      </c>
      <c r="W871" s="72" t="s">
        <v>4</v>
      </c>
      <c r="X871" s="72" t="s">
        <v>310</v>
      </c>
      <c r="Y871" s="72" t="s">
        <v>4</v>
      </c>
      <c r="Z871" s="72" t="s">
        <v>4</v>
      </c>
      <c r="AA871" s="147" t="s">
        <v>4</v>
      </c>
    </row>
    <row r="872" spans="1:27" ht="18.600000000000001" customHeight="1">
      <c r="A872" s="141" t="str">
        <f>IF(priority(Main[[#This Row],[Comments]])&lt;&gt;0, priority(Main[[#This Row],[Comments]]),"")</f>
        <v/>
      </c>
      <c r="B872" s="92" t="s">
        <v>1716</v>
      </c>
      <c r="C872" s="93" t="s">
        <v>766</v>
      </c>
      <c r="D872" s="84" t="s">
        <v>767</v>
      </c>
      <c r="E872" s="94"/>
      <c r="F872" s="94"/>
      <c r="G872" s="93" t="str">
        <f>IF(stdProdLT(Main[[#This Row],[Comments]])=0.1,"N/A",IF(stdProdLT(Main[[#This Row],[Comments]])=0,"",stdProdLT(Main[[#This Row],[Comments]])))</f>
        <v/>
      </c>
      <c r="H872" s="95" t="str">
        <f>IF(AND(Main[[#This Row],[In Stock Date]]&lt;&gt;"",Main[[#This Row],[Revised Due Date]]&lt;&gt;""),Main[[#This Row],[In Stock Date]]-Main[[#This Row],[Revised Due Date]],"")</f>
        <v/>
      </c>
      <c r="I872" s="93" t="s">
        <v>4</v>
      </c>
      <c r="J872" s="93" t="s">
        <v>4</v>
      </c>
      <c r="K872" s="93" t="s">
        <v>4</v>
      </c>
      <c r="L872" s="94"/>
      <c r="M872" s="96" t="str">
        <f>IF(Main[[#This Row],[Tech Start Date]]&lt;1/1/1990,"",IF(Main[[#This Row],[Class]]="C",WORKDAY(Main[[#This Row],[Tech Start Date]],9),IF(Main[[#This Row],[Class]]="B", WORKDAY(Main[[#This Row],[Tech Start Date]],6),IF(Main[[#This Row],[Class]]="A",WORKDAY(Main[[#This Row],[Tech Start Date]],2),""))))</f>
        <v/>
      </c>
      <c r="N872" s="96" t="str">
        <f>IF(Main[[#This Row],[Tech Start Date]]&lt;1/1/1990,"",IF(Main[[#This Row],[Class]]="C",WORKDAY(Main[[#This Row],[Tech Start Date]],19),IF(Main[[#This Row],[Class]]="B", WORKDAY(Main[[#This Row],[Tech Start Date]],12),IF(Main[[#This Row],[Class]]="A",WORKDAY(Main[[#This Row],[Tech Start Date]],4),""))))</f>
        <v/>
      </c>
      <c r="O872" s="96" t="str">
        <f>IF(Main[[#This Row],[Tech Start Date]]&lt;1/1/1990,"",IF(Main[[#This Row],[Class]]="C",WORKDAY(Main[[#This Row],[Tech Start Date]],23),IF(Main[[#This Row],[Class]]="B", WORKDAY(Main[[#This Row],[Tech Start Date]],15),IF(Main[[#This Row],[Class]]="A",WORKDAY(Main[[#This Row],[Tech Start Date]],5),""))))</f>
        <v/>
      </c>
      <c r="P872" s="96" t="str">
        <f>IF(Main[[#This Row],[Tech Start Date]]&lt;1/1/1990,"",IF(Main[[#This Row],[Class]]="C",WORKDAY(Main[[#This Row],[Tech Start Date]],28),IF(Main[[#This Row],[Class]]="B", WORKDAY(Main[[#This Row],[Tech Start Date]],19),IF(Main[[#This Row],[Class]]="A",WORKDAY(Main[[#This Row],[Tech Start Date]],9),""))))</f>
        <v/>
      </c>
      <c r="Q872" s="94"/>
      <c r="R872" s="94"/>
      <c r="S872" s="93" t="s">
        <v>11</v>
      </c>
      <c r="T872" s="97" t="s">
        <v>4</v>
      </c>
      <c r="U872" s="93" t="s">
        <v>14</v>
      </c>
      <c r="V872" s="93" t="s">
        <v>1933</v>
      </c>
      <c r="W872" s="93" t="s">
        <v>1940</v>
      </c>
      <c r="X872" s="83" t="s">
        <v>2911</v>
      </c>
      <c r="Y872" s="83" t="s">
        <v>3035</v>
      </c>
      <c r="Z872" s="83" t="s">
        <v>4</v>
      </c>
      <c r="AA872" s="147" t="s">
        <v>2911</v>
      </c>
    </row>
    <row r="873" spans="1:27" ht="18.600000000000001" customHeight="1">
      <c r="A873" s="140" t="str">
        <f>IF(priority(Main[[#This Row],[Comments]])&lt;&gt;0, priority(Main[[#This Row],[Comments]]),"")</f>
        <v/>
      </c>
      <c r="B873" s="90" t="s">
        <v>1717</v>
      </c>
      <c r="C873" s="72" t="s">
        <v>4</v>
      </c>
      <c r="D873" s="73" t="s">
        <v>768</v>
      </c>
      <c r="E873" s="74">
        <v>40436.644293981481</v>
      </c>
      <c r="F873" s="74"/>
      <c r="G873" s="75" t="str">
        <f>IF(stdProdLT(Main[[#This Row],[Comments]])=0.1,"N/A",IF(stdProdLT(Main[[#This Row],[Comments]])=0,"",stdProdLT(Main[[#This Row],[Comments]])))</f>
        <v/>
      </c>
      <c r="H873" s="76" t="str">
        <f>IF(AND(Main[[#This Row],[In Stock Date]]&lt;&gt;"",Main[[#This Row],[Revised Due Date]]&lt;&gt;""),Main[[#This Row],[In Stock Date]]-Main[[#This Row],[Revised Due Date]],"")</f>
        <v/>
      </c>
      <c r="I873" s="72" t="s">
        <v>4</v>
      </c>
      <c r="J873" s="72" t="s">
        <v>28</v>
      </c>
      <c r="K873" s="72" t="s">
        <v>4</v>
      </c>
      <c r="L873" s="74"/>
      <c r="M873" s="77" t="str">
        <f>IF(Main[[#This Row],[Tech Start Date]]&lt;1/1/1990,"",IF(Main[[#This Row],[Class]]="C",WORKDAY(Main[[#This Row],[Tech Start Date]],9),IF(Main[[#This Row],[Class]]="B", WORKDAY(Main[[#This Row],[Tech Start Date]],6),IF(Main[[#This Row],[Class]]="A",WORKDAY(Main[[#This Row],[Tech Start Date]],2),""))))</f>
        <v/>
      </c>
      <c r="N873" s="77" t="str">
        <f>IF(Main[[#This Row],[Tech Start Date]]&lt;1/1/1990,"",IF(Main[[#This Row],[Class]]="C",WORKDAY(Main[[#This Row],[Tech Start Date]],19),IF(Main[[#This Row],[Class]]="B", WORKDAY(Main[[#This Row],[Tech Start Date]],12),IF(Main[[#This Row],[Class]]="A",WORKDAY(Main[[#This Row],[Tech Start Date]],4),""))))</f>
        <v/>
      </c>
      <c r="O873" s="77" t="str">
        <f>IF(Main[[#This Row],[Tech Start Date]]&lt;1/1/1990,"",IF(Main[[#This Row],[Class]]="C",WORKDAY(Main[[#This Row],[Tech Start Date]],23),IF(Main[[#This Row],[Class]]="B", WORKDAY(Main[[#This Row],[Tech Start Date]],15),IF(Main[[#This Row],[Class]]="A",WORKDAY(Main[[#This Row],[Tech Start Date]],5),""))))</f>
        <v/>
      </c>
      <c r="P873" s="77" t="str">
        <f>IF(Main[[#This Row],[Tech Start Date]]&lt;1/1/1990,"",IF(Main[[#This Row],[Class]]="C",WORKDAY(Main[[#This Row],[Tech Start Date]],28),IF(Main[[#This Row],[Class]]="B", WORKDAY(Main[[#This Row],[Tech Start Date]],19),IF(Main[[#This Row],[Class]]="A",WORKDAY(Main[[#This Row],[Tech Start Date]],9),""))))</f>
        <v/>
      </c>
      <c r="Q873" s="74"/>
      <c r="R873" s="74"/>
      <c r="S873" s="72" t="s">
        <v>6</v>
      </c>
      <c r="T873" s="80" t="s">
        <v>4</v>
      </c>
      <c r="U873" s="72" t="s">
        <v>7</v>
      </c>
      <c r="V873" s="72" t="s">
        <v>1932</v>
      </c>
      <c r="W873" s="72" t="s">
        <v>1936</v>
      </c>
      <c r="X873" s="72" t="s">
        <v>933</v>
      </c>
      <c r="Y873" s="72" t="s">
        <v>3069</v>
      </c>
      <c r="Z873" s="72" t="s">
        <v>129</v>
      </c>
      <c r="AA873" s="147" t="s">
        <v>933</v>
      </c>
    </row>
    <row r="874" spans="1:27" ht="18.600000000000001" customHeight="1">
      <c r="A874" s="140" t="str">
        <f>IF(priority(Main[[#This Row],[Comments]])&lt;&gt;0, priority(Main[[#This Row],[Comments]]),"")</f>
        <v/>
      </c>
      <c r="B874" s="90" t="s">
        <v>1718</v>
      </c>
      <c r="C874" s="72" t="s">
        <v>769</v>
      </c>
      <c r="D874" s="73" t="s">
        <v>770</v>
      </c>
      <c r="E874" s="74"/>
      <c r="F874" s="74"/>
      <c r="G874" s="75" t="str">
        <f>IF(stdProdLT(Main[[#This Row],[Comments]])=0.1,"N/A",IF(stdProdLT(Main[[#This Row],[Comments]])=0,"",stdProdLT(Main[[#This Row],[Comments]])))</f>
        <v/>
      </c>
      <c r="H874" s="76" t="str">
        <f>IF(AND(Main[[#This Row],[In Stock Date]]&lt;&gt;"",Main[[#This Row],[Revised Due Date]]&lt;&gt;""),Main[[#This Row],[In Stock Date]]-Main[[#This Row],[Revised Due Date]],"")</f>
        <v/>
      </c>
      <c r="I874" s="72" t="s">
        <v>165</v>
      </c>
      <c r="J874" s="72" t="s">
        <v>4</v>
      </c>
      <c r="K874" s="72" t="s">
        <v>1939</v>
      </c>
      <c r="L874" s="74"/>
      <c r="M874" s="77" t="str">
        <f>IF(Main[[#This Row],[Tech Start Date]]&lt;1/1/1990,"",IF(Main[[#This Row],[Class]]="C",WORKDAY(Main[[#This Row],[Tech Start Date]],9),IF(Main[[#This Row],[Class]]="B", WORKDAY(Main[[#This Row],[Tech Start Date]],6),IF(Main[[#This Row],[Class]]="A",WORKDAY(Main[[#This Row],[Tech Start Date]],2),""))))</f>
        <v/>
      </c>
      <c r="N874" s="77" t="str">
        <f>IF(Main[[#This Row],[Tech Start Date]]&lt;1/1/1990,"",IF(Main[[#This Row],[Class]]="C",WORKDAY(Main[[#This Row],[Tech Start Date]],19),IF(Main[[#This Row],[Class]]="B", WORKDAY(Main[[#This Row],[Tech Start Date]],12),IF(Main[[#This Row],[Class]]="A",WORKDAY(Main[[#This Row],[Tech Start Date]],4),""))))</f>
        <v/>
      </c>
      <c r="O874" s="77" t="str">
        <f>IF(Main[[#This Row],[Tech Start Date]]&lt;1/1/1990,"",IF(Main[[#This Row],[Class]]="C",WORKDAY(Main[[#This Row],[Tech Start Date]],23),IF(Main[[#This Row],[Class]]="B", WORKDAY(Main[[#This Row],[Tech Start Date]],15),IF(Main[[#This Row],[Class]]="A",WORKDAY(Main[[#This Row],[Tech Start Date]],5),""))))</f>
        <v/>
      </c>
      <c r="P874" s="77" t="str">
        <f>IF(Main[[#This Row],[Tech Start Date]]&lt;1/1/1990,"",IF(Main[[#This Row],[Class]]="C",WORKDAY(Main[[#This Row],[Tech Start Date]],28),IF(Main[[#This Row],[Class]]="B", WORKDAY(Main[[#This Row],[Tech Start Date]],19),IF(Main[[#This Row],[Class]]="A",WORKDAY(Main[[#This Row],[Tech Start Date]],9),""))))</f>
        <v/>
      </c>
      <c r="Q874" s="74">
        <v>40421</v>
      </c>
      <c r="R874" s="74"/>
      <c r="S874" s="72" t="s">
        <v>17</v>
      </c>
      <c r="T874" s="80" t="s">
        <v>4</v>
      </c>
      <c r="U874" s="72" t="s">
        <v>14</v>
      </c>
      <c r="V874" s="72" t="s">
        <v>1935</v>
      </c>
      <c r="W874" s="72" t="s">
        <v>1936</v>
      </c>
      <c r="X874" s="72" t="s">
        <v>165</v>
      </c>
      <c r="Y874" s="72" t="s">
        <v>3187</v>
      </c>
      <c r="Z874" s="72" t="s">
        <v>4</v>
      </c>
      <c r="AA874" s="147" t="s">
        <v>165</v>
      </c>
    </row>
    <row r="875" spans="1:27" ht="18.600000000000001" customHeight="1">
      <c r="A875" s="140" t="str">
        <f>IF(priority(Main[[#This Row],[Comments]])&lt;&gt;0, priority(Main[[#This Row],[Comments]]),"")</f>
        <v/>
      </c>
      <c r="B875" s="90" t="s">
        <v>1719</v>
      </c>
      <c r="C875" s="72" t="s">
        <v>4</v>
      </c>
      <c r="D875" s="73" t="s">
        <v>771</v>
      </c>
      <c r="E875" s="74"/>
      <c r="F875" s="74"/>
      <c r="G875" s="75" t="str">
        <f>IF(stdProdLT(Main[[#This Row],[Comments]])=0.1,"N/A",IF(stdProdLT(Main[[#This Row],[Comments]])=0,"",stdProdLT(Main[[#This Row],[Comments]])))</f>
        <v/>
      </c>
      <c r="H875" s="76" t="str">
        <f>IF(AND(Main[[#This Row],[In Stock Date]]&lt;&gt;"",Main[[#This Row],[Revised Due Date]]&lt;&gt;""),Main[[#This Row],[In Stock Date]]-Main[[#This Row],[Revised Due Date]],"")</f>
        <v/>
      </c>
      <c r="I875" s="72" t="s">
        <v>4</v>
      </c>
      <c r="J875" s="72" t="s">
        <v>4</v>
      </c>
      <c r="K875" s="72" t="s">
        <v>4</v>
      </c>
      <c r="L875" s="74"/>
      <c r="M875" s="77" t="str">
        <f>IF(Main[[#This Row],[Tech Start Date]]&lt;1/1/1990,"",IF(Main[[#This Row],[Class]]="C",WORKDAY(Main[[#This Row],[Tech Start Date]],9),IF(Main[[#This Row],[Class]]="B", WORKDAY(Main[[#This Row],[Tech Start Date]],6),IF(Main[[#This Row],[Class]]="A",WORKDAY(Main[[#This Row],[Tech Start Date]],2),""))))</f>
        <v/>
      </c>
      <c r="N875" s="77" t="str">
        <f>IF(Main[[#This Row],[Tech Start Date]]&lt;1/1/1990,"",IF(Main[[#This Row],[Class]]="C",WORKDAY(Main[[#This Row],[Tech Start Date]],19),IF(Main[[#This Row],[Class]]="B", WORKDAY(Main[[#This Row],[Tech Start Date]],12),IF(Main[[#This Row],[Class]]="A",WORKDAY(Main[[#This Row],[Tech Start Date]],4),""))))</f>
        <v/>
      </c>
      <c r="O875" s="77" t="str">
        <f>IF(Main[[#This Row],[Tech Start Date]]&lt;1/1/1990,"",IF(Main[[#This Row],[Class]]="C",WORKDAY(Main[[#This Row],[Tech Start Date]],23),IF(Main[[#This Row],[Class]]="B", WORKDAY(Main[[#This Row],[Tech Start Date]],15),IF(Main[[#This Row],[Class]]="A",WORKDAY(Main[[#This Row],[Tech Start Date]],5),""))))</f>
        <v/>
      </c>
      <c r="P875" s="77" t="str">
        <f>IF(Main[[#This Row],[Tech Start Date]]&lt;1/1/1990,"",IF(Main[[#This Row],[Class]]="C",WORKDAY(Main[[#This Row],[Tech Start Date]],28),IF(Main[[#This Row],[Class]]="B", WORKDAY(Main[[#This Row],[Tech Start Date]],19),IF(Main[[#This Row],[Class]]="A",WORKDAY(Main[[#This Row],[Tech Start Date]],9),""))))</f>
        <v/>
      </c>
      <c r="Q875" s="74">
        <v>40500</v>
      </c>
      <c r="R875" s="74"/>
      <c r="S875" s="72" t="s">
        <v>11</v>
      </c>
      <c r="T875" s="80" t="s">
        <v>4</v>
      </c>
      <c r="U875" s="72" t="s">
        <v>14</v>
      </c>
      <c r="V875" s="72" t="s">
        <v>1932</v>
      </c>
      <c r="W875" s="72" t="s">
        <v>4</v>
      </c>
      <c r="X875" s="72" t="s">
        <v>2916</v>
      </c>
      <c r="Y875" s="72" t="s">
        <v>3188</v>
      </c>
      <c r="Z875" s="72" t="s">
        <v>4</v>
      </c>
      <c r="AA875" s="147" t="s">
        <v>2933</v>
      </c>
    </row>
    <row r="876" spans="1:27" ht="18.600000000000001" customHeight="1">
      <c r="A876" s="140" t="str">
        <f>IF(priority(Main[[#This Row],[Comments]])&lt;&gt;0, priority(Main[[#This Row],[Comments]]),"")</f>
        <v/>
      </c>
      <c r="B876" s="90" t="s">
        <v>1720</v>
      </c>
      <c r="C876" s="72" t="s">
        <v>122</v>
      </c>
      <c r="D876" s="73" t="s">
        <v>705</v>
      </c>
      <c r="E876" s="74"/>
      <c r="F876" s="74"/>
      <c r="G876" s="75" t="str">
        <f>IF(stdProdLT(Main[[#This Row],[Comments]])=0.1,"N/A",IF(stdProdLT(Main[[#This Row],[Comments]])=0,"",stdProdLT(Main[[#This Row],[Comments]])))</f>
        <v/>
      </c>
      <c r="H876" s="76" t="str">
        <f>IF(AND(Main[[#This Row],[In Stock Date]]&lt;&gt;"",Main[[#This Row],[Revised Due Date]]&lt;&gt;""),Main[[#This Row],[In Stock Date]]-Main[[#This Row],[Revised Due Date]],"")</f>
        <v/>
      </c>
      <c r="I876" s="72" t="s">
        <v>4</v>
      </c>
      <c r="J876" s="72" t="s">
        <v>4</v>
      </c>
      <c r="K876" s="72" t="s">
        <v>4</v>
      </c>
      <c r="L876" s="74"/>
      <c r="M876" s="77" t="str">
        <f>IF(Main[[#This Row],[Tech Start Date]]&lt;1/1/1990,"",IF(Main[[#This Row],[Class]]="C",WORKDAY(Main[[#This Row],[Tech Start Date]],9),IF(Main[[#This Row],[Class]]="B", WORKDAY(Main[[#This Row],[Tech Start Date]],6),IF(Main[[#This Row],[Class]]="A",WORKDAY(Main[[#This Row],[Tech Start Date]],2),""))))</f>
        <v/>
      </c>
      <c r="N876" s="77" t="str">
        <f>IF(Main[[#This Row],[Tech Start Date]]&lt;1/1/1990,"",IF(Main[[#This Row],[Class]]="C",WORKDAY(Main[[#This Row],[Tech Start Date]],19),IF(Main[[#This Row],[Class]]="B", WORKDAY(Main[[#This Row],[Tech Start Date]],12),IF(Main[[#This Row],[Class]]="A",WORKDAY(Main[[#This Row],[Tech Start Date]],4),""))))</f>
        <v/>
      </c>
      <c r="O876" s="77" t="str">
        <f>IF(Main[[#This Row],[Tech Start Date]]&lt;1/1/1990,"",IF(Main[[#This Row],[Class]]="C",WORKDAY(Main[[#This Row],[Tech Start Date]],23),IF(Main[[#This Row],[Class]]="B", WORKDAY(Main[[#This Row],[Tech Start Date]],15),IF(Main[[#This Row],[Class]]="A",WORKDAY(Main[[#This Row],[Tech Start Date]],5),""))))</f>
        <v/>
      </c>
      <c r="P876" s="77" t="str">
        <f>IF(Main[[#This Row],[Tech Start Date]]&lt;1/1/1990,"",IF(Main[[#This Row],[Class]]="C",WORKDAY(Main[[#This Row],[Tech Start Date]],28),IF(Main[[#This Row],[Class]]="B", WORKDAY(Main[[#This Row],[Tech Start Date]],19),IF(Main[[#This Row],[Class]]="A",WORKDAY(Main[[#This Row],[Tech Start Date]],9),""))))</f>
        <v/>
      </c>
      <c r="Q876" s="74"/>
      <c r="R876" s="74"/>
      <c r="S876" s="72" t="s">
        <v>11</v>
      </c>
      <c r="T876" s="80" t="s">
        <v>4</v>
      </c>
      <c r="U876" s="72" t="s">
        <v>14</v>
      </c>
      <c r="V876" s="72" t="s">
        <v>1932</v>
      </c>
      <c r="W876" s="72" t="s">
        <v>1943</v>
      </c>
      <c r="X876" s="72" t="s">
        <v>2904</v>
      </c>
      <c r="Y876" s="72" t="s">
        <v>3179</v>
      </c>
      <c r="Z876" s="72" t="s">
        <v>4</v>
      </c>
      <c r="AA876" s="147" t="s">
        <v>3620</v>
      </c>
    </row>
    <row r="877" spans="1:27" ht="18.600000000000001" customHeight="1">
      <c r="A877" s="140" t="str">
        <f>IF(priority(Main[[#This Row],[Comments]])&lt;&gt;0, priority(Main[[#This Row],[Comments]]),"")</f>
        <v/>
      </c>
      <c r="B877" s="90" t="s">
        <v>1723</v>
      </c>
      <c r="C877" s="72" t="s">
        <v>4</v>
      </c>
      <c r="D877" s="73" t="s">
        <v>777</v>
      </c>
      <c r="E877" s="74"/>
      <c r="F877" s="74"/>
      <c r="G877" s="75" t="str">
        <f>IF(stdProdLT(Main[[#This Row],[Comments]])=0.1,"N/A",IF(stdProdLT(Main[[#This Row],[Comments]])=0,"",stdProdLT(Main[[#This Row],[Comments]])))</f>
        <v/>
      </c>
      <c r="H877" s="76" t="str">
        <f>IF(AND(Main[[#This Row],[In Stock Date]]&lt;&gt;"",Main[[#This Row],[Revised Due Date]]&lt;&gt;""),Main[[#This Row],[In Stock Date]]-Main[[#This Row],[Revised Due Date]],"")</f>
        <v/>
      </c>
      <c r="I877" s="72" t="s">
        <v>4</v>
      </c>
      <c r="J877" s="72" t="s">
        <v>4</v>
      </c>
      <c r="K877" s="72" t="s">
        <v>4</v>
      </c>
      <c r="L877" s="74"/>
      <c r="M877" s="77" t="str">
        <f>IF(Main[[#This Row],[Tech Start Date]]&lt;1/1/1990,"",IF(Main[[#This Row],[Class]]="C",WORKDAY(Main[[#This Row],[Tech Start Date]],9),IF(Main[[#This Row],[Class]]="B", WORKDAY(Main[[#This Row],[Tech Start Date]],6),IF(Main[[#This Row],[Class]]="A",WORKDAY(Main[[#This Row],[Tech Start Date]],2),""))))</f>
        <v/>
      </c>
      <c r="N877" s="77" t="str">
        <f>IF(Main[[#This Row],[Tech Start Date]]&lt;1/1/1990,"",IF(Main[[#This Row],[Class]]="C",WORKDAY(Main[[#This Row],[Tech Start Date]],19),IF(Main[[#This Row],[Class]]="B", WORKDAY(Main[[#This Row],[Tech Start Date]],12),IF(Main[[#This Row],[Class]]="A",WORKDAY(Main[[#This Row],[Tech Start Date]],4),""))))</f>
        <v/>
      </c>
      <c r="O877" s="77" t="str">
        <f>IF(Main[[#This Row],[Tech Start Date]]&lt;1/1/1990,"",IF(Main[[#This Row],[Class]]="C",WORKDAY(Main[[#This Row],[Tech Start Date]],23),IF(Main[[#This Row],[Class]]="B", WORKDAY(Main[[#This Row],[Tech Start Date]],15),IF(Main[[#This Row],[Class]]="A",WORKDAY(Main[[#This Row],[Tech Start Date]],5),""))))</f>
        <v/>
      </c>
      <c r="P877" s="77" t="str">
        <f>IF(Main[[#This Row],[Tech Start Date]]&lt;1/1/1990,"",IF(Main[[#This Row],[Class]]="C",WORKDAY(Main[[#This Row],[Tech Start Date]],28),IF(Main[[#This Row],[Class]]="B", WORKDAY(Main[[#This Row],[Tech Start Date]],19),IF(Main[[#This Row],[Class]]="A",WORKDAY(Main[[#This Row],[Tech Start Date]],9),""))))</f>
        <v/>
      </c>
      <c r="Q877" s="74"/>
      <c r="R877" s="74"/>
      <c r="S877" s="72" t="s">
        <v>17</v>
      </c>
      <c r="T877" s="80" t="s">
        <v>4</v>
      </c>
      <c r="U877" s="72" t="s">
        <v>14</v>
      </c>
      <c r="V877" s="72" t="s">
        <v>1935</v>
      </c>
      <c r="W877" s="72" t="s">
        <v>4</v>
      </c>
      <c r="X877" s="72" t="s">
        <v>310</v>
      </c>
      <c r="Y877" s="72" t="s">
        <v>4</v>
      </c>
      <c r="Z877" s="72" t="s">
        <v>4</v>
      </c>
      <c r="AA877" s="147" t="s">
        <v>3625</v>
      </c>
    </row>
    <row r="878" spans="1:27" ht="18.600000000000001" customHeight="1">
      <c r="A878" s="140" t="str">
        <f>IF(priority(Main[[#This Row],[Comments]])&lt;&gt;0, priority(Main[[#This Row],[Comments]]),"")</f>
        <v/>
      </c>
      <c r="B878" s="90" t="s">
        <v>1724</v>
      </c>
      <c r="C878" s="72" t="s">
        <v>58</v>
      </c>
      <c r="D878" s="73" t="s">
        <v>205</v>
      </c>
      <c r="E878" s="74"/>
      <c r="F878" s="74">
        <v>40697</v>
      </c>
      <c r="G878" s="75" t="str">
        <f>IF(stdProdLT(Main[[#This Row],[Comments]])=0.1,"N/A",IF(stdProdLT(Main[[#This Row],[Comments]])=0,"",stdProdLT(Main[[#This Row],[Comments]])))</f>
        <v/>
      </c>
      <c r="H878" s="76" t="str">
        <f>IF(AND(Main[[#This Row],[In Stock Date]]&lt;&gt;"",Main[[#This Row],[Revised Due Date]]&lt;&gt;""),Main[[#This Row],[In Stock Date]]-Main[[#This Row],[Revised Due Date]],"")</f>
        <v/>
      </c>
      <c r="I878" s="72" t="s">
        <v>4</v>
      </c>
      <c r="J878" s="72" t="s">
        <v>4</v>
      </c>
      <c r="K878" s="72" t="s">
        <v>4</v>
      </c>
      <c r="L878" s="74"/>
      <c r="M878" s="77" t="str">
        <f>IF(Main[[#This Row],[Tech Start Date]]&lt;1/1/1990,"",IF(Main[[#This Row],[Class]]="C",WORKDAY(Main[[#This Row],[Tech Start Date]],9),IF(Main[[#This Row],[Class]]="B", WORKDAY(Main[[#This Row],[Tech Start Date]],6),IF(Main[[#This Row],[Class]]="A",WORKDAY(Main[[#This Row],[Tech Start Date]],2),""))))</f>
        <v/>
      </c>
      <c r="N878" s="77" t="str">
        <f>IF(Main[[#This Row],[Tech Start Date]]&lt;1/1/1990,"",IF(Main[[#This Row],[Class]]="C",WORKDAY(Main[[#This Row],[Tech Start Date]],19),IF(Main[[#This Row],[Class]]="B", WORKDAY(Main[[#This Row],[Tech Start Date]],12),IF(Main[[#This Row],[Class]]="A",WORKDAY(Main[[#This Row],[Tech Start Date]],4),""))))</f>
        <v/>
      </c>
      <c r="O878" s="77" t="str">
        <f>IF(Main[[#This Row],[Tech Start Date]]&lt;1/1/1990,"",IF(Main[[#This Row],[Class]]="C",WORKDAY(Main[[#This Row],[Tech Start Date]],23),IF(Main[[#This Row],[Class]]="B", WORKDAY(Main[[#This Row],[Tech Start Date]],15),IF(Main[[#This Row],[Class]]="A",WORKDAY(Main[[#This Row],[Tech Start Date]],5),""))))</f>
        <v/>
      </c>
      <c r="P878" s="77" t="str">
        <f>IF(Main[[#This Row],[Tech Start Date]]&lt;1/1/1990,"",IF(Main[[#This Row],[Class]]="C",WORKDAY(Main[[#This Row],[Tech Start Date]],28),IF(Main[[#This Row],[Class]]="B", WORKDAY(Main[[#This Row],[Tech Start Date]],19),IF(Main[[#This Row],[Class]]="A",WORKDAY(Main[[#This Row],[Tech Start Date]],9),""))))</f>
        <v/>
      </c>
      <c r="Q878" s="74">
        <v>40539</v>
      </c>
      <c r="R878" s="74"/>
      <c r="S878" s="72" t="s">
        <v>11</v>
      </c>
      <c r="T878" s="80" t="s">
        <v>4</v>
      </c>
      <c r="U878" s="72" t="s">
        <v>14</v>
      </c>
      <c r="V878" s="72" t="s">
        <v>1932</v>
      </c>
      <c r="W878" s="72" t="s">
        <v>1938</v>
      </c>
      <c r="X878" s="72" t="s">
        <v>2913</v>
      </c>
      <c r="Y878" s="72" t="s">
        <v>3038</v>
      </c>
      <c r="Z878" s="72" t="s">
        <v>4</v>
      </c>
      <c r="AA878" s="147" t="s">
        <v>2913</v>
      </c>
    </row>
    <row r="879" spans="1:27" ht="18.600000000000001" customHeight="1">
      <c r="A879" s="140" t="str">
        <f>IF(priority(Main[[#This Row],[Comments]])&lt;&gt;0, priority(Main[[#This Row],[Comments]]),"")</f>
        <v/>
      </c>
      <c r="B879" s="90" t="s">
        <v>1725</v>
      </c>
      <c r="C879" s="72" t="s">
        <v>4</v>
      </c>
      <c r="D879" s="73" t="s">
        <v>720</v>
      </c>
      <c r="E879" s="74"/>
      <c r="F879" s="74"/>
      <c r="G879" s="75" t="str">
        <f>IF(stdProdLT(Main[[#This Row],[Comments]])=0.1,"N/A",IF(stdProdLT(Main[[#This Row],[Comments]])=0,"",stdProdLT(Main[[#This Row],[Comments]])))</f>
        <v/>
      </c>
      <c r="H879" s="76" t="str">
        <f>IF(AND(Main[[#This Row],[In Stock Date]]&lt;&gt;"",Main[[#This Row],[Revised Due Date]]&lt;&gt;""),Main[[#This Row],[In Stock Date]]-Main[[#This Row],[Revised Due Date]],"")</f>
        <v/>
      </c>
      <c r="I879" s="72" t="s">
        <v>4</v>
      </c>
      <c r="J879" s="72" t="s">
        <v>28</v>
      </c>
      <c r="K879" s="72" t="s">
        <v>1941</v>
      </c>
      <c r="L879" s="74"/>
      <c r="M879" s="77" t="str">
        <f>IF(Main[[#This Row],[Tech Start Date]]&lt;1/1/1990,"",IF(Main[[#This Row],[Class]]="C",WORKDAY(Main[[#This Row],[Tech Start Date]],9),IF(Main[[#This Row],[Class]]="B", WORKDAY(Main[[#This Row],[Tech Start Date]],6),IF(Main[[#This Row],[Class]]="A",WORKDAY(Main[[#This Row],[Tech Start Date]],2),""))))</f>
        <v/>
      </c>
      <c r="N879" s="77" t="str">
        <f>IF(Main[[#This Row],[Tech Start Date]]&lt;1/1/1990,"",IF(Main[[#This Row],[Class]]="C",WORKDAY(Main[[#This Row],[Tech Start Date]],19),IF(Main[[#This Row],[Class]]="B", WORKDAY(Main[[#This Row],[Tech Start Date]],12),IF(Main[[#This Row],[Class]]="A",WORKDAY(Main[[#This Row],[Tech Start Date]],4),""))))</f>
        <v/>
      </c>
      <c r="O879" s="77" t="str">
        <f>IF(Main[[#This Row],[Tech Start Date]]&lt;1/1/1990,"",IF(Main[[#This Row],[Class]]="C",WORKDAY(Main[[#This Row],[Tech Start Date]],23),IF(Main[[#This Row],[Class]]="B", WORKDAY(Main[[#This Row],[Tech Start Date]],15),IF(Main[[#This Row],[Class]]="A",WORKDAY(Main[[#This Row],[Tech Start Date]],5),""))))</f>
        <v/>
      </c>
      <c r="P879" s="77" t="str">
        <f>IF(Main[[#This Row],[Tech Start Date]]&lt;1/1/1990,"",IF(Main[[#This Row],[Class]]="C",WORKDAY(Main[[#This Row],[Tech Start Date]],28),IF(Main[[#This Row],[Class]]="B", WORKDAY(Main[[#This Row],[Tech Start Date]],19),IF(Main[[#This Row],[Class]]="A",WORKDAY(Main[[#This Row],[Tech Start Date]],9),""))))</f>
        <v/>
      </c>
      <c r="Q879" s="74">
        <v>40647</v>
      </c>
      <c r="R879" s="74"/>
      <c r="S879" s="72" t="s">
        <v>6</v>
      </c>
      <c r="T879" s="80" t="s">
        <v>4</v>
      </c>
      <c r="U879" s="72" t="s">
        <v>14</v>
      </c>
      <c r="V879" s="72" t="s">
        <v>1932</v>
      </c>
      <c r="W879" s="72" t="s">
        <v>1936</v>
      </c>
      <c r="X879" s="72" t="s">
        <v>2905</v>
      </c>
      <c r="Y879" s="72" t="s">
        <v>3023</v>
      </c>
      <c r="Z879" s="72" t="s">
        <v>129</v>
      </c>
      <c r="AA879" s="147" t="s">
        <v>2905</v>
      </c>
    </row>
    <row r="880" spans="1:27" ht="18.600000000000001" customHeight="1">
      <c r="A880" s="140" t="str">
        <f>IF(priority(Main[[#This Row],[Comments]])&lt;&gt;0, priority(Main[[#This Row],[Comments]]),"")</f>
        <v/>
      </c>
      <c r="B880" s="90" t="s">
        <v>2096</v>
      </c>
      <c r="C880" s="72" t="s">
        <v>4</v>
      </c>
      <c r="D880" s="73" t="s">
        <v>2421</v>
      </c>
      <c r="E880" s="74">
        <v>40760.555381944447</v>
      </c>
      <c r="F880" s="74"/>
      <c r="G880" s="75" t="str">
        <f>IF(stdProdLT(Main[[#This Row],[Comments]])=0.1,"N/A",IF(stdProdLT(Main[[#This Row],[Comments]])=0,"",stdProdLT(Main[[#This Row],[Comments]])))</f>
        <v/>
      </c>
      <c r="H880" s="76" t="str">
        <f>IF(AND(Main[[#This Row],[In Stock Date]]&lt;&gt;"",Main[[#This Row],[Revised Due Date]]&lt;&gt;""),Main[[#This Row],[In Stock Date]]-Main[[#This Row],[Revised Due Date]],"")</f>
        <v/>
      </c>
      <c r="I880" s="72" t="s">
        <v>4</v>
      </c>
      <c r="J880" s="72" t="s">
        <v>4</v>
      </c>
      <c r="K880" s="72" t="s">
        <v>4</v>
      </c>
      <c r="L880" s="74"/>
      <c r="M880" s="77" t="str">
        <f>IF(Main[[#This Row],[Tech Start Date]]&lt;1/1/1990,"",IF(Main[[#This Row],[Class]]="C",WORKDAY(Main[[#This Row],[Tech Start Date]],9),IF(Main[[#This Row],[Class]]="B", WORKDAY(Main[[#This Row],[Tech Start Date]],6),IF(Main[[#This Row],[Class]]="A",WORKDAY(Main[[#This Row],[Tech Start Date]],2),""))))</f>
        <v/>
      </c>
      <c r="N880" s="77" t="str">
        <f>IF(Main[[#This Row],[Tech Start Date]]&lt;1/1/1990,"",IF(Main[[#This Row],[Class]]="C",WORKDAY(Main[[#This Row],[Tech Start Date]],19),IF(Main[[#This Row],[Class]]="B", WORKDAY(Main[[#This Row],[Tech Start Date]],12),IF(Main[[#This Row],[Class]]="A",WORKDAY(Main[[#This Row],[Tech Start Date]],4),""))))</f>
        <v/>
      </c>
      <c r="O880" s="77" t="str">
        <f>IF(Main[[#This Row],[Tech Start Date]]&lt;1/1/1990,"",IF(Main[[#This Row],[Class]]="C",WORKDAY(Main[[#This Row],[Tech Start Date]],23),IF(Main[[#This Row],[Class]]="B", WORKDAY(Main[[#This Row],[Tech Start Date]],15),IF(Main[[#This Row],[Class]]="A",WORKDAY(Main[[#This Row],[Tech Start Date]],5),""))))</f>
        <v/>
      </c>
      <c r="P880" s="77" t="str">
        <f>IF(Main[[#This Row],[Tech Start Date]]&lt;1/1/1990,"",IF(Main[[#This Row],[Class]]="C",WORKDAY(Main[[#This Row],[Tech Start Date]],28),IF(Main[[#This Row],[Class]]="B", WORKDAY(Main[[#This Row],[Tech Start Date]],19),IF(Main[[#This Row],[Class]]="A",WORKDAY(Main[[#This Row],[Tech Start Date]],9),""))))</f>
        <v/>
      </c>
      <c r="Q880" s="74"/>
      <c r="R880" s="74"/>
      <c r="S880" s="72" t="s">
        <v>6</v>
      </c>
      <c r="T880" s="80" t="s">
        <v>4</v>
      </c>
      <c r="U880" s="72" t="s">
        <v>7</v>
      </c>
      <c r="V880" s="72" t="s">
        <v>1932</v>
      </c>
      <c r="W880" s="72" t="s">
        <v>1936</v>
      </c>
      <c r="X880" s="72" t="s">
        <v>310</v>
      </c>
      <c r="Y880" s="72" t="s">
        <v>4</v>
      </c>
      <c r="Z880" s="72" t="s">
        <v>4</v>
      </c>
      <c r="AA880" s="147" t="s">
        <v>4</v>
      </c>
    </row>
    <row r="881" spans="1:27" ht="18.600000000000001" customHeight="1">
      <c r="A881" s="140" t="str">
        <f>IF(priority(Main[[#This Row],[Comments]])&lt;&gt;0, priority(Main[[#This Row],[Comments]]),"")</f>
        <v/>
      </c>
      <c r="B881" s="90" t="s">
        <v>1650</v>
      </c>
      <c r="C881" s="72" t="s">
        <v>4</v>
      </c>
      <c r="D881" s="73" t="s">
        <v>2422</v>
      </c>
      <c r="E881" s="74">
        <v>40567.655532407407</v>
      </c>
      <c r="F881" s="74">
        <v>40602</v>
      </c>
      <c r="G881" s="75" t="str">
        <f>IF(stdProdLT(Main[[#This Row],[Comments]])=0.1,"N/A",IF(stdProdLT(Main[[#This Row],[Comments]])=0,"",stdProdLT(Main[[#This Row],[Comments]])))</f>
        <v/>
      </c>
      <c r="H881" s="76" t="str">
        <f>IF(AND(Main[[#This Row],[In Stock Date]]&lt;&gt;"",Main[[#This Row],[Revised Due Date]]&lt;&gt;""),Main[[#This Row],[In Stock Date]]-Main[[#This Row],[Revised Due Date]],"")</f>
        <v/>
      </c>
      <c r="I881" s="72" t="s">
        <v>923</v>
      </c>
      <c r="J881" s="72" t="s">
        <v>52</v>
      </c>
      <c r="K881" s="72" t="s">
        <v>1941</v>
      </c>
      <c r="L881" s="74"/>
      <c r="M881" s="77" t="str">
        <f>IF(Main[[#This Row],[Tech Start Date]]&lt;1/1/1990,"",IF(Main[[#This Row],[Class]]="C",WORKDAY(Main[[#This Row],[Tech Start Date]],9),IF(Main[[#This Row],[Class]]="B", WORKDAY(Main[[#This Row],[Tech Start Date]],6),IF(Main[[#This Row],[Class]]="A",WORKDAY(Main[[#This Row],[Tech Start Date]],2),""))))</f>
        <v/>
      </c>
      <c r="N881" s="77" t="str">
        <f>IF(Main[[#This Row],[Tech Start Date]]&lt;1/1/1990,"",IF(Main[[#This Row],[Class]]="C",WORKDAY(Main[[#This Row],[Tech Start Date]],19),IF(Main[[#This Row],[Class]]="B", WORKDAY(Main[[#This Row],[Tech Start Date]],12),IF(Main[[#This Row],[Class]]="A",WORKDAY(Main[[#This Row],[Tech Start Date]],4),""))))</f>
        <v/>
      </c>
      <c r="O881" s="77" t="str">
        <f>IF(Main[[#This Row],[Tech Start Date]]&lt;1/1/1990,"",IF(Main[[#This Row],[Class]]="C",WORKDAY(Main[[#This Row],[Tech Start Date]],23),IF(Main[[#This Row],[Class]]="B", WORKDAY(Main[[#This Row],[Tech Start Date]],15),IF(Main[[#This Row],[Class]]="A",WORKDAY(Main[[#This Row],[Tech Start Date]],5),""))))</f>
        <v/>
      </c>
      <c r="P881" s="77" t="str">
        <f>IF(Main[[#This Row],[Tech Start Date]]&lt;1/1/1990,"",IF(Main[[#This Row],[Class]]="C",WORKDAY(Main[[#This Row],[Tech Start Date]],28),IF(Main[[#This Row],[Class]]="B", WORKDAY(Main[[#This Row],[Tech Start Date]],19),IF(Main[[#This Row],[Class]]="A",WORKDAY(Main[[#This Row],[Tech Start Date]],9),""))))</f>
        <v/>
      </c>
      <c r="Q881" s="74">
        <v>40602</v>
      </c>
      <c r="R881" s="74"/>
      <c r="S881" s="72" t="s">
        <v>6</v>
      </c>
      <c r="T881" s="80" t="s">
        <v>4</v>
      </c>
      <c r="U881" s="72" t="s">
        <v>29</v>
      </c>
      <c r="V881" s="72" t="s">
        <v>1932</v>
      </c>
      <c r="W881" s="72" t="s">
        <v>1934</v>
      </c>
      <c r="X881" s="72" t="s">
        <v>2902</v>
      </c>
      <c r="Y881" s="72" t="s">
        <v>3016</v>
      </c>
      <c r="Z881" s="72" t="s">
        <v>129</v>
      </c>
      <c r="AA881" s="147" t="s">
        <v>2902</v>
      </c>
    </row>
    <row r="882" spans="1:27" ht="18.600000000000001" customHeight="1">
      <c r="A882" s="140" t="str">
        <f>IF(priority(Main[[#This Row],[Comments]])&lt;&gt;0, priority(Main[[#This Row],[Comments]]),"")</f>
        <v/>
      </c>
      <c r="B882" s="90" t="s">
        <v>1727</v>
      </c>
      <c r="C882" s="72" t="s">
        <v>4</v>
      </c>
      <c r="D882" s="73" t="s">
        <v>779</v>
      </c>
      <c r="E882" s="74"/>
      <c r="F882" s="74"/>
      <c r="G882" s="75" t="str">
        <f>IF(stdProdLT(Main[[#This Row],[Comments]])=0.1,"N/A",IF(stdProdLT(Main[[#This Row],[Comments]])=0,"",stdProdLT(Main[[#This Row],[Comments]])))</f>
        <v/>
      </c>
      <c r="H882" s="76" t="str">
        <f>IF(AND(Main[[#This Row],[In Stock Date]]&lt;&gt;"",Main[[#This Row],[Revised Due Date]]&lt;&gt;""),Main[[#This Row],[In Stock Date]]-Main[[#This Row],[Revised Due Date]],"")</f>
        <v/>
      </c>
      <c r="I882" s="72" t="s">
        <v>4</v>
      </c>
      <c r="J882" s="72" t="s">
        <v>4</v>
      </c>
      <c r="K882" s="72" t="s">
        <v>4</v>
      </c>
      <c r="L882" s="74"/>
      <c r="M882" s="77" t="str">
        <f>IF(Main[[#This Row],[Tech Start Date]]&lt;1/1/1990,"",IF(Main[[#This Row],[Class]]="C",WORKDAY(Main[[#This Row],[Tech Start Date]],9),IF(Main[[#This Row],[Class]]="B", WORKDAY(Main[[#This Row],[Tech Start Date]],6),IF(Main[[#This Row],[Class]]="A",WORKDAY(Main[[#This Row],[Tech Start Date]],2),""))))</f>
        <v/>
      </c>
      <c r="N882" s="77" t="str">
        <f>IF(Main[[#This Row],[Tech Start Date]]&lt;1/1/1990,"",IF(Main[[#This Row],[Class]]="C",WORKDAY(Main[[#This Row],[Tech Start Date]],19),IF(Main[[#This Row],[Class]]="B", WORKDAY(Main[[#This Row],[Tech Start Date]],12),IF(Main[[#This Row],[Class]]="A",WORKDAY(Main[[#This Row],[Tech Start Date]],4),""))))</f>
        <v/>
      </c>
      <c r="O882" s="77" t="str">
        <f>IF(Main[[#This Row],[Tech Start Date]]&lt;1/1/1990,"",IF(Main[[#This Row],[Class]]="C",WORKDAY(Main[[#This Row],[Tech Start Date]],23),IF(Main[[#This Row],[Class]]="B", WORKDAY(Main[[#This Row],[Tech Start Date]],15),IF(Main[[#This Row],[Class]]="A",WORKDAY(Main[[#This Row],[Tech Start Date]],5),""))))</f>
        <v/>
      </c>
      <c r="P882" s="77" t="str">
        <f>IF(Main[[#This Row],[Tech Start Date]]&lt;1/1/1990,"",IF(Main[[#This Row],[Class]]="C",WORKDAY(Main[[#This Row],[Tech Start Date]],28),IF(Main[[#This Row],[Class]]="B", WORKDAY(Main[[#This Row],[Tech Start Date]],19),IF(Main[[#This Row],[Class]]="A",WORKDAY(Main[[#This Row],[Tech Start Date]],9),""))))</f>
        <v/>
      </c>
      <c r="Q882" s="74"/>
      <c r="R882" s="74"/>
      <c r="S882" s="72" t="s">
        <v>6</v>
      </c>
      <c r="T882" s="80" t="s">
        <v>4</v>
      </c>
      <c r="U882" s="72" t="s">
        <v>12</v>
      </c>
      <c r="V882" s="72" t="s">
        <v>1932</v>
      </c>
      <c r="W882" s="72" t="s">
        <v>1936</v>
      </c>
      <c r="X882" s="72" t="s">
        <v>933</v>
      </c>
      <c r="Y882" s="72" t="s">
        <v>3069</v>
      </c>
      <c r="Z882" s="72" t="s">
        <v>4</v>
      </c>
      <c r="AA882" s="147" t="s">
        <v>933</v>
      </c>
    </row>
    <row r="883" spans="1:27" ht="18.600000000000001" customHeight="1">
      <c r="A883" s="140" t="str">
        <f>IF(priority(Main[[#This Row],[Comments]])&lt;&gt;0, priority(Main[[#This Row],[Comments]]),"")</f>
        <v/>
      </c>
      <c r="B883" s="90" t="s">
        <v>1673</v>
      </c>
      <c r="C883" s="72" t="s">
        <v>4</v>
      </c>
      <c r="D883" s="73" t="s">
        <v>731</v>
      </c>
      <c r="E883" s="74"/>
      <c r="F883" s="74">
        <v>40640</v>
      </c>
      <c r="G883" s="75" t="str">
        <f>IF(stdProdLT(Main[[#This Row],[Comments]])=0.1,"N/A",IF(stdProdLT(Main[[#This Row],[Comments]])=0,"",stdProdLT(Main[[#This Row],[Comments]])))</f>
        <v/>
      </c>
      <c r="H883" s="76" t="str">
        <f>IF(AND(Main[[#This Row],[In Stock Date]]&lt;&gt;"",Main[[#This Row],[Revised Due Date]]&lt;&gt;""),Main[[#This Row],[In Stock Date]]-Main[[#This Row],[Revised Due Date]],"")</f>
        <v/>
      </c>
      <c r="I883" s="72" t="s">
        <v>4</v>
      </c>
      <c r="J883" s="72" t="s">
        <v>28</v>
      </c>
      <c r="K883" s="72" t="s">
        <v>1945</v>
      </c>
      <c r="L883" s="74"/>
      <c r="M883" s="77" t="str">
        <f>IF(Main[[#This Row],[Tech Start Date]]&lt;1/1/1990,"",IF(Main[[#This Row],[Class]]="C",WORKDAY(Main[[#This Row],[Tech Start Date]],9),IF(Main[[#This Row],[Class]]="B", WORKDAY(Main[[#This Row],[Tech Start Date]],6),IF(Main[[#This Row],[Class]]="A",WORKDAY(Main[[#This Row],[Tech Start Date]],2),""))))</f>
        <v/>
      </c>
      <c r="N883" s="77" t="str">
        <f>IF(Main[[#This Row],[Tech Start Date]]&lt;1/1/1990,"",IF(Main[[#This Row],[Class]]="C",WORKDAY(Main[[#This Row],[Tech Start Date]],19),IF(Main[[#This Row],[Class]]="B", WORKDAY(Main[[#This Row],[Tech Start Date]],12),IF(Main[[#This Row],[Class]]="A",WORKDAY(Main[[#This Row],[Tech Start Date]],4),""))))</f>
        <v/>
      </c>
      <c r="O883" s="77" t="str">
        <f>IF(Main[[#This Row],[Tech Start Date]]&lt;1/1/1990,"",IF(Main[[#This Row],[Class]]="C",WORKDAY(Main[[#This Row],[Tech Start Date]],23),IF(Main[[#This Row],[Class]]="B", WORKDAY(Main[[#This Row],[Tech Start Date]],15),IF(Main[[#This Row],[Class]]="A",WORKDAY(Main[[#This Row],[Tech Start Date]],5),""))))</f>
        <v/>
      </c>
      <c r="P883" s="77" t="str">
        <f>IF(Main[[#This Row],[Tech Start Date]]&lt;1/1/1990,"",IF(Main[[#This Row],[Class]]="C",WORKDAY(Main[[#This Row],[Tech Start Date]],28),IF(Main[[#This Row],[Class]]="B", WORKDAY(Main[[#This Row],[Tech Start Date]],19),IF(Main[[#This Row],[Class]]="A",WORKDAY(Main[[#This Row],[Tech Start Date]],9),""))))</f>
        <v/>
      </c>
      <c r="Q883" s="74">
        <v>40640</v>
      </c>
      <c r="R883" s="74"/>
      <c r="S883" s="72" t="s">
        <v>11</v>
      </c>
      <c r="T883" s="80" t="s">
        <v>4</v>
      </c>
      <c r="U883" s="72" t="s">
        <v>14</v>
      </c>
      <c r="V883" s="72" t="s">
        <v>1932</v>
      </c>
      <c r="W883" s="72" t="s">
        <v>1940</v>
      </c>
      <c r="X883" s="72" t="s">
        <v>2945</v>
      </c>
      <c r="Y883" s="72" t="s">
        <v>3092</v>
      </c>
      <c r="Z883" s="72" t="s">
        <v>129</v>
      </c>
      <c r="AA883" s="147" t="s">
        <v>2945</v>
      </c>
    </row>
    <row r="884" spans="1:27" ht="18.600000000000001" customHeight="1">
      <c r="A884" s="140" t="str">
        <f>IF(priority(Main[[#This Row],[Comments]])&lt;&gt;0, priority(Main[[#This Row],[Comments]]),"")</f>
        <v/>
      </c>
      <c r="B884" s="90" t="s">
        <v>1674</v>
      </c>
      <c r="C884" s="72" t="s">
        <v>4</v>
      </c>
      <c r="D884" s="73" t="s">
        <v>732</v>
      </c>
      <c r="E884" s="74"/>
      <c r="F884" s="74"/>
      <c r="G884" s="75" t="str">
        <f>IF(stdProdLT(Main[[#This Row],[Comments]])=0.1,"N/A",IF(stdProdLT(Main[[#This Row],[Comments]])=0,"",stdProdLT(Main[[#This Row],[Comments]])))</f>
        <v/>
      </c>
      <c r="H884" s="76" t="str">
        <f>IF(AND(Main[[#This Row],[In Stock Date]]&lt;&gt;"",Main[[#This Row],[Revised Due Date]]&lt;&gt;""),Main[[#This Row],[In Stock Date]]-Main[[#This Row],[Revised Due Date]],"")</f>
        <v/>
      </c>
      <c r="I884" s="72" t="s">
        <v>4</v>
      </c>
      <c r="J884" s="72" t="s">
        <v>4</v>
      </c>
      <c r="K884" s="72" t="s">
        <v>4</v>
      </c>
      <c r="L884" s="74"/>
      <c r="M884" s="77" t="str">
        <f>IF(Main[[#This Row],[Tech Start Date]]&lt;1/1/1990,"",IF(Main[[#This Row],[Class]]="C",WORKDAY(Main[[#This Row],[Tech Start Date]],9),IF(Main[[#This Row],[Class]]="B", WORKDAY(Main[[#This Row],[Tech Start Date]],6),IF(Main[[#This Row],[Class]]="A",WORKDAY(Main[[#This Row],[Tech Start Date]],2),""))))</f>
        <v/>
      </c>
      <c r="N884" s="77" t="str">
        <f>IF(Main[[#This Row],[Tech Start Date]]&lt;1/1/1990,"",IF(Main[[#This Row],[Class]]="C",WORKDAY(Main[[#This Row],[Tech Start Date]],19),IF(Main[[#This Row],[Class]]="B", WORKDAY(Main[[#This Row],[Tech Start Date]],12),IF(Main[[#This Row],[Class]]="A",WORKDAY(Main[[#This Row],[Tech Start Date]],4),""))))</f>
        <v/>
      </c>
      <c r="O884" s="77" t="str">
        <f>IF(Main[[#This Row],[Tech Start Date]]&lt;1/1/1990,"",IF(Main[[#This Row],[Class]]="C",WORKDAY(Main[[#This Row],[Tech Start Date]],23),IF(Main[[#This Row],[Class]]="B", WORKDAY(Main[[#This Row],[Tech Start Date]],15),IF(Main[[#This Row],[Class]]="A",WORKDAY(Main[[#This Row],[Tech Start Date]],5),""))))</f>
        <v/>
      </c>
      <c r="P884" s="77" t="str">
        <f>IF(Main[[#This Row],[Tech Start Date]]&lt;1/1/1990,"",IF(Main[[#This Row],[Class]]="C",WORKDAY(Main[[#This Row],[Tech Start Date]],28),IF(Main[[#This Row],[Class]]="B", WORKDAY(Main[[#This Row],[Tech Start Date]],19),IF(Main[[#This Row],[Class]]="A",WORKDAY(Main[[#This Row],[Tech Start Date]],9),""))))</f>
        <v/>
      </c>
      <c r="Q884" s="74">
        <v>40385</v>
      </c>
      <c r="R884" s="74"/>
      <c r="S884" s="72" t="s">
        <v>6</v>
      </c>
      <c r="T884" s="80" t="s">
        <v>4</v>
      </c>
      <c r="U884" s="72" t="s">
        <v>14</v>
      </c>
      <c r="V884" s="72" t="s">
        <v>1935</v>
      </c>
      <c r="W884" s="72" t="s">
        <v>1934</v>
      </c>
      <c r="X884" s="72" t="s">
        <v>102</v>
      </c>
      <c r="Y884" s="72" t="s">
        <v>3119</v>
      </c>
      <c r="Z884" s="72" t="s">
        <v>4</v>
      </c>
      <c r="AA884" s="147" t="s">
        <v>3584</v>
      </c>
    </row>
    <row r="885" spans="1:27" ht="18.600000000000001" customHeight="1">
      <c r="A885" s="140" t="str">
        <f>IF(priority(Main[[#This Row],[Comments]])&lt;&gt;0, priority(Main[[#This Row],[Comments]]),"")</f>
        <v/>
      </c>
      <c r="B885" s="90" t="s">
        <v>2131</v>
      </c>
      <c r="C885" s="72" t="s">
        <v>2132</v>
      </c>
      <c r="D885" s="73" t="s">
        <v>2133</v>
      </c>
      <c r="E885" s="74">
        <v>40766.692789351851</v>
      </c>
      <c r="F885" s="74"/>
      <c r="G885" s="75" t="str">
        <f>IF(stdProdLT(Main[[#This Row],[Comments]])=0.1,"N/A",IF(stdProdLT(Main[[#This Row],[Comments]])=0,"",stdProdLT(Main[[#This Row],[Comments]])))</f>
        <v/>
      </c>
      <c r="H885" s="76" t="str">
        <f>IF(AND(Main[[#This Row],[In Stock Date]]&lt;&gt;"",Main[[#This Row],[Revised Due Date]]&lt;&gt;""),Main[[#This Row],[In Stock Date]]-Main[[#This Row],[Revised Due Date]],"")</f>
        <v/>
      </c>
      <c r="I885" s="72" t="s">
        <v>4</v>
      </c>
      <c r="J885" s="72" t="s">
        <v>4</v>
      </c>
      <c r="K885" s="72" t="s">
        <v>4</v>
      </c>
      <c r="L885" s="74"/>
      <c r="M885" s="77" t="str">
        <f>IF(Main[[#This Row],[Tech Start Date]]&lt;1/1/1990,"",IF(Main[[#This Row],[Class]]="C",WORKDAY(Main[[#This Row],[Tech Start Date]],9),IF(Main[[#This Row],[Class]]="B", WORKDAY(Main[[#This Row],[Tech Start Date]],6),IF(Main[[#This Row],[Class]]="A",WORKDAY(Main[[#This Row],[Tech Start Date]],2),""))))</f>
        <v/>
      </c>
      <c r="N885" s="77" t="str">
        <f>IF(Main[[#This Row],[Tech Start Date]]&lt;1/1/1990,"",IF(Main[[#This Row],[Class]]="C",WORKDAY(Main[[#This Row],[Tech Start Date]],19),IF(Main[[#This Row],[Class]]="B", WORKDAY(Main[[#This Row],[Tech Start Date]],12),IF(Main[[#This Row],[Class]]="A",WORKDAY(Main[[#This Row],[Tech Start Date]],4),""))))</f>
        <v/>
      </c>
      <c r="O885" s="77" t="str">
        <f>IF(Main[[#This Row],[Tech Start Date]]&lt;1/1/1990,"",IF(Main[[#This Row],[Class]]="C",WORKDAY(Main[[#This Row],[Tech Start Date]],23),IF(Main[[#This Row],[Class]]="B", WORKDAY(Main[[#This Row],[Tech Start Date]],15),IF(Main[[#This Row],[Class]]="A",WORKDAY(Main[[#This Row],[Tech Start Date]],5),""))))</f>
        <v/>
      </c>
      <c r="P885" s="77" t="str">
        <f>IF(Main[[#This Row],[Tech Start Date]]&lt;1/1/1990,"",IF(Main[[#This Row],[Class]]="C",WORKDAY(Main[[#This Row],[Tech Start Date]],28),IF(Main[[#This Row],[Class]]="B", WORKDAY(Main[[#This Row],[Tech Start Date]],19),IF(Main[[#This Row],[Class]]="A",WORKDAY(Main[[#This Row],[Tech Start Date]],9),""))))</f>
        <v/>
      </c>
      <c r="Q885" s="74">
        <v>40879</v>
      </c>
      <c r="R885" s="74"/>
      <c r="S885" s="72" t="s">
        <v>17</v>
      </c>
      <c r="T885" s="80" t="s">
        <v>4</v>
      </c>
      <c r="U885" s="72" t="s">
        <v>7</v>
      </c>
      <c r="V885" s="72" t="s">
        <v>1947</v>
      </c>
      <c r="W885" s="72" t="s">
        <v>4</v>
      </c>
      <c r="X885" s="72" t="s">
        <v>968</v>
      </c>
      <c r="Y885" s="72" t="s">
        <v>3181</v>
      </c>
      <c r="Z885" s="72" t="s">
        <v>4</v>
      </c>
      <c r="AA885" s="147" t="s">
        <v>968</v>
      </c>
    </row>
    <row r="886" spans="1:27" ht="18.600000000000001" customHeight="1">
      <c r="A886" s="140" t="str">
        <f>IF(priority(Main[[#This Row],[Comments]])&lt;&gt;0, priority(Main[[#This Row],[Comments]]),"")</f>
        <v/>
      </c>
      <c r="B886" s="90" t="s">
        <v>2032</v>
      </c>
      <c r="C886" s="72" t="s">
        <v>4</v>
      </c>
      <c r="D886" s="73" t="s">
        <v>2113</v>
      </c>
      <c r="E886" s="74">
        <v>40745.696377314816</v>
      </c>
      <c r="F886" s="74"/>
      <c r="G886" s="75" t="str">
        <f>IF(stdProdLT(Main[[#This Row],[Comments]])=0.1,"N/A",IF(stdProdLT(Main[[#This Row],[Comments]])=0,"",stdProdLT(Main[[#This Row],[Comments]])))</f>
        <v/>
      </c>
      <c r="H886" s="76" t="str">
        <f>IF(AND(Main[[#This Row],[In Stock Date]]&lt;&gt;"",Main[[#This Row],[Revised Due Date]]&lt;&gt;""),Main[[#This Row],[In Stock Date]]-Main[[#This Row],[Revised Due Date]],"")</f>
        <v/>
      </c>
      <c r="I886" s="72" t="s">
        <v>436</v>
      </c>
      <c r="J886" s="72" t="s">
        <v>21</v>
      </c>
      <c r="K886" s="72" t="s">
        <v>1941</v>
      </c>
      <c r="L886" s="74"/>
      <c r="M886" s="77" t="str">
        <f>IF(Main[[#This Row],[Tech Start Date]]&lt;1/1/1990,"",IF(Main[[#This Row],[Class]]="C",WORKDAY(Main[[#This Row],[Tech Start Date]],9),IF(Main[[#This Row],[Class]]="B", WORKDAY(Main[[#This Row],[Tech Start Date]],6),IF(Main[[#This Row],[Class]]="A",WORKDAY(Main[[#This Row],[Tech Start Date]],2),""))))</f>
        <v/>
      </c>
      <c r="N886" s="77" t="str">
        <f>IF(Main[[#This Row],[Tech Start Date]]&lt;1/1/1990,"",IF(Main[[#This Row],[Class]]="C",WORKDAY(Main[[#This Row],[Tech Start Date]],19),IF(Main[[#This Row],[Class]]="B", WORKDAY(Main[[#This Row],[Tech Start Date]],12),IF(Main[[#This Row],[Class]]="A",WORKDAY(Main[[#This Row],[Tech Start Date]],4),""))))</f>
        <v/>
      </c>
      <c r="O886" s="77" t="str">
        <f>IF(Main[[#This Row],[Tech Start Date]]&lt;1/1/1990,"",IF(Main[[#This Row],[Class]]="C",WORKDAY(Main[[#This Row],[Tech Start Date]],23),IF(Main[[#This Row],[Class]]="B", WORKDAY(Main[[#This Row],[Tech Start Date]],15),IF(Main[[#This Row],[Class]]="A",WORKDAY(Main[[#This Row],[Tech Start Date]],5),""))))</f>
        <v/>
      </c>
      <c r="P886" s="77" t="str">
        <f>IF(Main[[#This Row],[Tech Start Date]]&lt;1/1/1990,"",IF(Main[[#This Row],[Class]]="C",WORKDAY(Main[[#This Row],[Tech Start Date]],28),IF(Main[[#This Row],[Class]]="B", WORKDAY(Main[[#This Row],[Tech Start Date]],19),IF(Main[[#This Row],[Class]]="A",WORKDAY(Main[[#This Row],[Tech Start Date]],9),""))))</f>
        <v/>
      </c>
      <c r="Q886" s="74">
        <v>40786</v>
      </c>
      <c r="R886" s="74"/>
      <c r="S886" s="72" t="s">
        <v>6</v>
      </c>
      <c r="T886" s="80" t="s">
        <v>4</v>
      </c>
      <c r="U886" s="72" t="s">
        <v>29</v>
      </c>
      <c r="V886" s="72" t="s">
        <v>1935</v>
      </c>
      <c r="W886" s="72" t="s">
        <v>1936</v>
      </c>
      <c r="X886" s="72" t="s">
        <v>30</v>
      </c>
      <c r="Y886" s="72" t="s">
        <v>3182</v>
      </c>
      <c r="Z886" s="72" t="s">
        <v>44</v>
      </c>
      <c r="AA886" s="147" t="s">
        <v>3626</v>
      </c>
    </row>
    <row r="887" spans="1:27" ht="18.600000000000001" customHeight="1">
      <c r="A887" s="140" t="str">
        <f>IF(priority(Main[[#This Row],[Comments]])&lt;&gt;0, priority(Main[[#This Row],[Comments]]),"")</f>
        <v/>
      </c>
      <c r="B887" s="90" t="s">
        <v>2214</v>
      </c>
      <c r="C887" s="72" t="s">
        <v>4</v>
      </c>
      <c r="D887" s="73" t="s">
        <v>2215</v>
      </c>
      <c r="E887" s="74"/>
      <c r="F887" s="74"/>
      <c r="G887" s="75" t="str">
        <f>IF(stdProdLT(Main[[#This Row],[Comments]])=0.1,"N/A",IF(stdProdLT(Main[[#This Row],[Comments]])=0,"",stdProdLT(Main[[#This Row],[Comments]])))</f>
        <v/>
      </c>
      <c r="H887" s="76" t="str">
        <f>IF(AND(Main[[#This Row],[In Stock Date]]&lt;&gt;"",Main[[#This Row],[Revised Due Date]]&lt;&gt;""),Main[[#This Row],[In Stock Date]]-Main[[#This Row],[Revised Due Date]],"")</f>
        <v/>
      </c>
      <c r="I887" s="72" t="s">
        <v>4</v>
      </c>
      <c r="J887" s="72" t="s">
        <v>4</v>
      </c>
      <c r="K887" s="72" t="s">
        <v>4</v>
      </c>
      <c r="L887" s="74"/>
      <c r="M887" s="77" t="str">
        <f>IF(Main[[#This Row],[Tech Start Date]]&lt;1/1/1990,"",IF(Main[[#This Row],[Class]]="C",WORKDAY(Main[[#This Row],[Tech Start Date]],9),IF(Main[[#This Row],[Class]]="B", WORKDAY(Main[[#This Row],[Tech Start Date]],6),IF(Main[[#This Row],[Class]]="A",WORKDAY(Main[[#This Row],[Tech Start Date]],2),""))))</f>
        <v/>
      </c>
      <c r="N887" s="77" t="str">
        <f>IF(Main[[#This Row],[Tech Start Date]]&lt;1/1/1990,"",IF(Main[[#This Row],[Class]]="C",WORKDAY(Main[[#This Row],[Tech Start Date]],19),IF(Main[[#This Row],[Class]]="B", WORKDAY(Main[[#This Row],[Tech Start Date]],12),IF(Main[[#This Row],[Class]]="A",WORKDAY(Main[[#This Row],[Tech Start Date]],4),""))))</f>
        <v/>
      </c>
      <c r="O887" s="77" t="str">
        <f>IF(Main[[#This Row],[Tech Start Date]]&lt;1/1/1990,"",IF(Main[[#This Row],[Class]]="C",WORKDAY(Main[[#This Row],[Tech Start Date]],23),IF(Main[[#This Row],[Class]]="B", WORKDAY(Main[[#This Row],[Tech Start Date]],15),IF(Main[[#This Row],[Class]]="A",WORKDAY(Main[[#This Row],[Tech Start Date]],5),""))))</f>
        <v/>
      </c>
      <c r="P887" s="77" t="str">
        <f>IF(Main[[#This Row],[Tech Start Date]]&lt;1/1/1990,"",IF(Main[[#This Row],[Class]]="C",WORKDAY(Main[[#This Row],[Tech Start Date]],28),IF(Main[[#This Row],[Class]]="B", WORKDAY(Main[[#This Row],[Tech Start Date]],19),IF(Main[[#This Row],[Class]]="A",WORKDAY(Main[[#This Row],[Tech Start Date]],9),""))))</f>
        <v/>
      </c>
      <c r="Q887" s="74">
        <v>40798</v>
      </c>
      <c r="R887" s="74"/>
      <c r="S887" s="72" t="s">
        <v>49</v>
      </c>
      <c r="T887" s="80" t="s">
        <v>4</v>
      </c>
      <c r="U887" s="72" t="s">
        <v>14</v>
      </c>
      <c r="V887" s="72" t="s">
        <v>1942</v>
      </c>
      <c r="W887" s="72" t="s">
        <v>1940</v>
      </c>
      <c r="X887" s="72" t="s">
        <v>2990</v>
      </c>
      <c r="Y887" s="72" t="s">
        <v>3183</v>
      </c>
      <c r="Z887" s="72" t="s">
        <v>4</v>
      </c>
      <c r="AA887" s="147" t="s">
        <v>2990</v>
      </c>
    </row>
    <row r="888" spans="1:27" ht="18.600000000000001" customHeight="1">
      <c r="A888" s="140" t="str">
        <f>IF(priority(Main[[#This Row],[Comments]])&lt;&gt;0, priority(Main[[#This Row],[Comments]]),"")</f>
        <v/>
      </c>
      <c r="B888" s="90" t="s">
        <v>1694</v>
      </c>
      <c r="C888" s="72" t="s">
        <v>72</v>
      </c>
      <c r="D888" s="73" t="s">
        <v>745</v>
      </c>
      <c r="E888" s="74"/>
      <c r="F888" s="74"/>
      <c r="G888" s="75" t="str">
        <f>IF(stdProdLT(Main[[#This Row],[Comments]])=0.1,"N/A",IF(stdProdLT(Main[[#This Row],[Comments]])=0,"",stdProdLT(Main[[#This Row],[Comments]])))</f>
        <v/>
      </c>
      <c r="H888" s="76" t="str">
        <f>IF(AND(Main[[#This Row],[In Stock Date]]&lt;&gt;"",Main[[#This Row],[Revised Due Date]]&lt;&gt;""),Main[[#This Row],[In Stock Date]]-Main[[#This Row],[Revised Due Date]],"")</f>
        <v/>
      </c>
      <c r="I888" s="72" t="s">
        <v>4</v>
      </c>
      <c r="J888" s="72" t="s">
        <v>28</v>
      </c>
      <c r="K888" s="72" t="s">
        <v>1941</v>
      </c>
      <c r="L888" s="74"/>
      <c r="M888" s="77" t="str">
        <f>IF(Main[[#This Row],[Tech Start Date]]&lt;1/1/1990,"",IF(Main[[#This Row],[Class]]="C",WORKDAY(Main[[#This Row],[Tech Start Date]],9),IF(Main[[#This Row],[Class]]="B", WORKDAY(Main[[#This Row],[Tech Start Date]],6),IF(Main[[#This Row],[Class]]="A",WORKDAY(Main[[#This Row],[Tech Start Date]],2),""))))</f>
        <v/>
      </c>
      <c r="N888" s="77" t="str">
        <f>IF(Main[[#This Row],[Tech Start Date]]&lt;1/1/1990,"",IF(Main[[#This Row],[Class]]="C",WORKDAY(Main[[#This Row],[Tech Start Date]],19),IF(Main[[#This Row],[Class]]="B", WORKDAY(Main[[#This Row],[Tech Start Date]],12),IF(Main[[#This Row],[Class]]="A",WORKDAY(Main[[#This Row],[Tech Start Date]],4),""))))</f>
        <v/>
      </c>
      <c r="O888" s="77" t="str">
        <f>IF(Main[[#This Row],[Tech Start Date]]&lt;1/1/1990,"",IF(Main[[#This Row],[Class]]="C",WORKDAY(Main[[#This Row],[Tech Start Date]],23),IF(Main[[#This Row],[Class]]="B", WORKDAY(Main[[#This Row],[Tech Start Date]],15),IF(Main[[#This Row],[Class]]="A",WORKDAY(Main[[#This Row],[Tech Start Date]],5),""))))</f>
        <v/>
      </c>
      <c r="P888" s="77" t="str">
        <f>IF(Main[[#This Row],[Tech Start Date]]&lt;1/1/1990,"",IF(Main[[#This Row],[Class]]="C",WORKDAY(Main[[#This Row],[Tech Start Date]],28),IF(Main[[#This Row],[Class]]="B", WORKDAY(Main[[#This Row],[Tech Start Date]],19),IF(Main[[#This Row],[Class]]="A",WORKDAY(Main[[#This Row],[Tech Start Date]],9),""))))</f>
        <v/>
      </c>
      <c r="Q888" s="74"/>
      <c r="R888" s="74"/>
      <c r="S888" s="72" t="s">
        <v>6</v>
      </c>
      <c r="T888" s="80" t="s">
        <v>4</v>
      </c>
      <c r="U888" s="72" t="s">
        <v>14</v>
      </c>
      <c r="V888" s="72" t="s">
        <v>1935</v>
      </c>
      <c r="W888" s="72" t="s">
        <v>1934</v>
      </c>
      <c r="X888" s="72" t="s">
        <v>2931</v>
      </c>
      <c r="Y888" s="72" t="s">
        <v>3065</v>
      </c>
      <c r="Z888" s="72" t="s">
        <v>535</v>
      </c>
      <c r="AA888" s="147" t="s">
        <v>2931</v>
      </c>
    </row>
    <row r="889" spans="1:27" ht="18.600000000000001" customHeight="1">
      <c r="A889" s="140" t="str">
        <f>IF(priority(Main[[#This Row],[Comments]])&lt;&gt;0, priority(Main[[#This Row],[Comments]]),"")</f>
        <v/>
      </c>
      <c r="B889" s="90" t="s">
        <v>3742</v>
      </c>
      <c r="C889" s="72" t="s">
        <v>3743</v>
      </c>
      <c r="D889" s="73" t="s">
        <v>3744</v>
      </c>
      <c r="E889" s="74"/>
      <c r="F889" s="74"/>
      <c r="G889" s="75" t="str">
        <f>IF(stdProdLT(Main[[#This Row],[Comments]])=0.1,"N/A",IF(stdProdLT(Main[[#This Row],[Comments]])=0,"",stdProdLT(Main[[#This Row],[Comments]])))</f>
        <v/>
      </c>
      <c r="H889" s="76" t="str">
        <f>IF(AND(Main[[#This Row],[In Stock Date]]&lt;&gt;"",Main[[#This Row],[Revised Due Date]]&lt;&gt;""),Main[[#This Row],[In Stock Date]]-Main[[#This Row],[Revised Due Date]],"")</f>
        <v/>
      </c>
      <c r="I889" s="72" t="s">
        <v>4</v>
      </c>
      <c r="J889" s="72" t="s">
        <v>4</v>
      </c>
      <c r="K889" s="72" t="s">
        <v>4</v>
      </c>
      <c r="L889" s="74"/>
      <c r="M889" s="77" t="str">
        <f>IF(Main[[#This Row],[Tech Start Date]]&lt;1/1/1990,"",IF(Main[[#This Row],[Class]]="C",WORKDAY(Main[[#This Row],[Tech Start Date]],9),IF(Main[[#This Row],[Class]]="B", WORKDAY(Main[[#This Row],[Tech Start Date]],6),IF(Main[[#This Row],[Class]]="A",WORKDAY(Main[[#This Row],[Tech Start Date]],2),""))))</f>
        <v/>
      </c>
      <c r="N889" s="77" t="str">
        <f>IF(Main[[#This Row],[Tech Start Date]]&lt;1/1/1990,"",IF(Main[[#This Row],[Class]]="C",WORKDAY(Main[[#This Row],[Tech Start Date]],19),IF(Main[[#This Row],[Class]]="B", WORKDAY(Main[[#This Row],[Tech Start Date]],12),IF(Main[[#This Row],[Class]]="A",WORKDAY(Main[[#This Row],[Tech Start Date]],4),""))))</f>
        <v/>
      </c>
      <c r="O889" s="77" t="str">
        <f>IF(Main[[#This Row],[Tech Start Date]]&lt;1/1/1990,"",IF(Main[[#This Row],[Class]]="C",WORKDAY(Main[[#This Row],[Tech Start Date]],23),IF(Main[[#This Row],[Class]]="B", WORKDAY(Main[[#This Row],[Tech Start Date]],15),IF(Main[[#This Row],[Class]]="A",WORKDAY(Main[[#This Row],[Tech Start Date]],5),""))))</f>
        <v/>
      </c>
      <c r="P889" s="77" t="str">
        <f>IF(Main[[#This Row],[Tech Start Date]]&lt;1/1/1990,"",IF(Main[[#This Row],[Class]]="C",WORKDAY(Main[[#This Row],[Tech Start Date]],28),IF(Main[[#This Row],[Class]]="B", WORKDAY(Main[[#This Row],[Tech Start Date]],19),IF(Main[[#This Row],[Class]]="A",WORKDAY(Main[[#This Row],[Tech Start Date]],9),""))))</f>
        <v/>
      </c>
      <c r="Q889" s="74">
        <v>40953</v>
      </c>
      <c r="R889" s="74"/>
      <c r="S889" s="72" t="s">
        <v>11</v>
      </c>
      <c r="T889" s="80" t="s">
        <v>4</v>
      </c>
      <c r="U889" s="72" t="s">
        <v>14</v>
      </c>
      <c r="V889" s="72" t="s">
        <v>1932</v>
      </c>
      <c r="W889" s="72" t="s">
        <v>1943</v>
      </c>
      <c r="X889" s="72" t="s">
        <v>2923</v>
      </c>
      <c r="Y889" s="72" t="s">
        <v>3057</v>
      </c>
      <c r="Z889" s="72" t="s">
        <v>4</v>
      </c>
      <c r="AA889" s="147" t="s">
        <v>2923</v>
      </c>
    </row>
    <row r="890" spans="1:27" ht="18.600000000000001" customHeight="1">
      <c r="A890" s="140" t="str">
        <f>IF(priority(Main[[#This Row],[Comments]])&lt;&gt;0, priority(Main[[#This Row],[Comments]]),"")</f>
        <v/>
      </c>
      <c r="B890" s="90" t="s">
        <v>1730</v>
      </c>
      <c r="C890" s="72" t="s">
        <v>4</v>
      </c>
      <c r="D890" s="73" t="s">
        <v>774</v>
      </c>
      <c r="E890" s="74"/>
      <c r="F890" s="74"/>
      <c r="G890" s="75" t="str">
        <f>IF(stdProdLT(Main[[#This Row],[Comments]])=0.1,"N/A",IF(stdProdLT(Main[[#This Row],[Comments]])=0,"",stdProdLT(Main[[#This Row],[Comments]])))</f>
        <v/>
      </c>
      <c r="H890" s="76" t="str">
        <f>IF(AND(Main[[#This Row],[In Stock Date]]&lt;&gt;"",Main[[#This Row],[Revised Due Date]]&lt;&gt;""),Main[[#This Row],[In Stock Date]]-Main[[#This Row],[Revised Due Date]],"")</f>
        <v/>
      </c>
      <c r="I890" s="72" t="s">
        <v>403</v>
      </c>
      <c r="J890" s="72" t="s">
        <v>75</v>
      </c>
      <c r="K890" s="72" t="s">
        <v>4</v>
      </c>
      <c r="L890" s="74"/>
      <c r="M890" s="77" t="str">
        <f>IF(Main[[#This Row],[Tech Start Date]]&lt;1/1/1990,"",IF(Main[[#This Row],[Class]]="C",WORKDAY(Main[[#This Row],[Tech Start Date]],9),IF(Main[[#This Row],[Class]]="B", WORKDAY(Main[[#This Row],[Tech Start Date]],6),IF(Main[[#This Row],[Class]]="A",WORKDAY(Main[[#This Row],[Tech Start Date]],2),""))))</f>
        <v/>
      </c>
      <c r="N890" s="77" t="str">
        <f>IF(Main[[#This Row],[Tech Start Date]]&lt;1/1/1990,"",IF(Main[[#This Row],[Class]]="C",WORKDAY(Main[[#This Row],[Tech Start Date]],19),IF(Main[[#This Row],[Class]]="B", WORKDAY(Main[[#This Row],[Tech Start Date]],12),IF(Main[[#This Row],[Class]]="A",WORKDAY(Main[[#This Row],[Tech Start Date]],4),""))))</f>
        <v/>
      </c>
      <c r="O890" s="77" t="str">
        <f>IF(Main[[#This Row],[Tech Start Date]]&lt;1/1/1990,"",IF(Main[[#This Row],[Class]]="C",WORKDAY(Main[[#This Row],[Tech Start Date]],23),IF(Main[[#This Row],[Class]]="B", WORKDAY(Main[[#This Row],[Tech Start Date]],15),IF(Main[[#This Row],[Class]]="A",WORKDAY(Main[[#This Row],[Tech Start Date]],5),""))))</f>
        <v/>
      </c>
      <c r="P890" s="77" t="str">
        <f>IF(Main[[#This Row],[Tech Start Date]]&lt;1/1/1990,"",IF(Main[[#This Row],[Class]]="C",WORKDAY(Main[[#This Row],[Tech Start Date]],28),IF(Main[[#This Row],[Class]]="B", WORKDAY(Main[[#This Row],[Tech Start Date]],19),IF(Main[[#This Row],[Class]]="A",WORKDAY(Main[[#This Row],[Tech Start Date]],9),""))))</f>
        <v/>
      </c>
      <c r="Q890" s="74">
        <v>40401</v>
      </c>
      <c r="R890" s="74"/>
      <c r="S890" s="72" t="s">
        <v>6</v>
      </c>
      <c r="T890" s="80" t="s">
        <v>4</v>
      </c>
      <c r="U890" s="72" t="s">
        <v>14</v>
      </c>
      <c r="V890" s="72" t="s">
        <v>1935</v>
      </c>
      <c r="W890" s="72" t="s">
        <v>1936</v>
      </c>
      <c r="X890" s="72" t="s">
        <v>403</v>
      </c>
      <c r="Y890" s="72" t="s">
        <v>4</v>
      </c>
      <c r="Z890" s="72" t="s">
        <v>310</v>
      </c>
      <c r="AA890" s="147" t="s">
        <v>4</v>
      </c>
    </row>
    <row r="891" spans="1:27" ht="18.600000000000001" customHeight="1">
      <c r="A891" s="140" t="str">
        <f>IF(priority(Main[[#This Row],[Comments]])&lt;&gt;0, priority(Main[[#This Row],[Comments]]),"")</f>
        <v/>
      </c>
      <c r="B891" s="90" t="s">
        <v>1731</v>
      </c>
      <c r="C891" s="72" t="s">
        <v>4</v>
      </c>
      <c r="D891" s="73" t="s">
        <v>776</v>
      </c>
      <c r="E891" s="74">
        <v>40647.40420138889</v>
      </c>
      <c r="F891" s="74"/>
      <c r="G891" s="75" t="str">
        <f>IF(stdProdLT(Main[[#This Row],[Comments]])=0.1,"N/A",IF(stdProdLT(Main[[#This Row],[Comments]])=0,"",stdProdLT(Main[[#This Row],[Comments]])))</f>
        <v/>
      </c>
      <c r="H891" s="76" t="str">
        <f>IF(AND(Main[[#This Row],[In Stock Date]]&lt;&gt;"",Main[[#This Row],[Revised Due Date]]&lt;&gt;""),Main[[#This Row],[In Stock Date]]-Main[[#This Row],[Revised Due Date]],"")</f>
        <v/>
      </c>
      <c r="I891" s="72" t="s">
        <v>4</v>
      </c>
      <c r="J891" s="72" t="s">
        <v>4</v>
      </c>
      <c r="K891" s="72" t="s">
        <v>4</v>
      </c>
      <c r="L891" s="74"/>
      <c r="M891" s="77" t="str">
        <f>IF(Main[[#This Row],[Tech Start Date]]&lt;1/1/1990,"",IF(Main[[#This Row],[Class]]="C",WORKDAY(Main[[#This Row],[Tech Start Date]],9),IF(Main[[#This Row],[Class]]="B", WORKDAY(Main[[#This Row],[Tech Start Date]],6),IF(Main[[#This Row],[Class]]="A",WORKDAY(Main[[#This Row],[Tech Start Date]],2),""))))</f>
        <v/>
      </c>
      <c r="N891" s="77" t="str">
        <f>IF(Main[[#This Row],[Tech Start Date]]&lt;1/1/1990,"",IF(Main[[#This Row],[Class]]="C",WORKDAY(Main[[#This Row],[Tech Start Date]],19),IF(Main[[#This Row],[Class]]="B", WORKDAY(Main[[#This Row],[Tech Start Date]],12),IF(Main[[#This Row],[Class]]="A",WORKDAY(Main[[#This Row],[Tech Start Date]],4),""))))</f>
        <v/>
      </c>
      <c r="O891" s="77" t="str">
        <f>IF(Main[[#This Row],[Tech Start Date]]&lt;1/1/1990,"",IF(Main[[#This Row],[Class]]="C",WORKDAY(Main[[#This Row],[Tech Start Date]],23),IF(Main[[#This Row],[Class]]="B", WORKDAY(Main[[#This Row],[Tech Start Date]],15),IF(Main[[#This Row],[Class]]="A",WORKDAY(Main[[#This Row],[Tech Start Date]],5),""))))</f>
        <v/>
      </c>
      <c r="P891" s="77" t="str">
        <f>IF(Main[[#This Row],[Tech Start Date]]&lt;1/1/1990,"",IF(Main[[#This Row],[Class]]="C",WORKDAY(Main[[#This Row],[Tech Start Date]],28),IF(Main[[#This Row],[Class]]="B", WORKDAY(Main[[#This Row],[Tech Start Date]],19),IF(Main[[#This Row],[Class]]="A",WORKDAY(Main[[#This Row],[Tech Start Date]],9),""))))</f>
        <v/>
      </c>
      <c r="Q891" s="74">
        <v>40676</v>
      </c>
      <c r="R891" s="74"/>
      <c r="S891" s="72" t="s">
        <v>6</v>
      </c>
      <c r="T891" s="80" t="s">
        <v>4</v>
      </c>
      <c r="U891" s="72" t="s">
        <v>7</v>
      </c>
      <c r="V891" s="72" t="s">
        <v>1932</v>
      </c>
      <c r="W891" s="72" t="s">
        <v>4</v>
      </c>
      <c r="X891" s="72" t="s">
        <v>2906</v>
      </c>
      <c r="Y891" s="72" t="s">
        <v>3025</v>
      </c>
      <c r="Z891" s="72" t="s">
        <v>4</v>
      </c>
      <c r="AA891" s="147" t="s">
        <v>2906</v>
      </c>
    </row>
    <row r="892" spans="1:27" ht="18.600000000000001" customHeight="1">
      <c r="A892" s="140" t="str">
        <f>IF(priority(Main[[#This Row],[Comments]])&lt;&gt;0, priority(Main[[#This Row],[Comments]]),"")</f>
        <v/>
      </c>
      <c r="B892" s="90" t="s">
        <v>1843</v>
      </c>
      <c r="C892" s="72" t="s">
        <v>47</v>
      </c>
      <c r="D892" s="73" t="s">
        <v>887</v>
      </c>
      <c r="E892" s="74">
        <v>39937.613564814812</v>
      </c>
      <c r="F892" s="74"/>
      <c r="G892" s="75" t="str">
        <f>IF(stdProdLT(Main[[#This Row],[Comments]])=0.1,"N/A",IF(stdProdLT(Main[[#This Row],[Comments]])=0,"",stdProdLT(Main[[#This Row],[Comments]])))</f>
        <v/>
      </c>
      <c r="H892" s="76" t="str">
        <f>IF(AND(Main[[#This Row],[In Stock Date]]&lt;&gt;"",Main[[#This Row],[Revised Due Date]]&lt;&gt;""),Main[[#This Row],[In Stock Date]]-Main[[#This Row],[Revised Due Date]],"")</f>
        <v/>
      </c>
      <c r="I892" s="72" t="s">
        <v>888</v>
      </c>
      <c r="J892" s="72" t="s">
        <v>4</v>
      </c>
      <c r="K892" s="81" t="s">
        <v>1944</v>
      </c>
      <c r="L892" s="74"/>
      <c r="M892" s="77" t="str">
        <f>IF(Main[[#This Row],[Tech Start Date]]&lt;1/1/1990,"",IF(Main[[#This Row],[Class]]="C",WORKDAY(Main[[#This Row],[Tech Start Date]],9),IF(Main[[#This Row],[Class]]="B", WORKDAY(Main[[#This Row],[Tech Start Date]],6),IF(Main[[#This Row],[Class]]="A",WORKDAY(Main[[#This Row],[Tech Start Date]],2),""))))</f>
        <v/>
      </c>
      <c r="N892" s="77" t="str">
        <f>IF(Main[[#This Row],[Tech Start Date]]&lt;1/1/1990,"",IF(Main[[#This Row],[Class]]="C",WORKDAY(Main[[#This Row],[Tech Start Date]],19),IF(Main[[#This Row],[Class]]="B", WORKDAY(Main[[#This Row],[Tech Start Date]],12),IF(Main[[#This Row],[Class]]="A",WORKDAY(Main[[#This Row],[Tech Start Date]],4),""))))</f>
        <v/>
      </c>
      <c r="O892" s="77" t="str">
        <f>IF(Main[[#This Row],[Tech Start Date]]&lt;1/1/1990,"",IF(Main[[#This Row],[Class]]="C",WORKDAY(Main[[#This Row],[Tech Start Date]],23),IF(Main[[#This Row],[Class]]="B", WORKDAY(Main[[#This Row],[Tech Start Date]],15),IF(Main[[#This Row],[Class]]="A",WORKDAY(Main[[#This Row],[Tech Start Date]],5),""))))</f>
        <v/>
      </c>
      <c r="P892" s="77" t="str">
        <f>IF(Main[[#This Row],[Tech Start Date]]&lt;1/1/1990,"",IF(Main[[#This Row],[Class]]="C",WORKDAY(Main[[#This Row],[Tech Start Date]],28),IF(Main[[#This Row],[Class]]="B", WORKDAY(Main[[#This Row],[Tech Start Date]],19),IF(Main[[#This Row],[Class]]="A",WORKDAY(Main[[#This Row],[Tech Start Date]],9),""))))</f>
        <v/>
      </c>
      <c r="Q892" s="74">
        <v>40267</v>
      </c>
      <c r="R892" s="74">
        <v>40359</v>
      </c>
      <c r="S892" s="72" t="s">
        <v>17</v>
      </c>
      <c r="T892" s="80" t="s">
        <v>4</v>
      </c>
      <c r="U892" s="72" t="s">
        <v>29</v>
      </c>
      <c r="V892" s="72" t="s">
        <v>1932</v>
      </c>
      <c r="W892" s="72" t="s">
        <v>1936</v>
      </c>
      <c r="X892" s="72" t="s">
        <v>310</v>
      </c>
      <c r="Y892" s="72" t="s">
        <v>3028</v>
      </c>
      <c r="Z892" s="72" t="s">
        <v>4</v>
      </c>
      <c r="AA892" s="147" t="s">
        <v>3564</v>
      </c>
    </row>
    <row r="893" spans="1:27" ht="18.600000000000001" customHeight="1">
      <c r="A893" s="140" t="str">
        <f>IF(priority(Main[[#This Row],[Comments]])&lt;&gt;0, priority(Main[[#This Row],[Comments]]),"")</f>
        <v/>
      </c>
      <c r="B893" s="90" t="s">
        <v>1732</v>
      </c>
      <c r="C893" s="72" t="s">
        <v>4</v>
      </c>
      <c r="D893" s="73" t="s">
        <v>514</v>
      </c>
      <c r="E893" s="74"/>
      <c r="F893" s="74"/>
      <c r="G893" s="75" t="str">
        <f>IF(stdProdLT(Main[[#This Row],[Comments]])=0.1,"N/A",IF(stdProdLT(Main[[#This Row],[Comments]])=0,"",stdProdLT(Main[[#This Row],[Comments]])))</f>
        <v/>
      </c>
      <c r="H893" s="76" t="str">
        <f>IF(AND(Main[[#This Row],[In Stock Date]]&lt;&gt;"",Main[[#This Row],[Revised Due Date]]&lt;&gt;""),Main[[#This Row],[In Stock Date]]-Main[[#This Row],[Revised Due Date]],"")</f>
        <v/>
      </c>
      <c r="I893" s="72" t="s">
        <v>4</v>
      </c>
      <c r="J893" s="72" t="s">
        <v>4</v>
      </c>
      <c r="K893" s="72" t="s">
        <v>4</v>
      </c>
      <c r="L893" s="74"/>
      <c r="M893" s="77" t="str">
        <f>IF(Main[[#This Row],[Tech Start Date]]&lt;1/1/1990,"",IF(Main[[#This Row],[Class]]="C",WORKDAY(Main[[#This Row],[Tech Start Date]],9),IF(Main[[#This Row],[Class]]="B", WORKDAY(Main[[#This Row],[Tech Start Date]],6),IF(Main[[#This Row],[Class]]="A",WORKDAY(Main[[#This Row],[Tech Start Date]],2),""))))</f>
        <v/>
      </c>
      <c r="N893" s="77" t="str">
        <f>IF(Main[[#This Row],[Tech Start Date]]&lt;1/1/1990,"",IF(Main[[#This Row],[Class]]="C",WORKDAY(Main[[#This Row],[Tech Start Date]],19),IF(Main[[#This Row],[Class]]="B", WORKDAY(Main[[#This Row],[Tech Start Date]],12),IF(Main[[#This Row],[Class]]="A",WORKDAY(Main[[#This Row],[Tech Start Date]],4),""))))</f>
        <v/>
      </c>
      <c r="O893" s="77" t="str">
        <f>IF(Main[[#This Row],[Tech Start Date]]&lt;1/1/1990,"",IF(Main[[#This Row],[Class]]="C",WORKDAY(Main[[#This Row],[Tech Start Date]],23),IF(Main[[#This Row],[Class]]="B", WORKDAY(Main[[#This Row],[Tech Start Date]],15),IF(Main[[#This Row],[Class]]="A",WORKDAY(Main[[#This Row],[Tech Start Date]],5),""))))</f>
        <v/>
      </c>
      <c r="P893" s="77" t="str">
        <f>IF(Main[[#This Row],[Tech Start Date]]&lt;1/1/1990,"",IF(Main[[#This Row],[Class]]="C",WORKDAY(Main[[#This Row],[Tech Start Date]],28),IF(Main[[#This Row],[Class]]="B", WORKDAY(Main[[#This Row],[Tech Start Date]],19),IF(Main[[#This Row],[Class]]="A",WORKDAY(Main[[#This Row],[Tech Start Date]],9),""))))</f>
        <v/>
      </c>
      <c r="Q893" s="74"/>
      <c r="R893" s="74"/>
      <c r="S893" s="72" t="s">
        <v>4</v>
      </c>
      <c r="T893" s="80" t="s">
        <v>4</v>
      </c>
      <c r="U893" s="72" t="s">
        <v>14</v>
      </c>
      <c r="V893" s="72" t="s">
        <v>1935</v>
      </c>
      <c r="W893" s="72" t="s">
        <v>4</v>
      </c>
      <c r="X893" s="72" t="s">
        <v>2962</v>
      </c>
      <c r="Y893" s="72" t="s">
        <v>3113</v>
      </c>
      <c r="Z893" s="72" t="s">
        <v>4</v>
      </c>
      <c r="AA893" s="147" t="s">
        <v>2962</v>
      </c>
    </row>
    <row r="894" spans="1:27" ht="18.600000000000001" customHeight="1">
      <c r="A894" s="140" t="str">
        <f>IF(priority(Main[[#This Row],[Comments]])&lt;&gt;0, priority(Main[[#This Row],[Comments]]),"")</f>
        <v/>
      </c>
      <c r="B894" s="90" t="s">
        <v>1733</v>
      </c>
      <c r="C894" s="72" t="s">
        <v>281</v>
      </c>
      <c r="D894" s="73" t="s">
        <v>780</v>
      </c>
      <c r="E894" s="74"/>
      <c r="F894" s="74">
        <v>40602</v>
      </c>
      <c r="G894" s="75" t="str">
        <f>IF(stdProdLT(Main[[#This Row],[Comments]])=0.1,"N/A",IF(stdProdLT(Main[[#This Row],[Comments]])=0,"",stdProdLT(Main[[#This Row],[Comments]])))</f>
        <v/>
      </c>
      <c r="H894" s="76" t="str">
        <f>IF(AND(Main[[#This Row],[In Stock Date]]&lt;&gt;"",Main[[#This Row],[Revised Due Date]]&lt;&gt;""),Main[[#This Row],[In Stock Date]]-Main[[#This Row],[Revised Due Date]],"")</f>
        <v/>
      </c>
      <c r="I894" s="72" t="s">
        <v>4</v>
      </c>
      <c r="J894" s="72" t="s">
        <v>4</v>
      </c>
      <c r="K894" s="81" t="s">
        <v>4</v>
      </c>
      <c r="L894" s="74"/>
      <c r="M894" s="77" t="str">
        <f>IF(Main[[#This Row],[Tech Start Date]]&lt;1/1/1990,"",IF(Main[[#This Row],[Class]]="C",WORKDAY(Main[[#This Row],[Tech Start Date]],9),IF(Main[[#This Row],[Class]]="B", WORKDAY(Main[[#This Row],[Tech Start Date]],6),IF(Main[[#This Row],[Class]]="A",WORKDAY(Main[[#This Row],[Tech Start Date]],2),""))))</f>
        <v/>
      </c>
      <c r="N894" s="77" t="str">
        <f>IF(Main[[#This Row],[Tech Start Date]]&lt;1/1/1990,"",IF(Main[[#This Row],[Class]]="C",WORKDAY(Main[[#This Row],[Tech Start Date]],19),IF(Main[[#This Row],[Class]]="B", WORKDAY(Main[[#This Row],[Tech Start Date]],12),IF(Main[[#This Row],[Class]]="A",WORKDAY(Main[[#This Row],[Tech Start Date]],4),""))))</f>
        <v/>
      </c>
      <c r="O894" s="77" t="str">
        <f>IF(Main[[#This Row],[Tech Start Date]]&lt;1/1/1990,"",IF(Main[[#This Row],[Class]]="C",WORKDAY(Main[[#This Row],[Tech Start Date]],23),IF(Main[[#This Row],[Class]]="B", WORKDAY(Main[[#This Row],[Tech Start Date]],15),IF(Main[[#This Row],[Class]]="A",WORKDAY(Main[[#This Row],[Tech Start Date]],5),""))))</f>
        <v/>
      </c>
      <c r="P894" s="77" t="str">
        <f>IF(Main[[#This Row],[Tech Start Date]]&lt;1/1/1990,"",IF(Main[[#This Row],[Class]]="C",WORKDAY(Main[[#This Row],[Tech Start Date]],28),IF(Main[[#This Row],[Class]]="B", WORKDAY(Main[[#This Row],[Tech Start Date]],19),IF(Main[[#This Row],[Class]]="A",WORKDAY(Main[[#This Row],[Tech Start Date]],9),""))))</f>
        <v/>
      </c>
      <c r="Q894" s="74">
        <v>40602</v>
      </c>
      <c r="R894" s="74"/>
      <c r="S894" s="72" t="s">
        <v>11</v>
      </c>
      <c r="T894" s="80" t="s">
        <v>4</v>
      </c>
      <c r="U894" s="72" t="s">
        <v>12</v>
      </c>
      <c r="V894" s="72" t="s">
        <v>1933</v>
      </c>
      <c r="W894" s="72" t="s">
        <v>1937</v>
      </c>
      <c r="X894" s="72" t="s">
        <v>2944</v>
      </c>
      <c r="Y894" s="72" t="s">
        <v>4</v>
      </c>
      <c r="Z894" s="72" t="s">
        <v>4</v>
      </c>
      <c r="AA894" s="147" t="s">
        <v>2944</v>
      </c>
    </row>
    <row r="895" spans="1:27" ht="18.600000000000001" customHeight="1">
      <c r="A895" s="140" t="str">
        <f>IF(priority(Main[[#This Row],[Comments]])&lt;&gt;0, priority(Main[[#This Row],[Comments]]),"")</f>
        <v/>
      </c>
      <c r="B895" s="90" t="s">
        <v>1734</v>
      </c>
      <c r="C895" s="72" t="s">
        <v>281</v>
      </c>
      <c r="D895" s="73" t="s">
        <v>781</v>
      </c>
      <c r="E895" s="74"/>
      <c r="F895" s="74">
        <v>40602</v>
      </c>
      <c r="G895" s="75" t="str">
        <f>IF(stdProdLT(Main[[#This Row],[Comments]])=0.1,"N/A",IF(stdProdLT(Main[[#This Row],[Comments]])=0,"",stdProdLT(Main[[#This Row],[Comments]])))</f>
        <v/>
      </c>
      <c r="H895" s="76" t="str">
        <f>IF(AND(Main[[#This Row],[In Stock Date]]&lt;&gt;"",Main[[#This Row],[Revised Due Date]]&lt;&gt;""),Main[[#This Row],[In Stock Date]]-Main[[#This Row],[Revised Due Date]],"")</f>
        <v/>
      </c>
      <c r="I895" s="72" t="s">
        <v>4</v>
      </c>
      <c r="J895" s="72" t="s">
        <v>4</v>
      </c>
      <c r="K895" s="72" t="s">
        <v>4</v>
      </c>
      <c r="L895" s="74"/>
      <c r="M895" s="77" t="str">
        <f>IF(Main[[#This Row],[Tech Start Date]]&lt;1/1/1990,"",IF(Main[[#This Row],[Class]]="C",WORKDAY(Main[[#This Row],[Tech Start Date]],9),IF(Main[[#This Row],[Class]]="B", WORKDAY(Main[[#This Row],[Tech Start Date]],6),IF(Main[[#This Row],[Class]]="A",WORKDAY(Main[[#This Row],[Tech Start Date]],2),""))))</f>
        <v/>
      </c>
      <c r="N895" s="77" t="str">
        <f>IF(Main[[#This Row],[Tech Start Date]]&lt;1/1/1990,"",IF(Main[[#This Row],[Class]]="C",WORKDAY(Main[[#This Row],[Tech Start Date]],19),IF(Main[[#This Row],[Class]]="B", WORKDAY(Main[[#This Row],[Tech Start Date]],12),IF(Main[[#This Row],[Class]]="A",WORKDAY(Main[[#This Row],[Tech Start Date]],4),""))))</f>
        <v/>
      </c>
      <c r="O895" s="77" t="str">
        <f>IF(Main[[#This Row],[Tech Start Date]]&lt;1/1/1990,"",IF(Main[[#This Row],[Class]]="C",WORKDAY(Main[[#This Row],[Tech Start Date]],23),IF(Main[[#This Row],[Class]]="B", WORKDAY(Main[[#This Row],[Tech Start Date]],15),IF(Main[[#This Row],[Class]]="A",WORKDAY(Main[[#This Row],[Tech Start Date]],5),""))))</f>
        <v/>
      </c>
      <c r="P895" s="77" t="str">
        <f>IF(Main[[#This Row],[Tech Start Date]]&lt;1/1/1990,"",IF(Main[[#This Row],[Class]]="C",WORKDAY(Main[[#This Row],[Tech Start Date]],28),IF(Main[[#This Row],[Class]]="B", WORKDAY(Main[[#This Row],[Tech Start Date]],19),IF(Main[[#This Row],[Class]]="A",WORKDAY(Main[[#This Row],[Tech Start Date]],9),""))))</f>
        <v/>
      </c>
      <c r="Q895" s="74">
        <v>40602</v>
      </c>
      <c r="R895" s="74"/>
      <c r="S895" s="72" t="s">
        <v>11</v>
      </c>
      <c r="T895" s="80" t="s">
        <v>4</v>
      </c>
      <c r="U895" s="72" t="s">
        <v>12</v>
      </c>
      <c r="V895" s="72" t="s">
        <v>1935</v>
      </c>
      <c r="W895" s="72" t="s">
        <v>1937</v>
      </c>
      <c r="X895" s="72" t="s">
        <v>2944</v>
      </c>
      <c r="Y895" s="72" t="s">
        <v>4</v>
      </c>
      <c r="Z895" s="72" t="s">
        <v>4</v>
      </c>
      <c r="AA895" s="147" t="s">
        <v>2944</v>
      </c>
    </row>
    <row r="896" spans="1:27" ht="18.600000000000001" customHeight="1">
      <c r="A896" s="140" t="str">
        <f>IF(priority(Main[[#This Row],[Comments]])&lt;&gt;0, priority(Main[[#This Row],[Comments]]),"")</f>
        <v/>
      </c>
      <c r="B896" s="90" t="s">
        <v>1879</v>
      </c>
      <c r="C896" s="72" t="s">
        <v>31</v>
      </c>
      <c r="D896" s="73" t="s">
        <v>930</v>
      </c>
      <c r="E896" s="74"/>
      <c r="F896" s="74">
        <v>40664</v>
      </c>
      <c r="G896" s="75" t="str">
        <f>IF(stdProdLT(Main[[#This Row],[Comments]])=0.1,"N/A",IF(stdProdLT(Main[[#This Row],[Comments]])=0,"",stdProdLT(Main[[#This Row],[Comments]])))</f>
        <v/>
      </c>
      <c r="H896" s="76">
        <f>IF(AND(Main[[#This Row],[In Stock Date]]&lt;&gt;"",Main[[#This Row],[Revised Due Date]]&lt;&gt;""),Main[[#This Row],[In Stock Date]]-Main[[#This Row],[Revised Due Date]],"")</f>
        <v>87</v>
      </c>
      <c r="I896" s="72" t="s">
        <v>102</v>
      </c>
      <c r="J896" s="72" t="s">
        <v>75</v>
      </c>
      <c r="K896" s="72" t="s">
        <v>1941</v>
      </c>
      <c r="L896" s="74"/>
      <c r="M896" s="77" t="str">
        <f>IF(Main[[#This Row],[Tech Start Date]]&lt;1/1/1990,"",IF(Main[[#This Row],[Class]]="C",WORKDAY(Main[[#This Row],[Tech Start Date]],9),IF(Main[[#This Row],[Class]]="B", WORKDAY(Main[[#This Row],[Tech Start Date]],6),IF(Main[[#This Row],[Class]]="A",WORKDAY(Main[[#This Row],[Tech Start Date]],2),""))))</f>
        <v/>
      </c>
      <c r="N896" s="77" t="str">
        <f>IF(Main[[#This Row],[Tech Start Date]]&lt;1/1/1990,"",IF(Main[[#This Row],[Class]]="C",WORKDAY(Main[[#This Row],[Tech Start Date]],19),IF(Main[[#This Row],[Class]]="B", WORKDAY(Main[[#This Row],[Tech Start Date]],12),IF(Main[[#This Row],[Class]]="A",WORKDAY(Main[[#This Row],[Tech Start Date]],4),""))))</f>
        <v/>
      </c>
      <c r="O896" s="77" t="str">
        <f>IF(Main[[#This Row],[Tech Start Date]]&lt;1/1/1990,"",IF(Main[[#This Row],[Class]]="C",WORKDAY(Main[[#This Row],[Tech Start Date]],23),IF(Main[[#This Row],[Class]]="B", WORKDAY(Main[[#This Row],[Tech Start Date]],15),IF(Main[[#This Row],[Class]]="A",WORKDAY(Main[[#This Row],[Tech Start Date]],5),""))))</f>
        <v/>
      </c>
      <c r="P896" s="77" t="str">
        <f>IF(Main[[#This Row],[Tech Start Date]]&lt;1/1/1990,"",IF(Main[[#This Row],[Class]]="C",WORKDAY(Main[[#This Row],[Tech Start Date]],28),IF(Main[[#This Row],[Class]]="B", WORKDAY(Main[[#This Row],[Tech Start Date]],19),IF(Main[[#This Row],[Class]]="A",WORKDAY(Main[[#This Row],[Tech Start Date]],9),""))))</f>
        <v/>
      </c>
      <c r="Q896" s="74">
        <v>40589</v>
      </c>
      <c r="R896" s="74">
        <v>40577</v>
      </c>
      <c r="S896" s="72" t="s">
        <v>11</v>
      </c>
      <c r="T896" s="80" t="s">
        <v>4</v>
      </c>
      <c r="U896" s="72" t="s">
        <v>14</v>
      </c>
      <c r="V896" s="72" t="s">
        <v>1935</v>
      </c>
      <c r="W896" s="72" t="s">
        <v>1938</v>
      </c>
      <c r="X896" s="72" t="s">
        <v>2909</v>
      </c>
      <c r="Y896" s="72" t="s">
        <v>3054</v>
      </c>
      <c r="Z896" s="72" t="s">
        <v>535</v>
      </c>
      <c r="AA896" s="147" t="s">
        <v>2909</v>
      </c>
    </row>
    <row r="897" spans="1:27" ht="18.600000000000001" customHeight="1">
      <c r="A897" s="140" t="str">
        <f>IF(priority(Main[[#This Row],[Comments]])&lt;&gt;0, priority(Main[[#This Row],[Comments]]),"")</f>
        <v/>
      </c>
      <c r="B897" s="90" t="s">
        <v>1738</v>
      </c>
      <c r="C897" s="72" t="s">
        <v>4</v>
      </c>
      <c r="D897" s="73" t="s">
        <v>786</v>
      </c>
      <c r="E897" s="74"/>
      <c r="F897" s="74">
        <v>40025</v>
      </c>
      <c r="G897" s="75" t="str">
        <f>IF(stdProdLT(Main[[#This Row],[Comments]])=0.1,"N/A",IF(stdProdLT(Main[[#This Row],[Comments]])=0,"",stdProdLT(Main[[#This Row],[Comments]])))</f>
        <v/>
      </c>
      <c r="H897" s="76" t="str">
        <f>IF(AND(Main[[#This Row],[In Stock Date]]&lt;&gt;"",Main[[#This Row],[Revised Due Date]]&lt;&gt;""),Main[[#This Row],[In Stock Date]]-Main[[#This Row],[Revised Due Date]],"")</f>
        <v/>
      </c>
      <c r="I897" s="72" t="s">
        <v>4</v>
      </c>
      <c r="J897" s="72" t="s">
        <v>4</v>
      </c>
      <c r="K897" s="72" t="s">
        <v>4</v>
      </c>
      <c r="L897" s="74"/>
      <c r="M897" s="77" t="str">
        <f>IF(Main[[#This Row],[Tech Start Date]]&lt;1/1/1990,"",IF(Main[[#This Row],[Class]]="C",WORKDAY(Main[[#This Row],[Tech Start Date]],9),IF(Main[[#This Row],[Class]]="B", WORKDAY(Main[[#This Row],[Tech Start Date]],6),IF(Main[[#This Row],[Class]]="A",WORKDAY(Main[[#This Row],[Tech Start Date]],2),""))))</f>
        <v/>
      </c>
      <c r="N897" s="77" t="str">
        <f>IF(Main[[#This Row],[Tech Start Date]]&lt;1/1/1990,"",IF(Main[[#This Row],[Class]]="C",WORKDAY(Main[[#This Row],[Tech Start Date]],19),IF(Main[[#This Row],[Class]]="B", WORKDAY(Main[[#This Row],[Tech Start Date]],12),IF(Main[[#This Row],[Class]]="A",WORKDAY(Main[[#This Row],[Tech Start Date]],4),""))))</f>
        <v/>
      </c>
      <c r="O897" s="77" t="str">
        <f>IF(Main[[#This Row],[Tech Start Date]]&lt;1/1/1990,"",IF(Main[[#This Row],[Class]]="C",WORKDAY(Main[[#This Row],[Tech Start Date]],23),IF(Main[[#This Row],[Class]]="B", WORKDAY(Main[[#This Row],[Tech Start Date]],15),IF(Main[[#This Row],[Class]]="A",WORKDAY(Main[[#This Row],[Tech Start Date]],5),""))))</f>
        <v/>
      </c>
      <c r="P897" s="77" t="str">
        <f>IF(Main[[#This Row],[Tech Start Date]]&lt;1/1/1990,"",IF(Main[[#This Row],[Class]]="C",WORKDAY(Main[[#This Row],[Tech Start Date]],28),IF(Main[[#This Row],[Class]]="B", WORKDAY(Main[[#This Row],[Tech Start Date]],19),IF(Main[[#This Row],[Class]]="A",WORKDAY(Main[[#This Row],[Tech Start Date]],9),""))))</f>
        <v/>
      </c>
      <c r="Q897" s="74">
        <v>39963</v>
      </c>
      <c r="R897" s="74"/>
      <c r="S897" s="72" t="s">
        <v>11</v>
      </c>
      <c r="T897" s="80" t="s">
        <v>4</v>
      </c>
      <c r="U897" s="72" t="s">
        <v>14</v>
      </c>
      <c r="V897" s="72" t="s">
        <v>1942</v>
      </c>
      <c r="W897" s="72" t="s">
        <v>1940</v>
      </c>
      <c r="X897" s="72" t="s">
        <v>2947</v>
      </c>
      <c r="Y897" s="72" t="s">
        <v>3156</v>
      </c>
      <c r="Z897" s="72" t="s">
        <v>4</v>
      </c>
      <c r="AA897" s="147" t="s">
        <v>2947</v>
      </c>
    </row>
    <row r="898" spans="1:27" ht="18.600000000000001" customHeight="1">
      <c r="A898" s="140" t="str">
        <f>IF(priority(Main[[#This Row],[Comments]])&lt;&gt;0, priority(Main[[#This Row],[Comments]]),"")</f>
        <v/>
      </c>
      <c r="B898" s="90" t="s">
        <v>1739</v>
      </c>
      <c r="C898" s="72" t="s">
        <v>4</v>
      </c>
      <c r="D898" s="73" t="s">
        <v>787</v>
      </c>
      <c r="E898" s="74">
        <v>40506.439513888887</v>
      </c>
      <c r="F898" s="74"/>
      <c r="G898" s="75" t="str">
        <f>IF(stdProdLT(Main[[#This Row],[Comments]])=0.1,"N/A",IF(stdProdLT(Main[[#This Row],[Comments]])=0,"",stdProdLT(Main[[#This Row],[Comments]])))</f>
        <v/>
      </c>
      <c r="H898" s="76" t="str">
        <f>IF(AND(Main[[#This Row],[In Stock Date]]&lt;&gt;"",Main[[#This Row],[Revised Due Date]]&lt;&gt;""),Main[[#This Row],[In Stock Date]]-Main[[#This Row],[Revised Due Date]],"")</f>
        <v/>
      </c>
      <c r="I898" s="72" t="s">
        <v>4</v>
      </c>
      <c r="J898" s="72" t="s">
        <v>28</v>
      </c>
      <c r="K898" s="81" t="s">
        <v>1939</v>
      </c>
      <c r="L898" s="74"/>
      <c r="M898" s="77" t="str">
        <f>IF(Main[[#This Row],[Tech Start Date]]&lt;1/1/1990,"",IF(Main[[#This Row],[Class]]="C",WORKDAY(Main[[#This Row],[Tech Start Date]],9),IF(Main[[#This Row],[Class]]="B", WORKDAY(Main[[#This Row],[Tech Start Date]],6),IF(Main[[#This Row],[Class]]="A",WORKDAY(Main[[#This Row],[Tech Start Date]],2),""))))</f>
        <v/>
      </c>
      <c r="N898" s="77" t="str">
        <f>IF(Main[[#This Row],[Tech Start Date]]&lt;1/1/1990,"",IF(Main[[#This Row],[Class]]="C",WORKDAY(Main[[#This Row],[Tech Start Date]],19),IF(Main[[#This Row],[Class]]="B", WORKDAY(Main[[#This Row],[Tech Start Date]],12),IF(Main[[#This Row],[Class]]="A",WORKDAY(Main[[#This Row],[Tech Start Date]],4),""))))</f>
        <v/>
      </c>
      <c r="O898" s="77" t="str">
        <f>IF(Main[[#This Row],[Tech Start Date]]&lt;1/1/1990,"",IF(Main[[#This Row],[Class]]="C",WORKDAY(Main[[#This Row],[Tech Start Date]],23),IF(Main[[#This Row],[Class]]="B", WORKDAY(Main[[#This Row],[Tech Start Date]],15),IF(Main[[#This Row],[Class]]="A",WORKDAY(Main[[#This Row],[Tech Start Date]],5),""))))</f>
        <v/>
      </c>
      <c r="P898" s="77" t="str">
        <f>IF(Main[[#This Row],[Tech Start Date]]&lt;1/1/1990,"",IF(Main[[#This Row],[Class]]="C",WORKDAY(Main[[#This Row],[Tech Start Date]],28),IF(Main[[#This Row],[Class]]="B", WORKDAY(Main[[#This Row],[Tech Start Date]],19),IF(Main[[#This Row],[Class]]="A",WORKDAY(Main[[#This Row],[Tech Start Date]],9),""))))</f>
        <v/>
      </c>
      <c r="Q898" s="74">
        <v>40555</v>
      </c>
      <c r="R898" s="74"/>
      <c r="S898" s="72" t="s">
        <v>6</v>
      </c>
      <c r="T898" s="80" t="s">
        <v>4</v>
      </c>
      <c r="U898" s="72" t="s">
        <v>7</v>
      </c>
      <c r="V898" s="72" t="s">
        <v>1932</v>
      </c>
      <c r="W898" s="72" t="s">
        <v>1936</v>
      </c>
      <c r="X898" s="72" t="s">
        <v>2905</v>
      </c>
      <c r="Y898" s="72" t="s">
        <v>3023</v>
      </c>
      <c r="Z898" s="72" t="s">
        <v>129</v>
      </c>
      <c r="AA898" s="147" t="s">
        <v>2905</v>
      </c>
    </row>
    <row r="899" spans="1:27" ht="18.600000000000001" customHeight="1">
      <c r="A899" s="140" t="str">
        <f>IF(priority(Main[[#This Row],[Comments]])&lt;&gt;0, priority(Main[[#This Row],[Comments]]),"")</f>
        <v/>
      </c>
      <c r="B899" s="90" t="s">
        <v>1741</v>
      </c>
      <c r="C899" s="72" t="s">
        <v>789</v>
      </c>
      <c r="D899" s="73" t="s">
        <v>790</v>
      </c>
      <c r="E899" s="74"/>
      <c r="F899" s="74">
        <v>40591</v>
      </c>
      <c r="G899" s="75" t="str">
        <f>IF(stdProdLT(Main[[#This Row],[Comments]])=0.1,"N/A",IF(stdProdLT(Main[[#This Row],[Comments]])=0,"",stdProdLT(Main[[#This Row],[Comments]])))</f>
        <v/>
      </c>
      <c r="H899" s="76" t="str">
        <f>IF(AND(Main[[#This Row],[In Stock Date]]&lt;&gt;"",Main[[#This Row],[Revised Due Date]]&lt;&gt;""),Main[[#This Row],[In Stock Date]]-Main[[#This Row],[Revised Due Date]],"")</f>
        <v/>
      </c>
      <c r="I899" s="72" t="s">
        <v>4</v>
      </c>
      <c r="J899" s="72" t="s">
        <v>4</v>
      </c>
      <c r="K899" s="72" t="s">
        <v>1944</v>
      </c>
      <c r="L899" s="74"/>
      <c r="M899" s="77" t="str">
        <f>IF(Main[[#This Row],[Tech Start Date]]&lt;1/1/1990,"",IF(Main[[#This Row],[Class]]="C",WORKDAY(Main[[#This Row],[Tech Start Date]],9),IF(Main[[#This Row],[Class]]="B", WORKDAY(Main[[#This Row],[Tech Start Date]],6),IF(Main[[#This Row],[Class]]="A",WORKDAY(Main[[#This Row],[Tech Start Date]],2),""))))</f>
        <v/>
      </c>
      <c r="N899" s="77" t="str">
        <f>IF(Main[[#This Row],[Tech Start Date]]&lt;1/1/1990,"",IF(Main[[#This Row],[Class]]="C",WORKDAY(Main[[#This Row],[Tech Start Date]],19),IF(Main[[#This Row],[Class]]="B", WORKDAY(Main[[#This Row],[Tech Start Date]],12),IF(Main[[#This Row],[Class]]="A",WORKDAY(Main[[#This Row],[Tech Start Date]],4),""))))</f>
        <v/>
      </c>
      <c r="O899" s="77" t="str">
        <f>IF(Main[[#This Row],[Tech Start Date]]&lt;1/1/1990,"",IF(Main[[#This Row],[Class]]="C",WORKDAY(Main[[#This Row],[Tech Start Date]],23),IF(Main[[#This Row],[Class]]="B", WORKDAY(Main[[#This Row],[Tech Start Date]],15),IF(Main[[#This Row],[Class]]="A",WORKDAY(Main[[#This Row],[Tech Start Date]],5),""))))</f>
        <v/>
      </c>
      <c r="P899" s="77" t="str">
        <f>IF(Main[[#This Row],[Tech Start Date]]&lt;1/1/1990,"",IF(Main[[#This Row],[Class]]="C",WORKDAY(Main[[#This Row],[Tech Start Date]],28),IF(Main[[#This Row],[Class]]="B", WORKDAY(Main[[#This Row],[Tech Start Date]],19),IF(Main[[#This Row],[Class]]="A",WORKDAY(Main[[#This Row],[Tech Start Date]],9),""))))</f>
        <v/>
      </c>
      <c r="Q899" s="74">
        <v>40514</v>
      </c>
      <c r="R899" s="74"/>
      <c r="S899" s="72" t="s">
        <v>11</v>
      </c>
      <c r="T899" s="80" t="s">
        <v>791</v>
      </c>
      <c r="U899" s="72" t="s">
        <v>14</v>
      </c>
      <c r="V899" s="72" t="s">
        <v>1932</v>
      </c>
      <c r="W899" s="72" t="s">
        <v>1937</v>
      </c>
      <c r="X899" s="72" t="s">
        <v>2988</v>
      </c>
      <c r="Y899" s="72" t="s">
        <v>4</v>
      </c>
      <c r="Z899" s="72" t="s">
        <v>4</v>
      </c>
      <c r="AA899" s="147" t="s">
        <v>2988</v>
      </c>
    </row>
    <row r="900" spans="1:27" ht="18.600000000000001" customHeight="1">
      <c r="A900" s="140" t="str">
        <f>IF(priority(Main[[#This Row],[Comments]])&lt;&gt;0, priority(Main[[#This Row],[Comments]]),"")</f>
        <v/>
      </c>
      <c r="B900" s="90" t="s">
        <v>3288</v>
      </c>
      <c r="C900" s="72" t="s">
        <v>4</v>
      </c>
      <c r="D900" s="73" t="s">
        <v>3289</v>
      </c>
      <c r="E900" s="74">
        <v>40921.403067129628</v>
      </c>
      <c r="F900" s="74"/>
      <c r="G900" s="75" t="str">
        <f>IF(stdProdLT(Main[[#This Row],[Comments]])=0.1,"N/A",IF(stdProdLT(Main[[#This Row],[Comments]])=0,"",stdProdLT(Main[[#This Row],[Comments]])))</f>
        <v/>
      </c>
      <c r="H900" s="76" t="str">
        <f>IF(AND(Main[[#This Row],[In Stock Date]]&lt;&gt;"",Main[[#This Row],[Revised Due Date]]&lt;&gt;""),Main[[#This Row],[In Stock Date]]-Main[[#This Row],[Revised Due Date]],"")</f>
        <v/>
      </c>
      <c r="I900" s="72" t="s">
        <v>4</v>
      </c>
      <c r="J900" s="72" t="s">
        <v>4</v>
      </c>
      <c r="K900" s="72" t="s">
        <v>4</v>
      </c>
      <c r="L900" s="74"/>
      <c r="M900" s="77" t="str">
        <f>IF(Main[[#This Row],[Tech Start Date]]&lt;1/1/1990,"",IF(Main[[#This Row],[Class]]="C",WORKDAY(Main[[#This Row],[Tech Start Date]],9),IF(Main[[#This Row],[Class]]="B", WORKDAY(Main[[#This Row],[Tech Start Date]],6),IF(Main[[#This Row],[Class]]="A",WORKDAY(Main[[#This Row],[Tech Start Date]],2),""))))</f>
        <v/>
      </c>
      <c r="N900" s="77" t="str">
        <f>IF(Main[[#This Row],[Tech Start Date]]&lt;1/1/1990,"",IF(Main[[#This Row],[Class]]="C",WORKDAY(Main[[#This Row],[Tech Start Date]],19),IF(Main[[#This Row],[Class]]="B", WORKDAY(Main[[#This Row],[Tech Start Date]],12),IF(Main[[#This Row],[Class]]="A",WORKDAY(Main[[#This Row],[Tech Start Date]],4),""))))</f>
        <v/>
      </c>
      <c r="O900" s="77" t="str">
        <f>IF(Main[[#This Row],[Tech Start Date]]&lt;1/1/1990,"",IF(Main[[#This Row],[Class]]="C",WORKDAY(Main[[#This Row],[Tech Start Date]],23),IF(Main[[#This Row],[Class]]="B", WORKDAY(Main[[#This Row],[Tech Start Date]],15),IF(Main[[#This Row],[Class]]="A",WORKDAY(Main[[#This Row],[Tech Start Date]],5),""))))</f>
        <v/>
      </c>
      <c r="P900" s="77" t="str">
        <f>IF(Main[[#This Row],[Tech Start Date]]&lt;1/1/1990,"",IF(Main[[#This Row],[Class]]="C",WORKDAY(Main[[#This Row],[Tech Start Date]],28),IF(Main[[#This Row],[Class]]="B", WORKDAY(Main[[#This Row],[Tech Start Date]],19),IF(Main[[#This Row],[Class]]="A",WORKDAY(Main[[#This Row],[Tech Start Date]],9),""))))</f>
        <v/>
      </c>
      <c r="Q900" s="74"/>
      <c r="R900" s="74"/>
      <c r="S900" s="72" t="s">
        <v>6</v>
      </c>
      <c r="T900" s="80" t="s">
        <v>4</v>
      </c>
      <c r="U900" s="72" t="s">
        <v>29</v>
      </c>
      <c r="V900" s="72" t="s">
        <v>1935</v>
      </c>
      <c r="W900" s="72" t="s">
        <v>1940</v>
      </c>
      <c r="X900" s="72" t="s">
        <v>310</v>
      </c>
      <c r="Y900" s="72" t="s">
        <v>4</v>
      </c>
      <c r="Z900" s="72" t="s">
        <v>4</v>
      </c>
      <c r="AA900" s="147" t="s">
        <v>4</v>
      </c>
    </row>
    <row r="901" spans="1:27" ht="18.600000000000001" customHeight="1">
      <c r="A901" s="140" t="str">
        <f>IF(priority(Main[[#This Row],[Comments]])&lt;&gt;0, priority(Main[[#This Row],[Comments]]),"")</f>
        <v/>
      </c>
      <c r="B901" s="90" t="s">
        <v>1745</v>
      </c>
      <c r="C901" s="72" t="s">
        <v>4</v>
      </c>
      <c r="D901" s="73" t="s">
        <v>794</v>
      </c>
      <c r="E901" s="74">
        <v>40646.604930555557</v>
      </c>
      <c r="F901" s="74"/>
      <c r="G901" s="75" t="str">
        <f>IF(stdProdLT(Main[[#This Row],[Comments]])=0.1,"N/A",IF(stdProdLT(Main[[#This Row],[Comments]])=0,"",stdProdLT(Main[[#This Row],[Comments]])))</f>
        <v/>
      </c>
      <c r="H901" s="76" t="str">
        <f>IF(AND(Main[[#This Row],[In Stock Date]]&lt;&gt;"",Main[[#This Row],[Revised Due Date]]&lt;&gt;""),Main[[#This Row],[In Stock Date]]-Main[[#This Row],[Revised Due Date]],"")</f>
        <v/>
      </c>
      <c r="I901" s="72" t="s">
        <v>4</v>
      </c>
      <c r="J901" s="72" t="s">
        <v>4</v>
      </c>
      <c r="K901" s="72" t="s">
        <v>4</v>
      </c>
      <c r="L901" s="74"/>
      <c r="M901" s="77" t="str">
        <f>IF(Main[[#This Row],[Tech Start Date]]&lt;1/1/1990,"",IF(Main[[#This Row],[Class]]="C",WORKDAY(Main[[#This Row],[Tech Start Date]],9),IF(Main[[#This Row],[Class]]="B", WORKDAY(Main[[#This Row],[Tech Start Date]],6),IF(Main[[#This Row],[Class]]="A",WORKDAY(Main[[#This Row],[Tech Start Date]],2),""))))</f>
        <v/>
      </c>
      <c r="N901" s="77" t="str">
        <f>IF(Main[[#This Row],[Tech Start Date]]&lt;1/1/1990,"",IF(Main[[#This Row],[Class]]="C",WORKDAY(Main[[#This Row],[Tech Start Date]],19),IF(Main[[#This Row],[Class]]="B", WORKDAY(Main[[#This Row],[Tech Start Date]],12),IF(Main[[#This Row],[Class]]="A",WORKDAY(Main[[#This Row],[Tech Start Date]],4),""))))</f>
        <v/>
      </c>
      <c r="O901" s="77" t="str">
        <f>IF(Main[[#This Row],[Tech Start Date]]&lt;1/1/1990,"",IF(Main[[#This Row],[Class]]="C",WORKDAY(Main[[#This Row],[Tech Start Date]],23),IF(Main[[#This Row],[Class]]="B", WORKDAY(Main[[#This Row],[Tech Start Date]],15),IF(Main[[#This Row],[Class]]="A",WORKDAY(Main[[#This Row],[Tech Start Date]],5),""))))</f>
        <v/>
      </c>
      <c r="P901" s="77" t="str">
        <f>IF(Main[[#This Row],[Tech Start Date]]&lt;1/1/1990,"",IF(Main[[#This Row],[Class]]="C",WORKDAY(Main[[#This Row],[Tech Start Date]],28),IF(Main[[#This Row],[Class]]="B", WORKDAY(Main[[#This Row],[Tech Start Date]],19),IF(Main[[#This Row],[Class]]="A",WORKDAY(Main[[#This Row],[Tech Start Date]],9),""))))</f>
        <v/>
      </c>
      <c r="Q901" s="74">
        <v>40683</v>
      </c>
      <c r="R901" s="74"/>
      <c r="S901" s="72" t="s">
        <v>6</v>
      </c>
      <c r="T901" s="80" t="s">
        <v>4</v>
      </c>
      <c r="U901" s="72" t="s">
        <v>7</v>
      </c>
      <c r="V901" s="72" t="s">
        <v>1932</v>
      </c>
      <c r="W901" s="72" t="s">
        <v>4</v>
      </c>
      <c r="X901" s="72" t="s">
        <v>2902</v>
      </c>
      <c r="Y901" s="72" t="s">
        <v>3016</v>
      </c>
      <c r="Z901" s="72" t="s">
        <v>4</v>
      </c>
      <c r="AA901" s="147" t="s">
        <v>2902</v>
      </c>
    </row>
    <row r="902" spans="1:27" ht="18.600000000000001" customHeight="1">
      <c r="A902" s="140" t="str">
        <f>IF(priority(Main[[#This Row],[Comments]])&lt;&gt;0, priority(Main[[#This Row],[Comments]]),"")</f>
        <v/>
      </c>
      <c r="B902" s="90" t="s">
        <v>1747</v>
      </c>
      <c r="C902" s="72" t="s">
        <v>4</v>
      </c>
      <c r="D902" s="73" t="s">
        <v>795</v>
      </c>
      <c r="E902" s="74">
        <v>40584.401712962965</v>
      </c>
      <c r="F902" s="74">
        <v>40602</v>
      </c>
      <c r="G902" s="75" t="str">
        <f>IF(stdProdLT(Main[[#This Row],[Comments]])=0.1,"N/A",IF(stdProdLT(Main[[#This Row],[Comments]])=0,"",stdProdLT(Main[[#This Row],[Comments]])))</f>
        <v/>
      </c>
      <c r="H902" s="76" t="str">
        <f>IF(AND(Main[[#This Row],[In Stock Date]]&lt;&gt;"",Main[[#This Row],[Revised Due Date]]&lt;&gt;""),Main[[#This Row],[In Stock Date]]-Main[[#This Row],[Revised Due Date]],"")</f>
        <v/>
      </c>
      <c r="I902" s="72" t="s">
        <v>4</v>
      </c>
      <c r="J902" s="72" t="s">
        <v>28</v>
      </c>
      <c r="K902" s="81" t="s">
        <v>1944</v>
      </c>
      <c r="L902" s="74"/>
      <c r="M902" s="77" t="str">
        <f>IF(Main[[#This Row],[Tech Start Date]]&lt;1/1/1990,"",IF(Main[[#This Row],[Class]]="C",WORKDAY(Main[[#This Row],[Tech Start Date]],9),IF(Main[[#This Row],[Class]]="B", WORKDAY(Main[[#This Row],[Tech Start Date]],6),IF(Main[[#This Row],[Class]]="A",WORKDAY(Main[[#This Row],[Tech Start Date]],2),""))))</f>
        <v/>
      </c>
      <c r="N902" s="77" t="str">
        <f>IF(Main[[#This Row],[Tech Start Date]]&lt;1/1/1990,"",IF(Main[[#This Row],[Class]]="C",WORKDAY(Main[[#This Row],[Tech Start Date]],19),IF(Main[[#This Row],[Class]]="B", WORKDAY(Main[[#This Row],[Tech Start Date]],12),IF(Main[[#This Row],[Class]]="A",WORKDAY(Main[[#This Row],[Tech Start Date]],4),""))))</f>
        <v/>
      </c>
      <c r="O902" s="77" t="str">
        <f>IF(Main[[#This Row],[Tech Start Date]]&lt;1/1/1990,"",IF(Main[[#This Row],[Class]]="C",WORKDAY(Main[[#This Row],[Tech Start Date]],23),IF(Main[[#This Row],[Class]]="B", WORKDAY(Main[[#This Row],[Tech Start Date]],15),IF(Main[[#This Row],[Class]]="A",WORKDAY(Main[[#This Row],[Tech Start Date]],5),""))))</f>
        <v/>
      </c>
      <c r="P902" s="77" t="str">
        <f>IF(Main[[#This Row],[Tech Start Date]]&lt;1/1/1990,"",IF(Main[[#This Row],[Class]]="C",WORKDAY(Main[[#This Row],[Tech Start Date]],28),IF(Main[[#This Row],[Class]]="B", WORKDAY(Main[[#This Row],[Tech Start Date]],19),IF(Main[[#This Row],[Class]]="A",WORKDAY(Main[[#This Row],[Tech Start Date]],9),""))))</f>
        <v/>
      </c>
      <c r="Q902" s="74">
        <v>40602</v>
      </c>
      <c r="R902" s="74"/>
      <c r="S902" s="72" t="s">
        <v>17</v>
      </c>
      <c r="T902" s="80" t="s">
        <v>4</v>
      </c>
      <c r="U902" s="72" t="s">
        <v>7</v>
      </c>
      <c r="V902" s="72" t="s">
        <v>1932</v>
      </c>
      <c r="W902" s="72" t="s">
        <v>1940</v>
      </c>
      <c r="X902" s="72" t="s">
        <v>2912</v>
      </c>
      <c r="Y902" s="72" t="s">
        <v>3037</v>
      </c>
      <c r="Z902" s="72" t="s">
        <v>129</v>
      </c>
      <c r="AA902" s="147" t="s">
        <v>2912</v>
      </c>
    </row>
    <row r="903" spans="1:27" ht="18.600000000000001" customHeight="1">
      <c r="A903" s="140" t="str">
        <f>IF(priority(Main[[#This Row],[Comments]])&lt;&gt;0, priority(Main[[#This Row],[Comments]]),"")</f>
        <v/>
      </c>
      <c r="B903" s="90" t="s">
        <v>2108</v>
      </c>
      <c r="C903" s="72" t="s">
        <v>4</v>
      </c>
      <c r="D903" s="73" t="s">
        <v>2429</v>
      </c>
      <c r="E903" s="74">
        <v>40764.689201388886</v>
      </c>
      <c r="F903" s="74"/>
      <c r="G903" s="75" t="str">
        <f>IF(stdProdLT(Main[[#This Row],[Comments]])=0.1,"N/A",IF(stdProdLT(Main[[#This Row],[Comments]])=0,"",stdProdLT(Main[[#This Row],[Comments]])))</f>
        <v/>
      </c>
      <c r="H903" s="76" t="str">
        <f>IF(AND(Main[[#This Row],[In Stock Date]]&lt;&gt;"",Main[[#This Row],[Revised Due Date]]&lt;&gt;""),Main[[#This Row],[In Stock Date]]-Main[[#This Row],[Revised Due Date]],"")</f>
        <v/>
      </c>
      <c r="I903" s="72" t="s">
        <v>4</v>
      </c>
      <c r="J903" s="72" t="s">
        <v>4</v>
      </c>
      <c r="K903" s="72" t="s">
        <v>4</v>
      </c>
      <c r="L903" s="74"/>
      <c r="M903" s="77" t="str">
        <f>IF(Main[[#This Row],[Tech Start Date]]&lt;1/1/1990,"",IF(Main[[#This Row],[Class]]="C",WORKDAY(Main[[#This Row],[Tech Start Date]],9),IF(Main[[#This Row],[Class]]="B", WORKDAY(Main[[#This Row],[Tech Start Date]],6),IF(Main[[#This Row],[Class]]="A",WORKDAY(Main[[#This Row],[Tech Start Date]],2),""))))</f>
        <v/>
      </c>
      <c r="N903" s="77" t="str">
        <f>IF(Main[[#This Row],[Tech Start Date]]&lt;1/1/1990,"",IF(Main[[#This Row],[Class]]="C",WORKDAY(Main[[#This Row],[Tech Start Date]],19),IF(Main[[#This Row],[Class]]="B", WORKDAY(Main[[#This Row],[Tech Start Date]],12),IF(Main[[#This Row],[Class]]="A",WORKDAY(Main[[#This Row],[Tech Start Date]],4),""))))</f>
        <v/>
      </c>
      <c r="O903" s="77" t="str">
        <f>IF(Main[[#This Row],[Tech Start Date]]&lt;1/1/1990,"",IF(Main[[#This Row],[Class]]="C",WORKDAY(Main[[#This Row],[Tech Start Date]],23),IF(Main[[#This Row],[Class]]="B", WORKDAY(Main[[#This Row],[Tech Start Date]],15),IF(Main[[#This Row],[Class]]="A",WORKDAY(Main[[#This Row],[Tech Start Date]],5),""))))</f>
        <v/>
      </c>
      <c r="P903" s="77" t="str">
        <f>IF(Main[[#This Row],[Tech Start Date]]&lt;1/1/1990,"",IF(Main[[#This Row],[Class]]="C",WORKDAY(Main[[#This Row],[Tech Start Date]],28),IF(Main[[#This Row],[Class]]="B", WORKDAY(Main[[#This Row],[Tech Start Date]],19),IF(Main[[#This Row],[Class]]="A",WORKDAY(Main[[#This Row],[Tech Start Date]],9),""))))</f>
        <v/>
      </c>
      <c r="Q903" s="74"/>
      <c r="R903" s="74"/>
      <c r="S903" s="72" t="s">
        <v>6</v>
      </c>
      <c r="T903" s="80" t="s">
        <v>4</v>
      </c>
      <c r="U903" s="72" t="s">
        <v>7</v>
      </c>
      <c r="V903" s="72" t="s">
        <v>1933</v>
      </c>
      <c r="W903" s="72" t="s">
        <v>1934</v>
      </c>
      <c r="X903" s="72" t="s">
        <v>310</v>
      </c>
      <c r="Y903" s="72" t="s">
        <v>4</v>
      </c>
      <c r="Z903" s="72" t="s">
        <v>4</v>
      </c>
      <c r="AA903" s="147" t="s">
        <v>4</v>
      </c>
    </row>
    <row r="904" spans="1:27" ht="18.600000000000001" customHeight="1">
      <c r="A904" s="140" t="str">
        <f>IF(priority(Main[[#This Row],[Comments]])&lt;&gt;0, priority(Main[[#This Row],[Comments]]),"")</f>
        <v/>
      </c>
      <c r="B904" s="90" t="s">
        <v>1748</v>
      </c>
      <c r="C904" s="72" t="s">
        <v>4</v>
      </c>
      <c r="D904" s="73" t="s">
        <v>796</v>
      </c>
      <c r="E904" s="74">
        <v>40371.351643518516</v>
      </c>
      <c r="F904" s="74"/>
      <c r="G904" s="75" t="str">
        <f>IF(stdProdLT(Main[[#This Row],[Comments]])=0.1,"N/A",IF(stdProdLT(Main[[#This Row],[Comments]])=0,"",stdProdLT(Main[[#This Row],[Comments]])))</f>
        <v/>
      </c>
      <c r="H904" s="76" t="str">
        <f>IF(AND(Main[[#This Row],[In Stock Date]]&lt;&gt;"",Main[[#This Row],[Revised Due Date]]&lt;&gt;""),Main[[#This Row],[In Stock Date]]-Main[[#This Row],[Revised Due Date]],"")</f>
        <v/>
      </c>
      <c r="I904" s="72" t="s">
        <v>4</v>
      </c>
      <c r="J904" s="72" t="s">
        <v>4</v>
      </c>
      <c r="K904" s="81" t="s">
        <v>4</v>
      </c>
      <c r="L904" s="74"/>
      <c r="M904" s="77" t="str">
        <f>IF(Main[[#This Row],[Tech Start Date]]&lt;1/1/1990,"",IF(Main[[#This Row],[Class]]="C",WORKDAY(Main[[#This Row],[Tech Start Date]],9),IF(Main[[#This Row],[Class]]="B", WORKDAY(Main[[#This Row],[Tech Start Date]],6),IF(Main[[#This Row],[Class]]="A",WORKDAY(Main[[#This Row],[Tech Start Date]],2),""))))</f>
        <v/>
      </c>
      <c r="N904" s="77" t="str">
        <f>IF(Main[[#This Row],[Tech Start Date]]&lt;1/1/1990,"",IF(Main[[#This Row],[Class]]="C",WORKDAY(Main[[#This Row],[Tech Start Date]],19),IF(Main[[#This Row],[Class]]="B", WORKDAY(Main[[#This Row],[Tech Start Date]],12),IF(Main[[#This Row],[Class]]="A",WORKDAY(Main[[#This Row],[Tech Start Date]],4),""))))</f>
        <v/>
      </c>
      <c r="O904" s="77" t="str">
        <f>IF(Main[[#This Row],[Tech Start Date]]&lt;1/1/1990,"",IF(Main[[#This Row],[Class]]="C",WORKDAY(Main[[#This Row],[Tech Start Date]],23),IF(Main[[#This Row],[Class]]="B", WORKDAY(Main[[#This Row],[Tech Start Date]],15),IF(Main[[#This Row],[Class]]="A",WORKDAY(Main[[#This Row],[Tech Start Date]],5),""))))</f>
        <v/>
      </c>
      <c r="P904" s="77" t="str">
        <f>IF(Main[[#This Row],[Tech Start Date]]&lt;1/1/1990,"",IF(Main[[#This Row],[Class]]="C",WORKDAY(Main[[#This Row],[Tech Start Date]],28),IF(Main[[#This Row],[Class]]="B", WORKDAY(Main[[#This Row],[Tech Start Date]],19),IF(Main[[#This Row],[Class]]="A",WORKDAY(Main[[#This Row],[Tech Start Date]],9),""))))</f>
        <v/>
      </c>
      <c r="Q904" s="74">
        <v>40385</v>
      </c>
      <c r="R904" s="74"/>
      <c r="S904" s="72" t="s">
        <v>6</v>
      </c>
      <c r="T904" s="80" t="s">
        <v>4</v>
      </c>
      <c r="U904" s="72" t="s">
        <v>7</v>
      </c>
      <c r="V904" s="72" t="s">
        <v>1932</v>
      </c>
      <c r="W904" s="72" t="s">
        <v>1934</v>
      </c>
      <c r="X904" s="72" t="s">
        <v>102</v>
      </c>
      <c r="Y904" s="72" t="s">
        <v>3119</v>
      </c>
      <c r="Z904" s="72" t="s">
        <v>4</v>
      </c>
      <c r="AA904" s="147" t="s">
        <v>3584</v>
      </c>
    </row>
    <row r="905" spans="1:27" ht="18.600000000000001" customHeight="1">
      <c r="A905" s="140" t="str">
        <f>IF(priority(Main[[#This Row],[Comments]])&lt;&gt;0, priority(Main[[#This Row],[Comments]]),"")</f>
        <v/>
      </c>
      <c r="B905" s="90" t="s">
        <v>1773</v>
      </c>
      <c r="C905" s="72" t="s">
        <v>4</v>
      </c>
      <c r="D905" s="73" t="s">
        <v>804</v>
      </c>
      <c r="E905" s="74"/>
      <c r="F905" s="74"/>
      <c r="G905" s="75" t="str">
        <f>IF(stdProdLT(Main[[#This Row],[Comments]])=0.1,"N/A",IF(stdProdLT(Main[[#This Row],[Comments]])=0,"",stdProdLT(Main[[#This Row],[Comments]])))</f>
        <v/>
      </c>
      <c r="H905" s="76" t="str">
        <f>IF(AND(Main[[#This Row],[In Stock Date]]&lt;&gt;"",Main[[#This Row],[Revised Due Date]]&lt;&gt;""),Main[[#This Row],[In Stock Date]]-Main[[#This Row],[Revised Due Date]],"")</f>
        <v/>
      </c>
      <c r="I905" s="72" t="s">
        <v>4</v>
      </c>
      <c r="J905" s="72" t="s">
        <v>4</v>
      </c>
      <c r="K905" s="72" t="s">
        <v>4</v>
      </c>
      <c r="L905" s="74"/>
      <c r="M905" s="77" t="str">
        <f>IF(Main[[#This Row],[Tech Start Date]]&lt;1/1/1990,"",IF(Main[[#This Row],[Class]]="C",WORKDAY(Main[[#This Row],[Tech Start Date]],9),IF(Main[[#This Row],[Class]]="B", WORKDAY(Main[[#This Row],[Tech Start Date]],6),IF(Main[[#This Row],[Class]]="A",WORKDAY(Main[[#This Row],[Tech Start Date]],2),""))))</f>
        <v/>
      </c>
      <c r="N905" s="77" t="str">
        <f>IF(Main[[#This Row],[Tech Start Date]]&lt;1/1/1990,"",IF(Main[[#This Row],[Class]]="C",WORKDAY(Main[[#This Row],[Tech Start Date]],19),IF(Main[[#This Row],[Class]]="B", WORKDAY(Main[[#This Row],[Tech Start Date]],12),IF(Main[[#This Row],[Class]]="A",WORKDAY(Main[[#This Row],[Tech Start Date]],4),""))))</f>
        <v/>
      </c>
      <c r="O905" s="77" t="str">
        <f>IF(Main[[#This Row],[Tech Start Date]]&lt;1/1/1990,"",IF(Main[[#This Row],[Class]]="C",WORKDAY(Main[[#This Row],[Tech Start Date]],23),IF(Main[[#This Row],[Class]]="B", WORKDAY(Main[[#This Row],[Tech Start Date]],15),IF(Main[[#This Row],[Class]]="A",WORKDAY(Main[[#This Row],[Tech Start Date]],5),""))))</f>
        <v/>
      </c>
      <c r="P905" s="77" t="str">
        <f>IF(Main[[#This Row],[Tech Start Date]]&lt;1/1/1990,"",IF(Main[[#This Row],[Class]]="C",WORKDAY(Main[[#This Row],[Tech Start Date]],28),IF(Main[[#This Row],[Class]]="B", WORKDAY(Main[[#This Row],[Tech Start Date]],19),IF(Main[[#This Row],[Class]]="A",WORKDAY(Main[[#This Row],[Tech Start Date]],9),""))))</f>
        <v/>
      </c>
      <c r="Q905" s="74"/>
      <c r="R905" s="74"/>
      <c r="S905" s="72" t="s">
        <v>23</v>
      </c>
      <c r="T905" s="80" t="s">
        <v>4</v>
      </c>
      <c r="U905" s="72" t="s">
        <v>14</v>
      </c>
      <c r="V905" s="72" t="s">
        <v>1935</v>
      </c>
      <c r="W905" s="72" t="s">
        <v>1936</v>
      </c>
      <c r="X905" s="72" t="s">
        <v>310</v>
      </c>
      <c r="Y905" s="72" t="s">
        <v>4</v>
      </c>
      <c r="Z905" s="72" t="s">
        <v>4</v>
      </c>
      <c r="AA905" s="147" t="s">
        <v>4</v>
      </c>
    </row>
    <row r="906" spans="1:27" ht="18.600000000000001" customHeight="1">
      <c r="A906" s="140" t="str">
        <f>IF(priority(Main[[#This Row],[Comments]])&lt;&gt;0, priority(Main[[#This Row],[Comments]]),"")</f>
        <v/>
      </c>
      <c r="B906" s="90" t="s">
        <v>1774</v>
      </c>
      <c r="C906" s="72" t="s">
        <v>122</v>
      </c>
      <c r="D906" s="73" t="s">
        <v>805</v>
      </c>
      <c r="E906" s="74"/>
      <c r="F906" s="74"/>
      <c r="G906" s="75" t="str">
        <f>IF(stdProdLT(Main[[#This Row],[Comments]])=0.1,"N/A",IF(stdProdLT(Main[[#This Row],[Comments]])=0,"",stdProdLT(Main[[#This Row],[Comments]])))</f>
        <v/>
      </c>
      <c r="H906" s="76" t="str">
        <f>IF(AND(Main[[#This Row],[In Stock Date]]&lt;&gt;"",Main[[#This Row],[Revised Due Date]]&lt;&gt;""),Main[[#This Row],[In Stock Date]]-Main[[#This Row],[Revised Due Date]],"")</f>
        <v/>
      </c>
      <c r="I906" s="72" t="s">
        <v>4</v>
      </c>
      <c r="J906" s="72" t="s">
        <v>4</v>
      </c>
      <c r="K906" s="81" t="s">
        <v>4</v>
      </c>
      <c r="L906" s="74"/>
      <c r="M906" s="77" t="str">
        <f>IF(Main[[#This Row],[Tech Start Date]]&lt;1/1/1990,"",IF(Main[[#This Row],[Class]]="C",WORKDAY(Main[[#This Row],[Tech Start Date]],9),IF(Main[[#This Row],[Class]]="B", WORKDAY(Main[[#This Row],[Tech Start Date]],6),IF(Main[[#This Row],[Class]]="A",WORKDAY(Main[[#This Row],[Tech Start Date]],2),""))))</f>
        <v/>
      </c>
      <c r="N906" s="77" t="str">
        <f>IF(Main[[#This Row],[Tech Start Date]]&lt;1/1/1990,"",IF(Main[[#This Row],[Class]]="C",WORKDAY(Main[[#This Row],[Tech Start Date]],19),IF(Main[[#This Row],[Class]]="B", WORKDAY(Main[[#This Row],[Tech Start Date]],12),IF(Main[[#This Row],[Class]]="A",WORKDAY(Main[[#This Row],[Tech Start Date]],4),""))))</f>
        <v/>
      </c>
      <c r="O906" s="77" t="str">
        <f>IF(Main[[#This Row],[Tech Start Date]]&lt;1/1/1990,"",IF(Main[[#This Row],[Class]]="C",WORKDAY(Main[[#This Row],[Tech Start Date]],23),IF(Main[[#This Row],[Class]]="B", WORKDAY(Main[[#This Row],[Tech Start Date]],15),IF(Main[[#This Row],[Class]]="A",WORKDAY(Main[[#This Row],[Tech Start Date]],5),""))))</f>
        <v/>
      </c>
      <c r="P906" s="77" t="str">
        <f>IF(Main[[#This Row],[Tech Start Date]]&lt;1/1/1990,"",IF(Main[[#This Row],[Class]]="C",WORKDAY(Main[[#This Row],[Tech Start Date]],28),IF(Main[[#This Row],[Class]]="B", WORKDAY(Main[[#This Row],[Tech Start Date]],19),IF(Main[[#This Row],[Class]]="A",WORKDAY(Main[[#This Row],[Tech Start Date]],9),""))))</f>
        <v/>
      </c>
      <c r="Q906" s="74">
        <v>40245</v>
      </c>
      <c r="R906" s="74"/>
      <c r="S906" s="72" t="s">
        <v>11</v>
      </c>
      <c r="T906" s="80" t="s">
        <v>4</v>
      </c>
      <c r="U906" s="72" t="s">
        <v>14</v>
      </c>
      <c r="V906" s="72" t="s">
        <v>1935</v>
      </c>
      <c r="W906" s="72" t="s">
        <v>1934</v>
      </c>
      <c r="X906" s="72" t="s">
        <v>2956</v>
      </c>
      <c r="Y906" s="72" t="s">
        <v>4</v>
      </c>
      <c r="Z906" s="72" t="s">
        <v>4</v>
      </c>
      <c r="AA906" s="147" t="s">
        <v>2956</v>
      </c>
    </row>
    <row r="907" spans="1:27" ht="18.600000000000001" customHeight="1">
      <c r="A907" s="140" t="str">
        <f>IF(priority(Main[[#This Row],[Comments]])&lt;&gt;0, priority(Main[[#This Row],[Comments]]),"")</f>
        <v/>
      </c>
      <c r="B907" s="90" t="s">
        <v>1750</v>
      </c>
      <c r="C907" s="72" t="s">
        <v>4</v>
      </c>
      <c r="D907" s="73" t="s">
        <v>797</v>
      </c>
      <c r="E907" s="74"/>
      <c r="F907" s="74"/>
      <c r="G907" s="75" t="str">
        <f>IF(stdProdLT(Main[[#This Row],[Comments]])=0.1,"N/A",IF(stdProdLT(Main[[#This Row],[Comments]])=0,"",stdProdLT(Main[[#This Row],[Comments]])))</f>
        <v/>
      </c>
      <c r="H907" s="76" t="str">
        <f>IF(AND(Main[[#This Row],[In Stock Date]]&lt;&gt;"",Main[[#This Row],[Revised Due Date]]&lt;&gt;""),Main[[#This Row],[In Stock Date]]-Main[[#This Row],[Revised Due Date]],"")</f>
        <v/>
      </c>
      <c r="I907" s="72" t="s">
        <v>4</v>
      </c>
      <c r="J907" s="72" t="s">
        <v>28</v>
      </c>
      <c r="K907" s="81" t="s">
        <v>4</v>
      </c>
      <c r="L907" s="74"/>
      <c r="M907" s="77" t="str">
        <f>IF(Main[[#This Row],[Tech Start Date]]&lt;1/1/1990,"",IF(Main[[#This Row],[Class]]="C",WORKDAY(Main[[#This Row],[Tech Start Date]],9),IF(Main[[#This Row],[Class]]="B", WORKDAY(Main[[#This Row],[Tech Start Date]],6),IF(Main[[#This Row],[Class]]="A",WORKDAY(Main[[#This Row],[Tech Start Date]],2),""))))</f>
        <v/>
      </c>
      <c r="N907" s="77" t="str">
        <f>IF(Main[[#This Row],[Tech Start Date]]&lt;1/1/1990,"",IF(Main[[#This Row],[Class]]="C",WORKDAY(Main[[#This Row],[Tech Start Date]],19),IF(Main[[#This Row],[Class]]="B", WORKDAY(Main[[#This Row],[Tech Start Date]],12),IF(Main[[#This Row],[Class]]="A",WORKDAY(Main[[#This Row],[Tech Start Date]],4),""))))</f>
        <v/>
      </c>
      <c r="O907" s="77" t="str">
        <f>IF(Main[[#This Row],[Tech Start Date]]&lt;1/1/1990,"",IF(Main[[#This Row],[Class]]="C",WORKDAY(Main[[#This Row],[Tech Start Date]],23),IF(Main[[#This Row],[Class]]="B", WORKDAY(Main[[#This Row],[Tech Start Date]],15),IF(Main[[#This Row],[Class]]="A",WORKDAY(Main[[#This Row],[Tech Start Date]],5),""))))</f>
        <v/>
      </c>
      <c r="P907" s="77" t="str">
        <f>IF(Main[[#This Row],[Tech Start Date]]&lt;1/1/1990,"",IF(Main[[#This Row],[Class]]="C",WORKDAY(Main[[#This Row],[Tech Start Date]],28),IF(Main[[#This Row],[Class]]="B", WORKDAY(Main[[#This Row],[Tech Start Date]],19),IF(Main[[#This Row],[Class]]="A",WORKDAY(Main[[#This Row],[Tech Start Date]],9),""))))</f>
        <v/>
      </c>
      <c r="Q907" s="74">
        <v>40466</v>
      </c>
      <c r="R907" s="74"/>
      <c r="S907" s="72" t="s">
        <v>6</v>
      </c>
      <c r="T907" s="80" t="s">
        <v>4</v>
      </c>
      <c r="U907" s="72" t="s">
        <v>14</v>
      </c>
      <c r="V907" s="72" t="s">
        <v>1932</v>
      </c>
      <c r="W907" s="72" t="s">
        <v>1936</v>
      </c>
      <c r="X907" s="72" t="s">
        <v>918</v>
      </c>
      <c r="Y907" s="72" t="s">
        <v>3104</v>
      </c>
      <c r="Z907" s="72" t="s">
        <v>129</v>
      </c>
      <c r="AA907" s="147" t="s">
        <v>918</v>
      </c>
    </row>
    <row r="908" spans="1:27" ht="18.600000000000001" customHeight="1">
      <c r="A908" s="140" t="str">
        <f>IF(priority(Main[[#This Row],[Comments]])&lt;&gt;0, priority(Main[[#This Row],[Comments]]),"")</f>
        <v/>
      </c>
      <c r="B908" s="90" t="s">
        <v>3745</v>
      </c>
      <c r="C908" s="72" t="s">
        <v>53</v>
      </c>
      <c r="D908" s="73" t="s">
        <v>3746</v>
      </c>
      <c r="E908" s="74">
        <v>40949.374872685185</v>
      </c>
      <c r="F908" s="74"/>
      <c r="G908" s="75" t="str">
        <f>IF(stdProdLT(Main[[#This Row],[Comments]])=0.1,"N/A",IF(stdProdLT(Main[[#This Row],[Comments]])=0,"",stdProdLT(Main[[#This Row],[Comments]])))</f>
        <v/>
      </c>
      <c r="H908" s="76" t="str">
        <f>IF(AND(Main[[#This Row],[In Stock Date]]&lt;&gt;"",Main[[#This Row],[Revised Due Date]]&lt;&gt;""),Main[[#This Row],[In Stock Date]]-Main[[#This Row],[Revised Due Date]],"")</f>
        <v/>
      </c>
      <c r="I908" s="72" t="s">
        <v>4</v>
      </c>
      <c r="J908" s="72" t="s">
        <v>4</v>
      </c>
      <c r="K908" s="72" t="s">
        <v>4</v>
      </c>
      <c r="L908" s="74"/>
      <c r="M908" s="77" t="str">
        <f>IF(Main[[#This Row],[Tech Start Date]]&lt;1/1/1990,"",IF(Main[[#This Row],[Class]]="C",WORKDAY(Main[[#This Row],[Tech Start Date]],9),IF(Main[[#This Row],[Class]]="B", WORKDAY(Main[[#This Row],[Tech Start Date]],6),IF(Main[[#This Row],[Class]]="A",WORKDAY(Main[[#This Row],[Tech Start Date]],2),""))))</f>
        <v/>
      </c>
      <c r="N908" s="77" t="str">
        <f>IF(Main[[#This Row],[Tech Start Date]]&lt;1/1/1990,"",IF(Main[[#This Row],[Class]]="C",WORKDAY(Main[[#This Row],[Tech Start Date]],19),IF(Main[[#This Row],[Class]]="B", WORKDAY(Main[[#This Row],[Tech Start Date]],12),IF(Main[[#This Row],[Class]]="A",WORKDAY(Main[[#This Row],[Tech Start Date]],4),""))))</f>
        <v/>
      </c>
      <c r="O908" s="77" t="str">
        <f>IF(Main[[#This Row],[Tech Start Date]]&lt;1/1/1990,"",IF(Main[[#This Row],[Class]]="C",WORKDAY(Main[[#This Row],[Tech Start Date]],23),IF(Main[[#This Row],[Class]]="B", WORKDAY(Main[[#This Row],[Tech Start Date]],15),IF(Main[[#This Row],[Class]]="A",WORKDAY(Main[[#This Row],[Tech Start Date]],5),""))))</f>
        <v/>
      </c>
      <c r="P908" s="77" t="str">
        <f>IF(Main[[#This Row],[Tech Start Date]]&lt;1/1/1990,"",IF(Main[[#This Row],[Class]]="C",WORKDAY(Main[[#This Row],[Tech Start Date]],28),IF(Main[[#This Row],[Class]]="B", WORKDAY(Main[[#This Row],[Tech Start Date]],19),IF(Main[[#This Row],[Class]]="A",WORKDAY(Main[[#This Row],[Tech Start Date]],9),""))))</f>
        <v/>
      </c>
      <c r="Q908" s="74">
        <v>40956</v>
      </c>
      <c r="R908" s="74"/>
      <c r="S908" s="72" t="s">
        <v>11</v>
      </c>
      <c r="T908" s="80" t="s">
        <v>4</v>
      </c>
      <c r="U908" s="72" t="s">
        <v>7</v>
      </c>
      <c r="V908" s="72" t="s">
        <v>1933</v>
      </c>
      <c r="W908" s="72" t="s">
        <v>1934</v>
      </c>
      <c r="X908" s="72" t="s">
        <v>2899</v>
      </c>
      <c r="Y908" s="72" t="s">
        <v>4</v>
      </c>
      <c r="Z908" s="72" t="s">
        <v>4</v>
      </c>
      <c r="AA908" s="147" t="s">
        <v>2899</v>
      </c>
    </row>
    <row r="909" spans="1:27" ht="18.600000000000001" customHeight="1">
      <c r="A909" s="140" t="str">
        <f>IF(priority(Main[[#This Row],[Comments]])&lt;&gt;0, priority(Main[[#This Row],[Comments]]),"")</f>
        <v/>
      </c>
      <c r="B909" s="90" t="s">
        <v>1753</v>
      </c>
      <c r="C909" s="72" t="s">
        <v>4</v>
      </c>
      <c r="D909" s="73" t="s">
        <v>435</v>
      </c>
      <c r="E909" s="74"/>
      <c r="F909" s="74"/>
      <c r="G909" s="75" t="str">
        <f>IF(stdProdLT(Main[[#This Row],[Comments]])=0.1,"N/A",IF(stdProdLT(Main[[#This Row],[Comments]])=0,"",stdProdLT(Main[[#This Row],[Comments]])))</f>
        <v/>
      </c>
      <c r="H909" s="76" t="str">
        <f>IF(AND(Main[[#This Row],[In Stock Date]]&lt;&gt;"",Main[[#This Row],[Revised Due Date]]&lt;&gt;""),Main[[#This Row],[In Stock Date]]-Main[[#This Row],[Revised Due Date]],"")</f>
        <v/>
      </c>
      <c r="I909" s="72" t="s">
        <v>4</v>
      </c>
      <c r="J909" s="72" t="s">
        <v>4</v>
      </c>
      <c r="K909" s="81" t="s">
        <v>4</v>
      </c>
      <c r="L909" s="74"/>
      <c r="M909" s="77" t="str">
        <f>IF(Main[[#This Row],[Tech Start Date]]&lt;1/1/1990,"",IF(Main[[#This Row],[Class]]="C",WORKDAY(Main[[#This Row],[Tech Start Date]],9),IF(Main[[#This Row],[Class]]="B", WORKDAY(Main[[#This Row],[Tech Start Date]],6),IF(Main[[#This Row],[Class]]="A",WORKDAY(Main[[#This Row],[Tech Start Date]],2),""))))</f>
        <v/>
      </c>
      <c r="N909" s="77" t="str">
        <f>IF(Main[[#This Row],[Tech Start Date]]&lt;1/1/1990,"",IF(Main[[#This Row],[Class]]="C",WORKDAY(Main[[#This Row],[Tech Start Date]],19),IF(Main[[#This Row],[Class]]="B", WORKDAY(Main[[#This Row],[Tech Start Date]],12),IF(Main[[#This Row],[Class]]="A",WORKDAY(Main[[#This Row],[Tech Start Date]],4),""))))</f>
        <v/>
      </c>
      <c r="O909" s="77" t="str">
        <f>IF(Main[[#This Row],[Tech Start Date]]&lt;1/1/1990,"",IF(Main[[#This Row],[Class]]="C",WORKDAY(Main[[#This Row],[Tech Start Date]],23),IF(Main[[#This Row],[Class]]="B", WORKDAY(Main[[#This Row],[Tech Start Date]],15),IF(Main[[#This Row],[Class]]="A",WORKDAY(Main[[#This Row],[Tech Start Date]],5),""))))</f>
        <v/>
      </c>
      <c r="P909" s="77" t="str">
        <f>IF(Main[[#This Row],[Tech Start Date]]&lt;1/1/1990,"",IF(Main[[#This Row],[Class]]="C",WORKDAY(Main[[#This Row],[Tech Start Date]],28),IF(Main[[#This Row],[Class]]="B", WORKDAY(Main[[#This Row],[Tech Start Date]],19),IF(Main[[#This Row],[Class]]="A",WORKDAY(Main[[#This Row],[Tech Start Date]],9),""))))</f>
        <v/>
      </c>
      <c r="Q909" s="74"/>
      <c r="R909" s="74"/>
      <c r="S909" s="72" t="s">
        <v>6</v>
      </c>
      <c r="T909" s="80" t="s">
        <v>4</v>
      </c>
      <c r="U909" s="72" t="s">
        <v>14</v>
      </c>
      <c r="V909" s="72" t="s">
        <v>1935</v>
      </c>
      <c r="W909" s="72" t="s">
        <v>1936</v>
      </c>
      <c r="X909" s="72" t="s">
        <v>30</v>
      </c>
      <c r="Y909" s="72" t="s">
        <v>3044</v>
      </c>
      <c r="Z909" s="72" t="s">
        <v>4</v>
      </c>
      <c r="AA909" s="147" t="s">
        <v>30</v>
      </c>
    </row>
    <row r="910" spans="1:27" ht="18.600000000000001" customHeight="1">
      <c r="A910" s="140" t="str">
        <f>IF(priority(Main[[#This Row],[Comments]])&lt;&gt;0, priority(Main[[#This Row],[Comments]]),"")</f>
        <v/>
      </c>
      <c r="B910" s="90" t="s">
        <v>1754</v>
      </c>
      <c r="C910" s="72" t="s">
        <v>441</v>
      </c>
      <c r="D910" s="73" t="s">
        <v>799</v>
      </c>
      <c r="E910" s="74"/>
      <c r="F910" s="74"/>
      <c r="G910" s="75" t="str">
        <f>IF(stdProdLT(Main[[#This Row],[Comments]])=0.1,"N/A",IF(stdProdLT(Main[[#This Row],[Comments]])=0,"",stdProdLT(Main[[#This Row],[Comments]])))</f>
        <v/>
      </c>
      <c r="H910" s="76" t="str">
        <f>IF(AND(Main[[#This Row],[In Stock Date]]&lt;&gt;"",Main[[#This Row],[Revised Due Date]]&lt;&gt;""),Main[[#This Row],[In Stock Date]]-Main[[#This Row],[Revised Due Date]],"")</f>
        <v/>
      </c>
      <c r="I910" s="72" t="s">
        <v>4</v>
      </c>
      <c r="J910" s="72" t="s">
        <v>4</v>
      </c>
      <c r="K910" s="72" t="s">
        <v>4</v>
      </c>
      <c r="L910" s="74"/>
      <c r="M910" s="77" t="str">
        <f>IF(Main[[#This Row],[Tech Start Date]]&lt;1/1/1990,"",IF(Main[[#This Row],[Class]]="C",WORKDAY(Main[[#This Row],[Tech Start Date]],9),IF(Main[[#This Row],[Class]]="B", WORKDAY(Main[[#This Row],[Tech Start Date]],6),IF(Main[[#This Row],[Class]]="A",WORKDAY(Main[[#This Row],[Tech Start Date]],2),""))))</f>
        <v/>
      </c>
      <c r="N910" s="77" t="str">
        <f>IF(Main[[#This Row],[Tech Start Date]]&lt;1/1/1990,"",IF(Main[[#This Row],[Class]]="C",WORKDAY(Main[[#This Row],[Tech Start Date]],19),IF(Main[[#This Row],[Class]]="B", WORKDAY(Main[[#This Row],[Tech Start Date]],12),IF(Main[[#This Row],[Class]]="A",WORKDAY(Main[[#This Row],[Tech Start Date]],4),""))))</f>
        <v/>
      </c>
      <c r="O910" s="77" t="str">
        <f>IF(Main[[#This Row],[Tech Start Date]]&lt;1/1/1990,"",IF(Main[[#This Row],[Class]]="C",WORKDAY(Main[[#This Row],[Tech Start Date]],23),IF(Main[[#This Row],[Class]]="B", WORKDAY(Main[[#This Row],[Tech Start Date]],15),IF(Main[[#This Row],[Class]]="A",WORKDAY(Main[[#This Row],[Tech Start Date]],5),""))))</f>
        <v/>
      </c>
      <c r="P910" s="77" t="str">
        <f>IF(Main[[#This Row],[Tech Start Date]]&lt;1/1/1990,"",IF(Main[[#This Row],[Class]]="C",WORKDAY(Main[[#This Row],[Tech Start Date]],28),IF(Main[[#This Row],[Class]]="B", WORKDAY(Main[[#This Row],[Tech Start Date]],19),IF(Main[[#This Row],[Class]]="A",WORKDAY(Main[[#This Row],[Tech Start Date]],9),""))))</f>
        <v/>
      </c>
      <c r="Q910" s="74"/>
      <c r="R910" s="74"/>
      <c r="S910" s="72" t="s">
        <v>11</v>
      </c>
      <c r="T910" s="80" t="s">
        <v>4</v>
      </c>
      <c r="U910" s="72" t="s">
        <v>14</v>
      </c>
      <c r="V910" s="72" t="s">
        <v>1932</v>
      </c>
      <c r="W910" s="72" t="s">
        <v>1940</v>
      </c>
      <c r="X910" s="72" t="s">
        <v>2937</v>
      </c>
      <c r="Y910" s="72" t="s">
        <v>3078</v>
      </c>
      <c r="Z910" s="72" t="s">
        <v>4</v>
      </c>
      <c r="AA910" s="147" t="s">
        <v>2937</v>
      </c>
    </row>
    <row r="911" spans="1:27" ht="18.600000000000001" customHeight="1">
      <c r="A911" s="140" t="str">
        <f>IF(priority(Main[[#This Row],[Comments]])&lt;&gt;0, priority(Main[[#This Row],[Comments]]),"")</f>
        <v/>
      </c>
      <c r="B911" s="90" t="s">
        <v>1755</v>
      </c>
      <c r="C911" s="72" t="s">
        <v>4</v>
      </c>
      <c r="D911" s="73" t="s">
        <v>800</v>
      </c>
      <c r="E911" s="74">
        <v>40479.428263888891</v>
      </c>
      <c r="F911" s="74"/>
      <c r="G911" s="75" t="str">
        <f>IF(stdProdLT(Main[[#This Row],[Comments]])=0.1,"N/A",IF(stdProdLT(Main[[#This Row],[Comments]])=0,"",stdProdLT(Main[[#This Row],[Comments]])))</f>
        <v/>
      </c>
      <c r="H911" s="76" t="str">
        <f>IF(AND(Main[[#This Row],[In Stock Date]]&lt;&gt;"",Main[[#This Row],[Revised Due Date]]&lt;&gt;""),Main[[#This Row],[In Stock Date]]-Main[[#This Row],[Revised Due Date]],"")</f>
        <v/>
      </c>
      <c r="I911" s="72" t="s">
        <v>30</v>
      </c>
      <c r="J911" s="72" t="s">
        <v>28</v>
      </c>
      <c r="K911" s="72" t="s">
        <v>1941</v>
      </c>
      <c r="L911" s="74"/>
      <c r="M911" s="77" t="str">
        <f>IF(Main[[#This Row],[Tech Start Date]]&lt;1/1/1990,"",IF(Main[[#This Row],[Class]]="C",WORKDAY(Main[[#This Row],[Tech Start Date]],9),IF(Main[[#This Row],[Class]]="B", WORKDAY(Main[[#This Row],[Tech Start Date]],6),IF(Main[[#This Row],[Class]]="A",WORKDAY(Main[[#This Row],[Tech Start Date]],2),""))))</f>
        <v/>
      </c>
      <c r="N911" s="77" t="str">
        <f>IF(Main[[#This Row],[Tech Start Date]]&lt;1/1/1990,"",IF(Main[[#This Row],[Class]]="C",WORKDAY(Main[[#This Row],[Tech Start Date]],19),IF(Main[[#This Row],[Class]]="B", WORKDAY(Main[[#This Row],[Tech Start Date]],12),IF(Main[[#This Row],[Class]]="A",WORKDAY(Main[[#This Row],[Tech Start Date]],4),""))))</f>
        <v/>
      </c>
      <c r="O911" s="77" t="str">
        <f>IF(Main[[#This Row],[Tech Start Date]]&lt;1/1/1990,"",IF(Main[[#This Row],[Class]]="C",WORKDAY(Main[[#This Row],[Tech Start Date]],23),IF(Main[[#This Row],[Class]]="B", WORKDAY(Main[[#This Row],[Tech Start Date]],15),IF(Main[[#This Row],[Class]]="A",WORKDAY(Main[[#This Row],[Tech Start Date]],5),""))))</f>
        <v/>
      </c>
      <c r="P911" s="77" t="str">
        <f>IF(Main[[#This Row],[Tech Start Date]]&lt;1/1/1990,"",IF(Main[[#This Row],[Class]]="C",WORKDAY(Main[[#This Row],[Tech Start Date]],28),IF(Main[[#This Row],[Class]]="B", WORKDAY(Main[[#This Row],[Tech Start Date]],19),IF(Main[[#This Row],[Class]]="A",WORKDAY(Main[[#This Row],[Tech Start Date]],9),""))))</f>
        <v/>
      </c>
      <c r="Q911" s="74">
        <v>40512</v>
      </c>
      <c r="R911" s="74"/>
      <c r="S911" s="72" t="s">
        <v>6</v>
      </c>
      <c r="T911" s="80" t="s">
        <v>4</v>
      </c>
      <c r="U911" s="72" t="s">
        <v>539</v>
      </c>
      <c r="V911" s="72" t="s">
        <v>1935</v>
      </c>
      <c r="W911" s="72" t="s">
        <v>1936</v>
      </c>
      <c r="X911" s="72" t="s">
        <v>2975</v>
      </c>
      <c r="Y911" s="72" t="s">
        <v>3190</v>
      </c>
      <c r="Z911" s="72" t="s">
        <v>30</v>
      </c>
      <c r="AA911" s="147" t="s">
        <v>2975</v>
      </c>
    </row>
    <row r="912" spans="1:27" ht="18.600000000000001" customHeight="1">
      <c r="A912" s="140" t="str">
        <f>IF(priority(Main[[#This Row],[Comments]])&lt;&gt;0, priority(Main[[#This Row],[Comments]]),"")</f>
        <v/>
      </c>
      <c r="B912" s="90" t="s">
        <v>2799</v>
      </c>
      <c r="C912" s="72" t="s">
        <v>4</v>
      </c>
      <c r="D912" s="73" t="s">
        <v>2800</v>
      </c>
      <c r="E912" s="74">
        <v>40897.524594907409</v>
      </c>
      <c r="F912" s="74"/>
      <c r="G912" s="75" t="str">
        <f>IF(stdProdLT(Main[[#This Row],[Comments]])=0.1,"N/A",IF(stdProdLT(Main[[#This Row],[Comments]])=0,"",stdProdLT(Main[[#This Row],[Comments]])))</f>
        <v/>
      </c>
      <c r="H912" s="76" t="str">
        <f>IF(AND(Main[[#This Row],[In Stock Date]]&lt;&gt;"",Main[[#This Row],[Revised Due Date]]&lt;&gt;""),Main[[#This Row],[In Stock Date]]-Main[[#This Row],[Revised Due Date]],"")</f>
        <v/>
      </c>
      <c r="I912" s="72" t="s">
        <v>69</v>
      </c>
      <c r="J912" s="72" t="s">
        <v>28</v>
      </c>
      <c r="K912" s="81" t="s">
        <v>1941</v>
      </c>
      <c r="L912" s="74"/>
      <c r="M912" s="77" t="str">
        <f>IF(Main[[#This Row],[Tech Start Date]]&lt;1/1/1990,"",IF(Main[[#This Row],[Class]]="C",WORKDAY(Main[[#This Row],[Tech Start Date]],9),IF(Main[[#This Row],[Class]]="B", WORKDAY(Main[[#This Row],[Tech Start Date]],6),IF(Main[[#This Row],[Class]]="A",WORKDAY(Main[[#This Row],[Tech Start Date]],2),""))))</f>
        <v/>
      </c>
      <c r="N912" s="77" t="str">
        <f>IF(Main[[#This Row],[Tech Start Date]]&lt;1/1/1990,"",IF(Main[[#This Row],[Class]]="C",WORKDAY(Main[[#This Row],[Tech Start Date]],19),IF(Main[[#This Row],[Class]]="B", WORKDAY(Main[[#This Row],[Tech Start Date]],12),IF(Main[[#This Row],[Class]]="A",WORKDAY(Main[[#This Row],[Tech Start Date]],4),""))))</f>
        <v/>
      </c>
      <c r="O912" s="77" t="str">
        <f>IF(Main[[#This Row],[Tech Start Date]]&lt;1/1/1990,"",IF(Main[[#This Row],[Class]]="C",WORKDAY(Main[[#This Row],[Tech Start Date]],23),IF(Main[[#This Row],[Class]]="B", WORKDAY(Main[[#This Row],[Tech Start Date]],15),IF(Main[[#This Row],[Class]]="A",WORKDAY(Main[[#This Row],[Tech Start Date]],5),""))))</f>
        <v/>
      </c>
      <c r="P912" s="77" t="str">
        <f>IF(Main[[#This Row],[Tech Start Date]]&lt;1/1/1990,"",IF(Main[[#This Row],[Class]]="C",WORKDAY(Main[[#This Row],[Tech Start Date]],28),IF(Main[[#This Row],[Class]]="B", WORKDAY(Main[[#This Row],[Tech Start Date]],19),IF(Main[[#This Row],[Class]]="A",WORKDAY(Main[[#This Row],[Tech Start Date]],9),""))))</f>
        <v/>
      </c>
      <c r="Q912" s="74">
        <v>40966</v>
      </c>
      <c r="R912" s="74"/>
      <c r="S912" s="72" t="s">
        <v>6</v>
      </c>
      <c r="T912" s="80" t="s">
        <v>4</v>
      </c>
      <c r="U912" s="72" t="s">
        <v>29</v>
      </c>
      <c r="V912" s="72" t="s">
        <v>1942</v>
      </c>
      <c r="W912" s="72" t="s">
        <v>1936</v>
      </c>
      <c r="X912" s="72" t="s">
        <v>2950</v>
      </c>
      <c r="Y912" s="72" t="s">
        <v>3087</v>
      </c>
      <c r="Z912" s="72" t="s">
        <v>30</v>
      </c>
      <c r="AA912" s="147" t="s">
        <v>2950</v>
      </c>
    </row>
    <row r="913" spans="1:27" ht="18.600000000000001" customHeight="1">
      <c r="A913" s="140" t="str">
        <f>IF(priority(Main[[#This Row],[Comments]])&lt;&gt;0, priority(Main[[#This Row],[Comments]]),"")</f>
        <v/>
      </c>
      <c r="B913" s="90" t="s">
        <v>1756</v>
      </c>
      <c r="C913" s="72" t="s">
        <v>4</v>
      </c>
      <c r="D913" s="73" t="s">
        <v>39</v>
      </c>
      <c r="E913" s="74"/>
      <c r="F913" s="74"/>
      <c r="G913" s="75" t="str">
        <f>IF(stdProdLT(Main[[#This Row],[Comments]])=0.1,"N/A",IF(stdProdLT(Main[[#This Row],[Comments]])=0,"",stdProdLT(Main[[#This Row],[Comments]])))</f>
        <v/>
      </c>
      <c r="H913" s="76" t="str">
        <f>IF(AND(Main[[#This Row],[In Stock Date]]&lt;&gt;"",Main[[#This Row],[Revised Due Date]]&lt;&gt;""),Main[[#This Row],[In Stock Date]]-Main[[#This Row],[Revised Due Date]],"")</f>
        <v/>
      </c>
      <c r="I913" s="72" t="s">
        <v>4</v>
      </c>
      <c r="J913" s="72" t="s">
        <v>4</v>
      </c>
      <c r="K913" s="72" t="s">
        <v>4</v>
      </c>
      <c r="L913" s="74"/>
      <c r="M913" s="77" t="str">
        <f>IF(Main[[#This Row],[Tech Start Date]]&lt;1/1/1990,"",IF(Main[[#This Row],[Class]]="C",WORKDAY(Main[[#This Row],[Tech Start Date]],9),IF(Main[[#This Row],[Class]]="B", WORKDAY(Main[[#This Row],[Tech Start Date]],6),IF(Main[[#This Row],[Class]]="A",WORKDAY(Main[[#This Row],[Tech Start Date]],2),""))))</f>
        <v/>
      </c>
      <c r="N913" s="77" t="str">
        <f>IF(Main[[#This Row],[Tech Start Date]]&lt;1/1/1990,"",IF(Main[[#This Row],[Class]]="C",WORKDAY(Main[[#This Row],[Tech Start Date]],19),IF(Main[[#This Row],[Class]]="B", WORKDAY(Main[[#This Row],[Tech Start Date]],12),IF(Main[[#This Row],[Class]]="A",WORKDAY(Main[[#This Row],[Tech Start Date]],4),""))))</f>
        <v/>
      </c>
      <c r="O913" s="77" t="str">
        <f>IF(Main[[#This Row],[Tech Start Date]]&lt;1/1/1990,"",IF(Main[[#This Row],[Class]]="C",WORKDAY(Main[[#This Row],[Tech Start Date]],23),IF(Main[[#This Row],[Class]]="B", WORKDAY(Main[[#This Row],[Tech Start Date]],15),IF(Main[[#This Row],[Class]]="A",WORKDAY(Main[[#This Row],[Tech Start Date]],5),""))))</f>
        <v/>
      </c>
      <c r="P913" s="77" t="str">
        <f>IF(Main[[#This Row],[Tech Start Date]]&lt;1/1/1990,"",IF(Main[[#This Row],[Class]]="C",WORKDAY(Main[[#This Row],[Tech Start Date]],28),IF(Main[[#This Row],[Class]]="B", WORKDAY(Main[[#This Row],[Tech Start Date]],19),IF(Main[[#This Row],[Class]]="A",WORKDAY(Main[[#This Row],[Tech Start Date]],9),""))))</f>
        <v/>
      </c>
      <c r="Q913" s="74">
        <v>40669</v>
      </c>
      <c r="R913" s="74"/>
      <c r="S913" s="72" t="s">
        <v>6</v>
      </c>
      <c r="T913" s="80" t="s">
        <v>4</v>
      </c>
      <c r="U913" s="72" t="s">
        <v>14</v>
      </c>
      <c r="V913" s="72" t="s">
        <v>1935</v>
      </c>
      <c r="W913" s="72" t="s">
        <v>4</v>
      </c>
      <c r="X913" s="72" t="s">
        <v>2902</v>
      </c>
      <c r="Y913" s="72" t="s">
        <v>3016</v>
      </c>
      <c r="Z913" s="72" t="s">
        <v>4</v>
      </c>
      <c r="AA913" s="147" t="s">
        <v>2902</v>
      </c>
    </row>
    <row r="914" spans="1:27" ht="18.600000000000001" customHeight="1">
      <c r="A914" s="140" t="str">
        <f>IF(priority(Main[[#This Row],[Comments]])&lt;&gt;0, priority(Main[[#This Row],[Comments]]),"")</f>
        <v/>
      </c>
      <c r="B914" s="90" t="s">
        <v>1757</v>
      </c>
      <c r="C914" s="72" t="s">
        <v>4</v>
      </c>
      <c r="D914" s="73" t="s">
        <v>801</v>
      </c>
      <c r="E914" s="74"/>
      <c r="F914" s="74"/>
      <c r="G914" s="75" t="str">
        <f>IF(stdProdLT(Main[[#This Row],[Comments]])=0.1,"N/A",IF(stdProdLT(Main[[#This Row],[Comments]])=0,"",stdProdLT(Main[[#This Row],[Comments]])))</f>
        <v/>
      </c>
      <c r="H914" s="76" t="str">
        <f>IF(AND(Main[[#This Row],[In Stock Date]]&lt;&gt;"",Main[[#This Row],[Revised Due Date]]&lt;&gt;""),Main[[#This Row],[In Stock Date]]-Main[[#This Row],[Revised Due Date]],"")</f>
        <v/>
      </c>
      <c r="I914" s="72" t="s">
        <v>4</v>
      </c>
      <c r="J914" s="72" t="s">
        <v>4</v>
      </c>
      <c r="K914" s="72" t="s">
        <v>4</v>
      </c>
      <c r="L914" s="74"/>
      <c r="M914" s="77" t="str">
        <f>IF(Main[[#This Row],[Tech Start Date]]&lt;1/1/1990,"",IF(Main[[#This Row],[Class]]="C",WORKDAY(Main[[#This Row],[Tech Start Date]],9),IF(Main[[#This Row],[Class]]="B", WORKDAY(Main[[#This Row],[Tech Start Date]],6),IF(Main[[#This Row],[Class]]="A",WORKDAY(Main[[#This Row],[Tech Start Date]],2),""))))</f>
        <v/>
      </c>
      <c r="N914" s="77" t="str">
        <f>IF(Main[[#This Row],[Tech Start Date]]&lt;1/1/1990,"",IF(Main[[#This Row],[Class]]="C",WORKDAY(Main[[#This Row],[Tech Start Date]],19),IF(Main[[#This Row],[Class]]="B", WORKDAY(Main[[#This Row],[Tech Start Date]],12),IF(Main[[#This Row],[Class]]="A",WORKDAY(Main[[#This Row],[Tech Start Date]],4),""))))</f>
        <v/>
      </c>
      <c r="O914" s="77" t="str">
        <f>IF(Main[[#This Row],[Tech Start Date]]&lt;1/1/1990,"",IF(Main[[#This Row],[Class]]="C",WORKDAY(Main[[#This Row],[Tech Start Date]],23),IF(Main[[#This Row],[Class]]="B", WORKDAY(Main[[#This Row],[Tech Start Date]],15),IF(Main[[#This Row],[Class]]="A",WORKDAY(Main[[#This Row],[Tech Start Date]],5),""))))</f>
        <v/>
      </c>
      <c r="P914" s="77" t="str">
        <f>IF(Main[[#This Row],[Tech Start Date]]&lt;1/1/1990,"",IF(Main[[#This Row],[Class]]="C",WORKDAY(Main[[#This Row],[Tech Start Date]],28),IF(Main[[#This Row],[Class]]="B", WORKDAY(Main[[#This Row],[Tech Start Date]],19),IF(Main[[#This Row],[Class]]="A",WORKDAY(Main[[#This Row],[Tech Start Date]],9),""))))</f>
        <v/>
      </c>
      <c r="Q914" s="74"/>
      <c r="R914" s="74"/>
      <c r="S914" s="72" t="s">
        <v>17</v>
      </c>
      <c r="T914" s="80" t="s">
        <v>4</v>
      </c>
      <c r="U914" s="72" t="s">
        <v>14</v>
      </c>
      <c r="V914" s="72" t="s">
        <v>1935</v>
      </c>
      <c r="W914" s="72" t="s">
        <v>4</v>
      </c>
      <c r="X914" s="72" t="s">
        <v>310</v>
      </c>
      <c r="Y914" s="72" t="s">
        <v>4</v>
      </c>
      <c r="Z914" s="72" t="s">
        <v>4</v>
      </c>
      <c r="AA914" s="147" t="s">
        <v>659</v>
      </c>
    </row>
    <row r="915" spans="1:27" ht="18.600000000000001" customHeight="1">
      <c r="A915" s="140" t="str">
        <f>IF(priority(Main[[#This Row],[Comments]])&lt;&gt;0, priority(Main[[#This Row],[Comments]]),"")</f>
        <v/>
      </c>
      <c r="B915" s="90" t="s">
        <v>1504</v>
      </c>
      <c r="C915" s="72" t="s">
        <v>37</v>
      </c>
      <c r="D915" s="73" t="s">
        <v>2423</v>
      </c>
      <c r="E915" s="74">
        <v>40682.490115740744</v>
      </c>
      <c r="F915" s="74"/>
      <c r="G915" s="75" t="str">
        <f>IF(stdProdLT(Main[[#This Row],[Comments]])=0.1,"N/A",IF(stdProdLT(Main[[#This Row],[Comments]])=0,"",stdProdLT(Main[[#This Row],[Comments]])))</f>
        <v/>
      </c>
      <c r="H915" s="76" t="str">
        <f>IF(AND(Main[[#This Row],[In Stock Date]]&lt;&gt;"",Main[[#This Row],[Revised Due Date]]&lt;&gt;""),Main[[#This Row],[In Stock Date]]-Main[[#This Row],[Revised Due Date]],"")</f>
        <v/>
      </c>
      <c r="I915" s="72" t="s">
        <v>4</v>
      </c>
      <c r="J915" s="72" t="s">
        <v>4</v>
      </c>
      <c r="K915" s="72" t="s">
        <v>4</v>
      </c>
      <c r="L915" s="74"/>
      <c r="M915" s="77" t="str">
        <f>IF(Main[[#This Row],[Tech Start Date]]&lt;1/1/1990,"",IF(Main[[#This Row],[Class]]="C",WORKDAY(Main[[#This Row],[Tech Start Date]],9),IF(Main[[#This Row],[Class]]="B", WORKDAY(Main[[#This Row],[Tech Start Date]],6),IF(Main[[#This Row],[Class]]="A",WORKDAY(Main[[#This Row],[Tech Start Date]],2),""))))</f>
        <v/>
      </c>
      <c r="N915" s="77" t="str">
        <f>IF(Main[[#This Row],[Tech Start Date]]&lt;1/1/1990,"",IF(Main[[#This Row],[Class]]="C",WORKDAY(Main[[#This Row],[Tech Start Date]],19),IF(Main[[#This Row],[Class]]="B", WORKDAY(Main[[#This Row],[Tech Start Date]],12),IF(Main[[#This Row],[Class]]="A",WORKDAY(Main[[#This Row],[Tech Start Date]],4),""))))</f>
        <v/>
      </c>
      <c r="O915" s="77" t="str">
        <f>IF(Main[[#This Row],[Tech Start Date]]&lt;1/1/1990,"",IF(Main[[#This Row],[Class]]="C",WORKDAY(Main[[#This Row],[Tech Start Date]],23),IF(Main[[#This Row],[Class]]="B", WORKDAY(Main[[#This Row],[Tech Start Date]],15),IF(Main[[#This Row],[Class]]="A",WORKDAY(Main[[#This Row],[Tech Start Date]],5),""))))</f>
        <v/>
      </c>
      <c r="P915" s="77" t="str">
        <f>IF(Main[[#This Row],[Tech Start Date]]&lt;1/1/1990,"",IF(Main[[#This Row],[Class]]="C",WORKDAY(Main[[#This Row],[Tech Start Date]],28),IF(Main[[#This Row],[Class]]="B", WORKDAY(Main[[#This Row],[Tech Start Date]],19),IF(Main[[#This Row],[Class]]="A",WORKDAY(Main[[#This Row],[Tech Start Date]],9),""))))</f>
        <v/>
      </c>
      <c r="Q915" s="74">
        <v>40703</v>
      </c>
      <c r="R915" s="74"/>
      <c r="S915" s="72" t="s">
        <v>6</v>
      </c>
      <c r="T915" s="80" t="s">
        <v>4</v>
      </c>
      <c r="U915" s="72" t="s">
        <v>7</v>
      </c>
      <c r="V915" s="72" t="s">
        <v>1932</v>
      </c>
      <c r="W915" s="72" t="s">
        <v>1943</v>
      </c>
      <c r="X915" s="72" t="s">
        <v>982</v>
      </c>
      <c r="Y915" s="72" t="s">
        <v>3184</v>
      </c>
      <c r="Z915" s="72" t="s">
        <v>4</v>
      </c>
      <c r="AA915" s="147" t="s">
        <v>982</v>
      </c>
    </row>
    <row r="916" spans="1:27" ht="18.600000000000001" customHeight="1">
      <c r="A916" s="140" t="str">
        <f>IF(priority(Main[[#This Row],[Comments]])&lt;&gt;0, priority(Main[[#This Row],[Comments]]),"")</f>
        <v/>
      </c>
      <c r="B916" s="90" t="s">
        <v>1759</v>
      </c>
      <c r="C916" s="72" t="s">
        <v>4</v>
      </c>
      <c r="D916" s="73" t="s">
        <v>690</v>
      </c>
      <c r="E916" s="74"/>
      <c r="F916" s="74"/>
      <c r="G916" s="75" t="str">
        <f>IF(stdProdLT(Main[[#This Row],[Comments]])=0.1,"N/A",IF(stdProdLT(Main[[#This Row],[Comments]])=0,"",stdProdLT(Main[[#This Row],[Comments]])))</f>
        <v/>
      </c>
      <c r="H916" s="76" t="str">
        <f>IF(AND(Main[[#This Row],[In Stock Date]]&lt;&gt;"",Main[[#This Row],[Revised Due Date]]&lt;&gt;""),Main[[#This Row],[In Stock Date]]-Main[[#This Row],[Revised Due Date]],"")</f>
        <v/>
      </c>
      <c r="I916" s="72" t="s">
        <v>4</v>
      </c>
      <c r="J916" s="72" t="s">
        <v>4</v>
      </c>
      <c r="K916" s="72" t="s">
        <v>4</v>
      </c>
      <c r="L916" s="74"/>
      <c r="M916" s="77" t="str">
        <f>IF(Main[[#This Row],[Tech Start Date]]&lt;1/1/1990,"",IF(Main[[#This Row],[Class]]="C",WORKDAY(Main[[#This Row],[Tech Start Date]],9),IF(Main[[#This Row],[Class]]="B", WORKDAY(Main[[#This Row],[Tech Start Date]],6),IF(Main[[#This Row],[Class]]="A",WORKDAY(Main[[#This Row],[Tech Start Date]],2),""))))</f>
        <v/>
      </c>
      <c r="N916" s="77" t="str">
        <f>IF(Main[[#This Row],[Tech Start Date]]&lt;1/1/1990,"",IF(Main[[#This Row],[Class]]="C",WORKDAY(Main[[#This Row],[Tech Start Date]],19),IF(Main[[#This Row],[Class]]="B", WORKDAY(Main[[#This Row],[Tech Start Date]],12),IF(Main[[#This Row],[Class]]="A",WORKDAY(Main[[#This Row],[Tech Start Date]],4),""))))</f>
        <v/>
      </c>
      <c r="O916" s="77" t="str">
        <f>IF(Main[[#This Row],[Tech Start Date]]&lt;1/1/1990,"",IF(Main[[#This Row],[Class]]="C",WORKDAY(Main[[#This Row],[Tech Start Date]],23),IF(Main[[#This Row],[Class]]="B", WORKDAY(Main[[#This Row],[Tech Start Date]],15),IF(Main[[#This Row],[Class]]="A",WORKDAY(Main[[#This Row],[Tech Start Date]],5),""))))</f>
        <v/>
      </c>
      <c r="P916" s="77" t="str">
        <f>IF(Main[[#This Row],[Tech Start Date]]&lt;1/1/1990,"",IF(Main[[#This Row],[Class]]="C",WORKDAY(Main[[#This Row],[Tech Start Date]],28),IF(Main[[#This Row],[Class]]="B", WORKDAY(Main[[#This Row],[Tech Start Date]],19),IF(Main[[#This Row],[Class]]="A",WORKDAY(Main[[#This Row],[Tech Start Date]],9),""))))</f>
        <v/>
      </c>
      <c r="Q916" s="74"/>
      <c r="R916" s="74"/>
      <c r="S916" s="72" t="s">
        <v>23</v>
      </c>
      <c r="T916" s="80" t="s">
        <v>4</v>
      </c>
      <c r="U916" s="72" t="s">
        <v>14</v>
      </c>
      <c r="V916" s="72" t="s">
        <v>1935</v>
      </c>
      <c r="W916" s="72" t="s">
        <v>1936</v>
      </c>
      <c r="X916" s="72" t="s">
        <v>422</v>
      </c>
      <c r="Y916" s="72" t="s">
        <v>3191</v>
      </c>
      <c r="Z916" s="72" t="s">
        <v>4</v>
      </c>
      <c r="AA916" s="147" t="s">
        <v>3616</v>
      </c>
    </row>
    <row r="917" spans="1:27" ht="18.600000000000001" customHeight="1">
      <c r="A917" s="140" t="str">
        <f>IF(priority(Main[[#This Row],[Comments]])&lt;&gt;0, priority(Main[[#This Row],[Comments]]),"")</f>
        <v/>
      </c>
      <c r="B917" s="90" t="s">
        <v>1760</v>
      </c>
      <c r="C917" s="72" t="s">
        <v>31</v>
      </c>
      <c r="D917" s="73" t="s">
        <v>802</v>
      </c>
      <c r="E917" s="74"/>
      <c r="F917" s="74"/>
      <c r="G917" s="75" t="str">
        <f>IF(stdProdLT(Main[[#This Row],[Comments]])=0.1,"N/A",IF(stdProdLT(Main[[#This Row],[Comments]])=0,"",stdProdLT(Main[[#This Row],[Comments]])))</f>
        <v/>
      </c>
      <c r="H917" s="76" t="str">
        <f>IF(AND(Main[[#This Row],[In Stock Date]]&lt;&gt;"",Main[[#This Row],[Revised Due Date]]&lt;&gt;""),Main[[#This Row],[In Stock Date]]-Main[[#This Row],[Revised Due Date]],"")</f>
        <v/>
      </c>
      <c r="I917" s="72" t="s">
        <v>4</v>
      </c>
      <c r="J917" s="72" t="s">
        <v>4</v>
      </c>
      <c r="K917" s="72" t="s">
        <v>4</v>
      </c>
      <c r="L917" s="74"/>
      <c r="M917" s="77" t="str">
        <f>IF(Main[[#This Row],[Tech Start Date]]&lt;1/1/1990,"",IF(Main[[#This Row],[Class]]="C",WORKDAY(Main[[#This Row],[Tech Start Date]],9),IF(Main[[#This Row],[Class]]="B", WORKDAY(Main[[#This Row],[Tech Start Date]],6),IF(Main[[#This Row],[Class]]="A",WORKDAY(Main[[#This Row],[Tech Start Date]],2),""))))</f>
        <v/>
      </c>
      <c r="N917" s="77" t="str">
        <f>IF(Main[[#This Row],[Tech Start Date]]&lt;1/1/1990,"",IF(Main[[#This Row],[Class]]="C",WORKDAY(Main[[#This Row],[Tech Start Date]],19),IF(Main[[#This Row],[Class]]="B", WORKDAY(Main[[#This Row],[Tech Start Date]],12),IF(Main[[#This Row],[Class]]="A",WORKDAY(Main[[#This Row],[Tech Start Date]],4),""))))</f>
        <v/>
      </c>
      <c r="O917" s="77" t="str">
        <f>IF(Main[[#This Row],[Tech Start Date]]&lt;1/1/1990,"",IF(Main[[#This Row],[Class]]="C",WORKDAY(Main[[#This Row],[Tech Start Date]],23),IF(Main[[#This Row],[Class]]="B", WORKDAY(Main[[#This Row],[Tech Start Date]],15),IF(Main[[#This Row],[Class]]="A",WORKDAY(Main[[#This Row],[Tech Start Date]],5),""))))</f>
        <v/>
      </c>
      <c r="P917" s="77" t="str">
        <f>IF(Main[[#This Row],[Tech Start Date]]&lt;1/1/1990,"",IF(Main[[#This Row],[Class]]="C",WORKDAY(Main[[#This Row],[Tech Start Date]],28),IF(Main[[#This Row],[Class]]="B", WORKDAY(Main[[#This Row],[Tech Start Date]],19),IF(Main[[#This Row],[Class]]="A",WORKDAY(Main[[#This Row],[Tech Start Date]],9),""))))</f>
        <v/>
      </c>
      <c r="Q917" s="74">
        <v>40318</v>
      </c>
      <c r="R917" s="74"/>
      <c r="S917" s="72" t="s">
        <v>11</v>
      </c>
      <c r="T917" s="80" t="s">
        <v>4</v>
      </c>
      <c r="U917" s="72" t="s">
        <v>14</v>
      </c>
      <c r="V917" s="72" t="s">
        <v>1942</v>
      </c>
      <c r="W917" s="72" t="s">
        <v>1934</v>
      </c>
      <c r="X917" s="72" t="s">
        <v>2914</v>
      </c>
      <c r="Y917" s="72" t="s">
        <v>4</v>
      </c>
      <c r="Z917" s="72" t="s">
        <v>4</v>
      </c>
      <c r="AA917" s="147" t="s">
        <v>2914</v>
      </c>
    </row>
    <row r="918" spans="1:27" ht="18.600000000000001" customHeight="1">
      <c r="A918" s="140" t="str">
        <f>IF(priority(Main[[#This Row],[Comments]])&lt;&gt;0, priority(Main[[#This Row],[Comments]]),"")</f>
        <v/>
      </c>
      <c r="B918" s="90" t="s">
        <v>1787</v>
      </c>
      <c r="C918" s="72" t="s">
        <v>4</v>
      </c>
      <c r="D918" s="73" t="s">
        <v>815</v>
      </c>
      <c r="E918" s="74"/>
      <c r="F918" s="74"/>
      <c r="G918" s="75" t="str">
        <f>IF(stdProdLT(Main[[#This Row],[Comments]])=0.1,"N/A",IF(stdProdLT(Main[[#This Row],[Comments]])=0,"",stdProdLT(Main[[#This Row],[Comments]])))</f>
        <v/>
      </c>
      <c r="H918" s="76" t="str">
        <f>IF(AND(Main[[#This Row],[In Stock Date]]&lt;&gt;"",Main[[#This Row],[Revised Due Date]]&lt;&gt;""),Main[[#This Row],[In Stock Date]]-Main[[#This Row],[Revised Due Date]],"")</f>
        <v/>
      </c>
      <c r="I918" s="72" t="s">
        <v>4</v>
      </c>
      <c r="J918" s="72" t="s">
        <v>4</v>
      </c>
      <c r="K918" s="72" t="s">
        <v>4</v>
      </c>
      <c r="L918" s="74"/>
      <c r="M918" s="77" t="str">
        <f>IF(Main[[#This Row],[Tech Start Date]]&lt;1/1/1990,"",IF(Main[[#This Row],[Class]]="C",WORKDAY(Main[[#This Row],[Tech Start Date]],9),IF(Main[[#This Row],[Class]]="B", WORKDAY(Main[[#This Row],[Tech Start Date]],6),IF(Main[[#This Row],[Class]]="A",WORKDAY(Main[[#This Row],[Tech Start Date]],2),""))))</f>
        <v/>
      </c>
      <c r="N918" s="77" t="str">
        <f>IF(Main[[#This Row],[Tech Start Date]]&lt;1/1/1990,"",IF(Main[[#This Row],[Class]]="C",WORKDAY(Main[[#This Row],[Tech Start Date]],19),IF(Main[[#This Row],[Class]]="B", WORKDAY(Main[[#This Row],[Tech Start Date]],12),IF(Main[[#This Row],[Class]]="A",WORKDAY(Main[[#This Row],[Tech Start Date]],4),""))))</f>
        <v/>
      </c>
      <c r="O918" s="77" t="str">
        <f>IF(Main[[#This Row],[Tech Start Date]]&lt;1/1/1990,"",IF(Main[[#This Row],[Class]]="C",WORKDAY(Main[[#This Row],[Tech Start Date]],23),IF(Main[[#This Row],[Class]]="B", WORKDAY(Main[[#This Row],[Tech Start Date]],15),IF(Main[[#This Row],[Class]]="A",WORKDAY(Main[[#This Row],[Tech Start Date]],5),""))))</f>
        <v/>
      </c>
      <c r="P918" s="77" t="str">
        <f>IF(Main[[#This Row],[Tech Start Date]]&lt;1/1/1990,"",IF(Main[[#This Row],[Class]]="C",WORKDAY(Main[[#This Row],[Tech Start Date]],28),IF(Main[[#This Row],[Class]]="B", WORKDAY(Main[[#This Row],[Tech Start Date]],19),IF(Main[[#This Row],[Class]]="A",WORKDAY(Main[[#This Row],[Tech Start Date]],9),""))))</f>
        <v/>
      </c>
      <c r="Q918" s="74"/>
      <c r="R918" s="74"/>
      <c r="S918" s="72" t="s">
        <v>49</v>
      </c>
      <c r="T918" s="80" t="s">
        <v>4</v>
      </c>
      <c r="U918" s="72" t="s">
        <v>14</v>
      </c>
      <c r="V918" s="72" t="s">
        <v>1935</v>
      </c>
      <c r="W918" s="72" t="s">
        <v>1936</v>
      </c>
      <c r="X918" s="72" t="s">
        <v>310</v>
      </c>
      <c r="Y918" s="72" t="s">
        <v>3192</v>
      </c>
      <c r="Z918" s="72" t="s">
        <v>4</v>
      </c>
      <c r="AA918" s="147" t="s">
        <v>310</v>
      </c>
    </row>
    <row r="919" spans="1:27" ht="18.600000000000001" customHeight="1">
      <c r="A919" s="140" t="str">
        <f>IF(priority(Main[[#This Row],[Comments]])&lt;&gt;0, priority(Main[[#This Row],[Comments]]),"")</f>
        <v/>
      </c>
      <c r="B919" s="90" t="s">
        <v>3290</v>
      </c>
      <c r="C919" s="72" t="s">
        <v>4</v>
      </c>
      <c r="D919" s="73" t="s">
        <v>3341</v>
      </c>
      <c r="E919" s="74">
        <v>40921.504814814813</v>
      </c>
      <c r="F919" s="74"/>
      <c r="G919" s="75" t="str">
        <f>IF(stdProdLT(Main[[#This Row],[Comments]])=0.1,"N/A",IF(stdProdLT(Main[[#This Row],[Comments]])=0,"",stdProdLT(Main[[#This Row],[Comments]])))</f>
        <v/>
      </c>
      <c r="H919" s="76" t="str">
        <f>IF(AND(Main[[#This Row],[In Stock Date]]&lt;&gt;"",Main[[#This Row],[Revised Due Date]]&lt;&gt;""),Main[[#This Row],[In Stock Date]]-Main[[#This Row],[Revised Due Date]],"")</f>
        <v/>
      </c>
      <c r="I919" s="72" t="s">
        <v>2073</v>
      </c>
      <c r="J919" s="72" t="s">
        <v>28</v>
      </c>
      <c r="K919" s="72" t="s">
        <v>1941</v>
      </c>
      <c r="L919" s="74"/>
      <c r="M919" s="77" t="str">
        <f>IF(Main[[#This Row],[Tech Start Date]]&lt;1/1/1990,"",IF(Main[[#This Row],[Class]]="C",WORKDAY(Main[[#This Row],[Tech Start Date]],9),IF(Main[[#This Row],[Class]]="B", WORKDAY(Main[[#This Row],[Tech Start Date]],6),IF(Main[[#This Row],[Class]]="A",WORKDAY(Main[[#This Row],[Tech Start Date]],2),""))))</f>
        <v/>
      </c>
      <c r="N919" s="77" t="str">
        <f>IF(Main[[#This Row],[Tech Start Date]]&lt;1/1/1990,"",IF(Main[[#This Row],[Class]]="C",WORKDAY(Main[[#This Row],[Tech Start Date]],19),IF(Main[[#This Row],[Class]]="B", WORKDAY(Main[[#This Row],[Tech Start Date]],12),IF(Main[[#This Row],[Class]]="A",WORKDAY(Main[[#This Row],[Tech Start Date]],4),""))))</f>
        <v/>
      </c>
      <c r="O919" s="77" t="str">
        <f>IF(Main[[#This Row],[Tech Start Date]]&lt;1/1/1990,"",IF(Main[[#This Row],[Class]]="C",WORKDAY(Main[[#This Row],[Tech Start Date]],23),IF(Main[[#This Row],[Class]]="B", WORKDAY(Main[[#This Row],[Tech Start Date]],15),IF(Main[[#This Row],[Class]]="A",WORKDAY(Main[[#This Row],[Tech Start Date]],5),""))))</f>
        <v/>
      </c>
      <c r="P919" s="77" t="str">
        <f>IF(Main[[#This Row],[Tech Start Date]]&lt;1/1/1990,"",IF(Main[[#This Row],[Class]]="C",WORKDAY(Main[[#This Row],[Tech Start Date]],28),IF(Main[[#This Row],[Class]]="B", WORKDAY(Main[[#This Row],[Tech Start Date]],19),IF(Main[[#This Row],[Class]]="A",WORKDAY(Main[[#This Row],[Tech Start Date]],9),""))))</f>
        <v/>
      </c>
      <c r="Q919" s="74">
        <v>40939</v>
      </c>
      <c r="R919" s="74"/>
      <c r="S919" s="72" t="s">
        <v>6</v>
      </c>
      <c r="T919" s="80" t="s">
        <v>4</v>
      </c>
      <c r="U919" s="72" t="s">
        <v>29</v>
      </c>
      <c r="V919" s="72" t="s">
        <v>1935</v>
      </c>
      <c r="W919" s="72" t="s">
        <v>1936</v>
      </c>
      <c r="X919" s="72" t="s">
        <v>30</v>
      </c>
      <c r="Y919" s="72" t="s">
        <v>3291</v>
      </c>
      <c r="Z919" s="72" t="s">
        <v>30</v>
      </c>
      <c r="AA919" s="147" t="s">
        <v>2987</v>
      </c>
    </row>
    <row r="920" spans="1:27" ht="18.600000000000001" customHeight="1">
      <c r="A920" s="140" t="str">
        <f>IF(priority(Main[[#This Row],[Comments]])&lt;&gt;0, priority(Main[[#This Row],[Comments]]),"")</f>
        <v/>
      </c>
      <c r="B920" s="90" t="s">
        <v>3376</v>
      </c>
      <c r="C920" s="72" t="s">
        <v>4</v>
      </c>
      <c r="D920" s="73" t="s">
        <v>3377</v>
      </c>
      <c r="E920" s="74"/>
      <c r="F920" s="74"/>
      <c r="G920" s="75" t="str">
        <f>IF(stdProdLT(Main[[#This Row],[Comments]])=0.1,"N/A",IF(stdProdLT(Main[[#This Row],[Comments]])=0,"",stdProdLT(Main[[#This Row],[Comments]])))</f>
        <v/>
      </c>
      <c r="H920" s="76" t="str">
        <f>IF(AND(Main[[#This Row],[In Stock Date]]&lt;&gt;"",Main[[#This Row],[Revised Due Date]]&lt;&gt;""),Main[[#This Row],[In Stock Date]]-Main[[#This Row],[Revised Due Date]],"")</f>
        <v/>
      </c>
      <c r="I920" s="72" t="s">
        <v>4</v>
      </c>
      <c r="J920" s="72" t="s">
        <v>4</v>
      </c>
      <c r="K920" s="72" t="s">
        <v>4</v>
      </c>
      <c r="L920" s="74"/>
      <c r="M920" s="77" t="str">
        <f>IF(Main[[#This Row],[Tech Start Date]]&lt;1/1/1990,"",IF(Main[[#This Row],[Class]]="C",WORKDAY(Main[[#This Row],[Tech Start Date]],9),IF(Main[[#This Row],[Class]]="B", WORKDAY(Main[[#This Row],[Tech Start Date]],6),IF(Main[[#This Row],[Class]]="A",WORKDAY(Main[[#This Row],[Tech Start Date]],2),""))))</f>
        <v/>
      </c>
      <c r="N920" s="77" t="str">
        <f>IF(Main[[#This Row],[Tech Start Date]]&lt;1/1/1990,"",IF(Main[[#This Row],[Class]]="C",WORKDAY(Main[[#This Row],[Tech Start Date]],19),IF(Main[[#This Row],[Class]]="B", WORKDAY(Main[[#This Row],[Tech Start Date]],12),IF(Main[[#This Row],[Class]]="A",WORKDAY(Main[[#This Row],[Tech Start Date]],4),""))))</f>
        <v/>
      </c>
      <c r="O920" s="77" t="str">
        <f>IF(Main[[#This Row],[Tech Start Date]]&lt;1/1/1990,"",IF(Main[[#This Row],[Class]]="C",WORKDAY(Main[[#This Row],[Tech Start Date]],23),IF(Main[[#This Row],[Class]]="B", WORKDAY(Main[[#This Row],[Tech Start Date]],15),IF(Main[[#This Row],[Class]]="A",WORKDAY(Main[[#This Row],[Tech Start Date]],5),""))))</f>
        <v/>
      </c>
      <c r="P920" s="77" t="str">
        <f>IF(Main[[#This Row],[Tech Start Date]]&lt;1/1/1990,"",IF(Main[[#This Row],[Class]]="C",WORKDAY(Main[[#This Row],[Tech Start Date]],28),IF(Main[[#This Row],[Class]]="B", WORKDAY(Main[[#This Row],[Tech Start Date]],19),IF(Main[[#This Row],[Class]]="A",WORKDAY(Main[[#This Row],[Tech Start Date]],9),""))))</f>
        <v/>
      </c>
      <c r="Q920" s="74"/>
      <c r="R920" s="74"/>
      <c r="S920" s="72" t="s">
        <v>17</v>
      </c>
      <c r="T920" s="80" t="s">
        <v>4</v>
      </c>
      <c r="U920" s="72" t="s">
        <v>12</v>
      </c>
      <c r="V920" s="72" t="s">
        <v>1935</v>
      </c>
      <c r="W920" s="72" t="s">
        <v>4</v>
      </c>
      <c r="X920" s="72" t="s">
        <v>1996</v>
      </c>
      <c r="Y920" s="72" t="s">
        <v>4</v>
      </c>
      <c r="Z920" s="72" t="s">
        <v>4</v>
      </c>
      <c r="AA920" s="147" t="s">
        <v>4</v>
      </c>
    </row>
    <row r="921" spans="1:27" ht="18.600000000000001" customHeight="1">
      <c r="A921" s="140" t="str">
        <f>IF(priority(Main[[#This Row],[Comments]])&lt;&gt;0, priority(Main[[#This Row],[Comments]]),"")</f>
        <v/>
      </c>
      <c r="B921" s="90" t="s">
        <v>1788</v>
      </c>
      <c r="C921" s="72" t="s">
        <v>4</v>
      </c>
      <c r="D921" s="73" t="s">
        <v>816</v>
      </c>
      <c r="E921" s="74"/>
      <c r="F921" s="74"/>
      <c r="G921" s="75" t="str">
        <f>IF(stdProdLT(Main[[#This Row],[Comments]])=0.1,"N/A",IF(stdProdLT(Main[[#This Row],[Comments]])=0,"",stdProdLT(Main[[#This Row],[Comments]])))</f>
        <v/>
      </c>
      <c r="H921" s="76" t="str">
        <f>IF(AND(Main[[#This Row],[In Stock Date]]&lt;&gt;"",Main[[#This Row],[Revised Due Date]]&lt;&gt;""),Main[[#This Row],[In Stock Date]]-Main[[#This Row],[Revised Due Date]],"")</f>
        <v/>
      </c>
      <c r="I921" s="72" t="s">
        <v>4</v>
      </c>
      <c r="J921" s="72" t="s">
        <v>4</v>
      </c>
      <c r="K921" s="72" t="s">
        <v>4</v>
      </c>
      <c r="L921" s="74"/>
      <c r="M921" s="77" t="str">
        <f>IF(Main[[#This Row],[Tech Start Date]]&lt;1/1/1990,"",IF(Main[[#This Row],[Class]]="C",WORKDAY(Main[[#This Row],[Tech Start Date]],9),IF(Main[[#This Row],[Class]]="B", WORKDAY(Main[[#This Row],[Tech Start Date]],6),IF(Main[[#This Row],[Class]]="A",WORKDAY(Main[[#This Row],[Tech Start Date]],2),""))))</f>
        <v/>
      </c>
      <c r="N921" s="77" t="str">
        <f>IF(Main[[#This Row],[Tech Start Date]]&lt;1/1/1990,"",IF(Main[[#This Row],[Class]]="C",WORKDAY(Main[[#This Row],[Tech Start Date]],19),IF(Main[[#This Row],[Class]]="B", WORKDAY(Main[[#This Row],[Tech Start Date]],12),IF(Main[[#This Row],[Class]]="A",WORKDAY(Main[[#This Row],[Tech Start Date]],4),""))))</f>
        <v/>
      </c>
      <c r="O921" s="77" t="str">
        <f>IF(Main[[#This Row],[Tech Start Date]]&lt;1/1/1990,"",IF(Main[[#This Row],[Class]]="C",WORKDAY(Main[[#This Row],[Tech Start Date]],23),IF(Main[[#This Row],[Class]]="B", WORKDAY(Main[[#This Row],[Tech Start Date]],15),IF(Main[[#This Row],[Class]]="A",WORKDAY(Main[[#This Row],[Tech Start Date]],5),""))))</f>
        <v/>
      </c>
      <c r="P921" s="77" t="str">
        <f>IF(Main[[#This Row],[Tech Start Date]]&lt;1/1/1990,"",IF(Main[[#This Row],[Class]]="C",WORKDAY(Main[[#This Row],[Tech Start Date]],28),IF(Main[[#This Row],[Class]]="B", WORKDAY(Main[[#This Row],[Tech Start Date]],19),IF(Main[[#This Row],[Class]]="A",WORKDAY(Main[[#This Row],[Tech Start Date]],9),""))))</f>
        <v/>
      </c>
      <c r="Q921" s="74"/>
      <c r="R921" s="74"/>
      <c r="S921" s="72" t="s">
        <v>6</v>
      </c>
      <c r="T921" s="80" t="s">
        <v>4</v>
      </c>
      <c r="U921" s="72" t="s">
        <v>12</v>
      </c>
      <c r="V921" s="72" t="s">
        <v>1932</v>
      </c>
      <c r="W921" s="72" t="s">
        <v>1936</v>
      </c>
      <c r="X921" s="72" t="s">
        <v>888</v>
      </c>
      <c r="Y921" s="72" t="s">
        <v>3096</v>
      </c>
      <c r="Z921" s="72" t="s">
        <v>4</v>
      </c>
      <c r="AA921" s="147" t="s">
        <v>888</v>
      </c>
    </row>
    <row r="922" spans="1:27" ht="18.600000000000001" customHeight="1">
      <c r="A922" s="140" t="str">
        <f>IF(priority(Main[[#This Row],[Comments]])&lt;&gt;0, priority(Main[[#This Row],[Comments]]),"")</f>
        <v/>
      </c>
      <c r="B922" s="90" t="s">
        <v>1762</v>
      </c>
      <c r="C922" s="72" t="s">
        <v>288</v>
      </c>
      <c r="D922" s="73" t="s">
        <v>806</v>
      </c>
      <c r="E922" s="74"/>
      <c r="F922" s="74"/>
      <c r="G922" s="75" t="str">
        <f>IF(stdProdLT(Main[[#This Row],[Comments]])=0.1,"N/A",IF(stdProdLT(Main[[#This Row],[Comments]])=0,"",stdProdLT(Main[[#This Row],[Comments]])))</f>
        <v/>
      </c>
      <c r="H922" s="76" t="str">
        <f>IF(AND(Main[[#This Row],[In Stock Date]]&lt;&gt;"",Main[[#This Row],[Revised Due Date]]&lt;&gt;""),Main[[#This Row],[In Stock Date]]-Main[[#This Row],[Revised Due Date]],"")</f>
        <v/>
      </c>
      <c r="I922" s="72" t="s">
        <v>4</v>
      </c>
      <c r="J922" s="72" t="s">
        <v>4</v>
      </c>
      <c r="K922" s="72" t="s">
        <v>4</v>
      </c>
      <c r="L922" s="74"/>
      <c r="M922" s="77" t="str">
        <f>IF(Main[[#This Row],[Tech Start Date]]&lt;1/1/1990,"",IF(Main[[#This Row],[Class]]="C",WORKDAY(Main[[#This Row],[Tech Start Date]],9),IF(Main[[#This Row],[Class]]="B", WORKDAY(Main[[#This Row],[Tech Start Date]],6),IF(Main[[#This Row],[Class]]="A",WORKDAY(Main[[#This Row],[Tech Start Date]],2),""))))</f>
        <v/>
      </c>
      <c r="N922" s="77" t="str">
        <f>IF(Main[[#This Row],[Tech Start Date]]&lt;1/1/1990,"",IF(Main[[#This Row],[Class]]="C",WORKDAY(Main[[#This Row],[Tech Start Date]],19),IF(Main[[#This Row],[Class]]="B", WORKDAY(Main[[#This Row],[Tech Start Date]],12),IF(Main[[#This Row],[Class]]="A",WORKDAY(Main[[#This Row],[Tech Start Date]],4),""))))</f>
        <v/>
      </c>
      <c r="O922" s="77" t="str">
        <f>IF(Main[[#This Row],[Tech Start Date]]&lt;1/1/1990,"",IF(Main[[#This Row],[Class]]="C",WORKDAY(Main[[#This Row],[Tech Start Date]],23),IF(Main[[#This Row],[Class]]="B", WORKDAY(Main[[#This Row],[Tech Start Date]],15),IF(Main[[#This Row],[Class]]="A",WORKDAY(Main[[#This Row],[Tech Start Date]],5),""))))</f>
        <v/>
      </c>
      <c r="P922" s="77" t="str">
        <f>IF(Main[[#This Row],[Tech Start Date]]&lt;1/1/1990,"",IF(Main[[#This Row],[Class]]="C",WORKDAY(Main[[#This Row],[Tech Start Date]],28),IF(Main[[#This Row],[Class]]="B", WORKDAY(Main[[#This Row],[Tech Start Date]],19),IF(Main[[#This Row],[Class]]="A",WORKDAY(Main[[#This Row],[Tech Start Date]],9),""))))</f>
        <v/>
      </c>
      <c r="Q922" s="74">
        <v>40134</v>
      </c>
      <c r="R922" s="74"/>
      <c r="S922" s="72" t="s">
        <v>11</v>
      </c>
      <c r="T922" s="80" t="s">
        <v>4</v>
      </c>
      <c r="U922" s="72" t="s">
        <v>14</v>
      </c>
      <c r="V922" s="72" t="s">
        <v>1942</v>
      </c>
      <c r="W922" s="72" t="s">
        <v>1940</v>
      </c>
      <c r="X922" s="72" t="s">
        <v>2901</v>
      </c>
      <c r="Y922" s="72" t="s">
        <v>4</v>
      </c>
      <c r="Z922" s="72" t="s">
        <v>4</v>
      </c>
      <c r="AA922" s="147" t="s">
        <v>2901</v>
      </c>
    </row>
    <row r="923" spans="1:27" ht="18.600000000000001" customHeight="1">
      <c r="A923" s="140" t="str">
        <f>IF(priority(Main[[#This Row],[Comments]])&lt;&gt;0, priority(Main[[#This Row],[Comments]]),"")</f>
        <v/>
      </c>
      <c r="B923" s="90" t="s">
        <v>1763</v>
      </c>
      <c r="C923" s="72" t="s">
        <v>4</v>
      </c>
      <c r="D923" s="73" t="s">
        <v>807</v>
      </c>
      <c r="E923" s="74"/>
      <c r="F923" s="74">
        <v>40598</v>
      </c>
      <c r="G923" s="75" t="str">
        <f>IF(stdProdLT(Main[[#This Row],[Comments]])=0.1,"N/A",IF(stdProdLT(Main[[#This Row],[Comments]])=0,"",stdProdLT(Main[[#This Row],[Comments]])))</f>
        <v/>
      </c>
      <c r="H923" s="76" t="str">
        <f>IF(AND(Main[[#This Row],[In Stock Date]]&lt;&gt;"",Main[[#This Row],[Revised Due Date]]&lt;&gt;""),Main[[#This Row],[In Stock Date]]-Main[[#This Row],[Revised Due Date]],"")</f>
        <v/>
      </c>
      <c r="I923" s="72" t="s">
        <v>4</v>
      </c>
      <c r="J923" s="72" t="s">
        <v>4</v>
      </c>
      <c r="K923" s="72" t="s">
        <v>4</v>
      </c>
      <c r="L923" s="74"/>
      <c r="M923" s="77" t="str">
        <f>IF(Main[[#This Row],[Tech Start Date]]&lt;1/1/1990,"",IF(Main[[#This Row],[Class]]="C",WORKDAY(Main[[#This Row],[Tech Start Date]],9),IF(Main[[#This Row],[Class]]="B", WORKDAY(Main[[#This Row],[Tech Start Date]],6),IF(Main[[#This Row],[Class]]="A",WORKDAY(Main[[#This Row],[Tech Start Date]],2),""))))</f>
        <v/>
      </c>
      <c r="N923" s="77" t="str">
        <f>IF(Main[[#This Row],[Tech Start Date]]&lt;1/1/1990,"",IF(Main[[#This Row],[Class]]="C",WORKDAY(Main[[#This Row],[Tech Start Date]],19),IF(Main[[#This Row],[Class]]="B", WORKDAY(Main[[#This Row],[Tech Start Date]],12),IF(Main[[#This Row],[Class]]="A",WORKDAY(Main[[#This Row],[Tech Start Date]],4),""))))</f>
        <v/>
      </c>
      <c r="O923" s="77" t="str">
        <f>IF(Main[[#This Row],[Tech Start Date]]&lt;1/1/1990,"",IF(Main[[#This Row],[Class]]="C",WORKDAY(Main[[#This Row],[Tech Start Date]],23),IF(Main[[#This Row],[Class]]="B", WORKDAY(Main[[#This Row],[Tech Start Date]],15),IF(Main[[#This Row],[Class]]="A",WORKDAY(Main[[#This Row],[Tech Start Date]],5),""))))</f>
        <v/>
      </c>
      <c r="P923" s="77" t="str">
        <f>IF(Main[[#This Row],[Tech Start Date]]&lt;1/1/1990,"",IF(Main[[#This Row],[Class]]="C",WORKDAY(Main[[#This Row],[Tech Start Date]],28),IF(Main[[#This Row],[Class]]="B", WORKDAY(Main[[#This Row],[Tech Start Date]],19),IF(Main[[#This Row],[Class]]="A",WORKDAY(Main[[#This Row],[Tech Start Date]],9),""))))</f>
        <v/>
      </c>
      <c r="Q923" s="74">
        <v>40598</v>
      </c>
      <c r="R923" s="74"/>
      <c r="S923" s="72" t="s">
        <v>11</v>
      </c>
      <c r="T923" s="80" t="s">
        <v>4</v>
      </c>
      <c r="U923" s="72" t="s">
        <v>14</v>
      </c>
      <c r="V923" s="72" t="s">
        <v>1942</v>
      </c>
      <c r="W923" s="72" t="s">
        <v>1938</v>
      </c>
      <c r="X923" s="72" t="s">
        <v>2932</v>
      </c>
      <c r="Y923" s="72" t="s">
        <v>3066</v>
      </c>
      <c r="Z923" s="72" t="s">
        <v>4</v>
      </c>
      <c r="AA923" s="147" t="s">
        <v>2932</v>
      </c>
    </row>
    <row r="924" spans="1:27" ht="18.600000000000001" customHeight="1">
      <c r="A924" s="140" t="str">
        <f>IF(priority(Main[[#This Row],[Comments]])&lt;&gt;0, priority(Main[[#This Row],[Comments]]),"")</f>
        <v/>
      </c>
      <c r="B924" s="90" t="s">
        <v>1764</v>
      </c>
      <c r="C924" s="72" t="s">
        <v>441</v>
      </c>
      <c r="D924" s="73" t="s">
        <v>799</v>
      </c>
      <c r="E924" s="74"/>
      <c r="F924" s="74"/>
      <c r="G924" s="75" t="str">
        <f>IF(stdProdLT(Main[[#This Row],[Comments]])=0.1,"N/A",IF(stdProdLT(Main[[#This Row],[Comments]])=0,"",stdProdLT(Main[[#This Row],[Comments]])))</f>
        <v/>
      </c>
      <c r="H924" s="76" t="str">
        <f>IF(AND(Main[[#This Row],[In Stock Date]]&lt;&gt;"",Main[[#This Row],[Revised Due Date]]&lt;&gt;""),Main[[#This Row],[In Stock Date]]-Main[[#This Row],[Revised Due Date]],"")</f>
        <v/>
      </c>
      <c r="I924" s="72" t="s">
        <v>4</v>
      </c>
      <c r="J924" s="72" t="s">
        <v>4</v>
      </c>
      <c r="K924" s="72" t="s">
        <v>4</v>
      </c>
      <c r="L924" s="74"/>
      <c r="M924" s="77" t="str">
        <f>IF(Main[[#This Row],[Tech Start Date]]&lt;1/1/1990,"",IF(Main[[#This Row],[Class]]="C",WORKDAY(Main[[#This Row],[Tech Start Date]],9),IF(Main[[#This Row],[Class]]="B", WORKDAY(Main[[#This Row],[Tech Start Date]],6),IF(Main[[#This Row],[Class]]="A",WORKDAY(Main[[#This Row],[Tech Start Date]],2),""))))</f>
        <v/>
      </c>
      <c r="N924" s="77" t="str">
        <f>IF(Main[[#This Row],[Tech Start Date]]&lt;1/1/1990,"",IF(Main[[#This Row],[Class]]="C",WORKDAY(Main[[#This Row],[Tech Start Date]],19),IF(Main[[#This Row],[Class]]="B", WORKDAY(Main[[#This Row],[Tech Start Date]],12),IF(Main[[#This Row],[Class]]="A",WORKDAY(Main[[#This Row],[Tech Start Date]],4),""))))</f>
        <v/>
      </c>
      <c r="O924" s="77" t="str">
        <f>IF(Main[[#This Row],[Tech Start Date]]&lt;1/1/1990,"",IF(Main[[#This Row],[Class]]="C",WORKDAY(Main[[#This Row],[Tech Start Date]],23),IF(Main[[#This Row],[Class]]="B", WORKDAY(Main[[#This Row],[Tech Start Date]],15),IF(Main[[#This Row],[Class]]="A",WORKDAY(Main[[#This Row],[Tech Start Date]],5),""))))</f>
        <v/>
      </c>
      <c r="P924" s="77" t="str">
        <f>IF(Main[[#This Row],[Tech Start Date]]&lt;1/1/1990,"",IF(Main[[#This Row],[Class]]="C",WORKDAY(Main[[#This Row],[Tech Start Date]],28),IF(Main[[#This Row],[Class]]="B", WORKDAY(Main[[#This Row],[Tech Start Date]],19),IF(Main[[#This Row],[Class]]="A",WORKDAY(Main[[#This Row],[Tech Start Date]],9),""))))</f>
        <v/>
      </c>
      <c r="Q924" s="74"/>
      <c r="R924" s="74"/>
      <c r="S924" s="72" t="s">
        <v>11</v>
      </c>
      <c r="T924" s="80" t="s">
        <v>4</v>
      </c>
      <c r="U924" s="72" t="s">
        <v>14</v>
      </c>
      <c r="V924" s="72" t="s">
        <v>1932</v>
      </c>
      <c r="W924" s="72" t="s">
        <v>1940</v>
      </c>
      <c r="X924" s="72" t="s">
        <v>2937</v>
      </c>
      <c r="Y924" s="72" t="s">
        <v>3078</v>
      </c>
      <c r="Z924" s="72" t="s">
        <v>4</v>
      </c>
      <c r="AA924" s="147" t="s">
        <v>2937</v>
      </c>
    </row>
    <row r="925" spans="1:27" ht="18.600000000000001" customHeight="1">
      <c r="A925" s="140" t="str">
        <f>IF(priority(Main[[#This Row],[Comments]])&lt;&gt;0, priority(Main[[#This Row],[Comments]]),"")</f>
        <v/>
      </c>
      <c r="B925" s="90" t="s">
        <v>1766</v>
      </c>
      <c r="C925" s="72" t="s">
        <v>4</v>
      </c>
      <c r="D925" s="73" t="s">
        <v>808</v>
      </c>
      <c r="E925" s="74"/>
      <c r="F925" s="74"/>
      <c r="G925" s="75" t="str">
        <f>IF(stdProdLT(Main[[#This Row],[Comments]])=0.1,"N/A",IF(stdProdLT(Main[[#This Row],[Comments]])=0,"",stdProdLT(Main[[#This Row],[Comments]])))</f>
        <v/>
      </c>
      <c r="H925" s="76" t="str">
        <f>IF(AND(Main[[#This Row],[In Stock Date]]&lt;&gt;"",Main[[#This Row],[Revised Due Date]]&lt;&gt;""),Main[[#This Row],[In Stock Date]]-Main[[#This Row],[Revised Due Date]],"")</f>
        <v/>
      </c>
      <c r="I925" s="72" t="s">
        <v>4</v>
      </c>
      <c r="J925" s="72" t="s">
        <v>4</v>
      </c>
      <c r="K925" s="81" t="s">
        <v>4</v>
      </c>
      <c r="L925" s="74"/>
      <c r="M925" s="77" t="str">
        <f>IF(Main[[#This Row],[Tech Start Date]]&lt;1/1/1990,"",IF(Main[[#This Row],[Class]]="C",WORKDAY(Main[[#This Row],[Tech Start Date]],9),IF(Main[[#This Row],[Class]]="B", WORKDAY(Main[[#This Row],[Tech Start Date]],6),IF(Main[[#This Row],[Class]]="A",WORKDAY(Main[[#This Row],[Tech Start Date]],2),""))))</f>
        <v/>
      </c>
      <c r="N925" s="77" t="str">
        <f>IF(Main[[#This Row],[Tech Start Date]]&lt;1/1/1990,"",IF(Main[[#This Row],[Class]]="C",WORKDAY(Main[[#This Row],[Tech Start Date]],19),IF(Main[[#This Row],[Class]]="B", WORKDAY(Main[[#This Row],[Tech Start Date]],12),IF(Main[[#This Row],[Class]]="A",WORKDAY(Main[[#This Row],[Tech Start Date]],4),""))))</f>
        <v/>
      </c>
      <c r="O925" s="77" t="str">
        <f>IF(Main[[#This Row],[Tech Start Date]]&lt;1/1/1990,"",IF(Main[[#This Row],[Class]]="C",WORKDAY(Main[[#This Row],[Tech Start Date]],23),IF(Main[[#This Row],[Class]]="B", WORKDAY(Main[[#This Row],[Tech Start Date]],15),IF(Main[[#This Row],[Class]]="A",WORKDAY(Main[[#This Row],[Tech Start Date]],5),""))))</f>
        <v/>
      </c>
      <c r="P925" s="77" t="str">
        <f>IF(Main[[#This Row],[Tech Start Date]]&lt;1/1/1990,"",IF(Main[[#This Row],[Class]]="C",WORKDAY(Main[[#This Row],[Tech Start Date]],28),IF(Main[[#This Row],[Class]]="B", WORKDAY(Main[[#This Row],[Tech Start Date]],19),IF(Main[[#This Row],[Class]]="A",WORKDAY(Main[[#This Row],[Tech Start Date]],9),""))))</f>
        <v/>
      </c>
      <c r="Q925" s="74"/>
      <c r="R925" s="74"/>
      <c r="S925" s="72" t="s">
        <v>23</v>
      </c>
      <c r="T925" s="80" t="s">
        <v>4</v>
      </c>
      <c r="U925" s="72" t="s">
        <v>14</v>
      </c>
      <c r="V925" s="72" t="s">
        <v>1942</v>
      </c>
      <c r="W925" s="72" t="s">
        <v>1936</v>
      </c>
      <c r="X925" s="72" t="s">
        <v>422</v>
      </c>
      <c r="Y925" s="72" t="s">
        <v>3194</v>
      </c>
      <c r="Z925" s="72" t="s">
        <v>4</v>
      </c>
      <c r="AA925" s="147" t="s">
        <v>422</v>
      </c>
    </row>
    <row r="926" spans="1:27" ht="18.600000000000001" customHeight="1">
      <c r="A926" s="140" t="str">
        <f>IF(priority(Main[[#This Row],[Comments]])&lt;&gt;0, priority(Main[[#This Row],[Comments]]),"")</f>
        <v/>
      </c>
      <c r="B926" s="90" t="s">
        <v>1108</v>
      </c>
      <c r="C926" s="72" t="s">
        <v>4</v>
      </c>
      <c r="D926" s="73" t="s">
        <v>146</v>
      </c>
      <c r="E926" s="74"/>
      <c r="F926" s="74"/>
      <c r="G926" s="75" t="str">
        <f>IF(stdProdLT(Main[[#This Row],[Comments]])=0.1,"N/A",IF(stdProdLT(Main[[#This Row],[Comments]])=0,"",stdProdLT(Main[[#This Row],[Comments]])))</f>
        <v/>
      </c>
      <c r="H926" s="76" t="str">
        <f>IF(AND(Main[[#This Row],[In Stock Date]]&lt;&gt;"",Main[[#This Row],[Revised Due Date]]&lt;&gt;""),Main[[#This Row],[In Stock Date]]-Main[[#This Row],[Revised Due Date]],"")</f>
        <v/>
      </c>
      <c r="I926" s="72" t="s">
        <v>4</v>
      </c>
      <c r="J926" s="72" t="s">
        <v>4</v>
      </c>
      <c r="K926" s="72" t="s">
        <v>4</v>
      </c>
      <c r="L926" s="74"/>
      <c r="M926" s="77" t="str">
        <f>IF(Main[[#This Row],[Tech Start Date]]&lt;1/1/1990,"",IF(Main[[#This Row],[Class]]="C",WORKDAY(Main[[#This Row],[Tech Start Date]],9),IF(Main[[#This Row],[Class]]="B", WORKDAY(Main[[#This Row],[Tech Start Date]],6),IF(Main[[#This Row],[Class]]="A",WORKDAY(Main[[#This Row],[Tech Start Date]],2),""))))</f>
        <v/>
      </c>
      <c r="N926" s="77" t="str">
        <f>IF(Main[[#This Row],[Tech Start Date]]&lt;1/1/1990,"",IF(Main[[#This Row],[Class]]="C",WORKDAY(Main[[#This Row],[Tech Start Date]],19),IF(Main[[#This Row],[Class]]="B", WORKDAY(Main[[#This Row],[Tech Start Date]],12),IF(Main[[#This Row],[Class]]="A",WORKDAY(Main[[#This Row],[Tech Start Date]],4),""))))</f>
        <v/>
      </c>
      <c r="O926" s="77" t="str">
        <f>IF(Main[[#This Row],[Tech Start Date]]&lt;1/1/1990,"",IF(Main[[#This Row],[Class]]="C",WORKDAY(Main[[#This Row],[Tech Start Date]],23),IF(Main[[#This Row],[Class]]="B", WORKDAY(Main[[#This Row],[Tech Start Date]],15),IF(Main[[#This Row],[Class]]="A",WORKDAY(Main[[#This Row],[Tech Start Date]],5),""))))</f>
        <v/>
      </c>
      <c r="P926" s="77" t="str">
        <f>IF(Main[[#This Row],[Tech Start Date]]&lt;1/1/1990,"",IF(Main[[#This Row],[Class]]="C",WORKDAY(Main[[#This Row],[Tech Start Date]],28),IF(Main[[#This Row],[Class]]="B", WORKDAY(Main[[#This Row],[Tech Start Date]],19),IF(Main[[#This Row],[Class]]="A",WORKDAY(Main[[#This Row],[Tech Start Date]],9),""))))</f>
        <v/>
      </c>
      <c r="Q926" s="74"/>
      <c r="R926" s="74"/>
      <c r="S926" s="72" t="s">
        <v>17</v>
      </c>
      <c r="T926" s="80" t="s">
        <v>4</v>
      </c>
      <c r="U926" s="72" t="s">
        <v>14</v>
      </c>
      <c r="V926" s="72" t="s">
        <v>1947</v>
      </c>
      <c r="W926" s="72" t="s">
        <v>1934</v>
      </c>
      <c r="X926" s="72" t="s">
        <v>2991</v>
      </c>
      <c r="Y926" s="72" t="s">
        <v>3193</v>
      </c>
      <c r="Z926" s="72" t="s">
        <v>4</v>
      </c>
      <c r="AA926" s="147" t="s">
        <v>2991</v>
      </c>
    </row>
    <row r="927" spans="1:27" ht="18.600000000000001" customHeight="1">
      <c r="A927" s="140" t="str">
        <f>IF(priority(Main[[#This Row],[Comments]])&lt;&gt;0, priority(Main[[#This Row],[Comments]]),"")</f>
        <v/>
      </c>
      <c r="B927" s="90" t="s">
        <v>1698</v>
      </c>
      <c r="C927" s="72" t="s">
        <v>37</v>
      </c>
      <c r="D927" s="73" t="s">
        <v>2424</v>
      </c>
      <c r="E927" s="74">
        <v>40682.483831018515</v>
      </c>
      <c r="F927" s="74"/>
      <c r="G927" s="75" t="str">
        <f>IF(stdProdLT(Main[[#This Row],[Comments]])=0.1,"N/A",IF(stdProdLT(Main[[#This Row],[Comments]])=0,"",stdProdLT(Main[[#This Row],[Comments]])))</f>
        <v/>
      </c>
      <c r="H927" s="76" t="str">
        <f>IF(AND(Main[[#This Row],[In Stock Date]]&lt;&gt;"",Main[[#This Row],[Revised Due Date]]&lt;&gt;""),Main[[#This Row],[In Stock Date]]-Main[[#This Row],[Revised Due Date]],"")</f>
        <v/>
      </c>
      <c r="I927" s="72" t="s">
        <v>4</v>
      </c>
      <c r="J927" s="72" t="s">
        <v>4</v>
      </c>
      <c r="K927" s="72" t="s">
        <v>4</v>
      </c>
      <c r="L927" s="74"/>
      <c r="M927" s="77" t="str">
        <f>IF(Main[[#This Row],[Tech Start Date]]&lt;1/1/1990,"",IF(Main[[#This Row],[Class]]="C",WORKDAY(Main[[#This Row],[Tech Start Date]],9),IF(Main[[#This Row],[Class]]="B", WORKDAY(Main[[#This Row],[Tech Start Date]],6),IF(Main[[#This Row],[Class]]="A",WORKDAY(Main[[#This Row],[Tech Start Date]],2),""))))</f>
        <v/>
      </c>
      <c r="N927" s="77" t="str">
        <f>IF(Main[[#This Row],[Tech Start Date]]&lt;1/1/1990,"",IF(Main[[#This Row],[Class]]="C",WORKDAY(Main[[#This Row],[Tech Start Date]],19),IF(Main[[#This Row],[Class]]="B", WORKDAY(Main[[#This Row],[Tech Start Date]],12),IF(Main[[#This Row],[Class]]="A",WORKDAY(Main[[#This Row],[Tech Start Date]],4),""))))</f>
        <v/>
      </c>
      <c r="O927" s="77" t="str">
        <f>IF(Main[[#This Row],[Tech Start Date]]&lt;1/1/1990,"",IF(Main[[#This Row],[Class]]="C",WORKDAY(Main[[#This Row],[Tech Start Date]],23),IF(Main[[#This Row],[Class]]="B", WORKDAY(Main[[#This Row],[Tech Start Date]],15),IF(Main[[#This Row],[Class]]="A",WORKDAY(Main[[#This Row],[Tech Start Date]],5),""))))</f>
        <v/>
      </c>
      <c r="P927" s="77" t="str">
        <f>IF(Main[[#This Row],[Tech Start Date]]&lt;1/1/1990,"",IF(Main[[#This Row],[Class]]="C",WORKDAY(Main[[#This Row],[Tech Start Date]],28),IF(Main[[#This Row],[Class]]="B", WORKDAY(Main[[#This Row],[Tech Start Date]],19),IF(Main[[#This Row],[Class]]="A",WORKDAY(Main[[#This Row],[Tech Start Date]],9),""))))</f>
        <v/>
      </c>
      <c r="Q927" s="74">
        <v>40700</v>
      </c>
      <c r="R927" s="74"/>
      <c r="S927" s="72" t="s">
        <v>6</v>
      </c>
      <c r="T927" s="80" t="s">
        <v>4</v>
      </c>
      <c r="U927" s="72" t="s">
        <v>539</v>
      </c>
      <c r="V927" s="72" t="s">
        <v>1932</v>
      </c>
      <c r="W927" s="72" t="s">
        <v>1943</v>
      </c>
      <c r="X927" s="72" t="s">
        <v>982</v>
      </c>
      <c r="Y927" s="72" t="s">
        <v>3184</v>
      </c>
      <c r="Z927" s="72" t="s">
        <v>4</v>
      </c>
      <c r="AA927" s="147" t="s">
        <v>982</v>
      </c>
    </row>
    <row r="928" spans="1:27" ht="18.600000000000001" customHeight="1">
      <c r="A928" s="140" t="str">
        <f>IF(priority(Main[[#This Row],[Comments]])&lt;&gt;0, priority(Main[[#This Row],[Comments]]),"")</f>
        <v/>
      </c>
      <c r="B928" s="90" t="s">
        <v>1767</v>
      </c>
      <c r="C928" s="72" t="s">
        <v>701</v>
      </c>
      <c r="D928" s="73" t="s">
        <v>702</v>
      </c>
      <c r="E928" s="74"/>
      <c r="F928" s="74"/>
      <c r="G928" s="75" t="str">
        <f>IF(stdProdLT(Main[[#This Row],[Comments]])=0.1,"N/A",IF(stdProdLT(Main[[#This Row],[Comments]])=0,"",stdProdLT(Main[[#This Row],[Comments]])))</f>
        <v/>
      </c>
      <c r="H928" s="76" t="str">
        <f>IF(AND(Main[[#This Row],[In Stock Date]]&lt;&gt;"",Main[[#This Row],[Revised Due Date]]&lt;&gt;""),Main[[#This Row],[In Stock Date]]-Main[[#This Row],[Revised Due Date]],"")</f>
        <v/>
      </c>
      <c r="I928" s="72" t="s">
        <v>4</v>
      </c>
      <c r="J928" s="72" t="s">
        <v>4</v>
      </c>
      <c r="K928" s="72" t="s">
        <v>4</v>
      </c>
      <c r="L928" s="74"/>
      <c r="M928" s="77" t="str">
        <f>IF(Main[[#This Row],[Tech Start Date]]&lt;1/1/1990,"",IF(Main[[#This Row],[Class]]="C",WORKDAY(Main[[#This Row],[Tech Start Date]],9),IF(Main[[#This Row],[Class]]="B", WORKDAY(Main[[#This Row],[Tech Start Date]],6),IF(Main[[#This Row],[Class]]="A",WORKDAY(Main[[#This Row],[Tech Start Date]],2),""))))</f>
        <v/>
      </c>
      <c r="N928" s="77" t="str">
        <f>IF(Main[[#This Row],[Tech Start Date]]&lt;1/1/1990,"",IF(Main[[#This Row],[Class]]="C",WORKDAY(Main[[#This Row],[Tech Start Date]],19),IF(Main[[#This Row],[Class]]="B", WORKDAY(Main[[#This Row],[Tech Start Date]],12),IF(Main[[#This Row],[Class]]="A",WORKDAY(Main[[#This Row],[Tech Start Date]],4),""))))</f>
        <v/>
      </c>
      <c r="O928" s="77" t="str">
        <f>IF(Main[[#This Row],[Tech Start Date]]&lt;1/1/1990,"",IF(Main[[#This Row],[Class]]="C",WORKDAY(Main[[#This Row],[Tech Start Date]],23),IF(Main[[#This Row],[Class]]="B", WORKDAY(Main[[#This Row],[Tech Start Date]],15),IF(Main[[#This Row],[Class]]="A",WORKDAY(Main[[#This Row],[Tech Start Date]],5),""))))</f>
        <v/>
      </c>
      <c r="P928" s="77" t="str">
        <f>IF(Main[[#This Row],[Tech Start Date]]&lt;1/1/1990,"",IF(Main[[#This Row],[Class]]="C",WORKDAY(Main[[#This Row],[Tech Start Date]],28),IF(Main[[#This Row],[Class]]="B", WORKDAY(Main[[#This Row],[Tech Start Date]],19),IF(Main[[#This Row],[Class]]="A",WORKDAY(Main[[#This Row],[Tech Start Date]],9),""))))</f>
        <v/>
      </c>
      <c r="Q928" s="74">
        <v>40672</v>
      </c>
      <c r="R928" s="74"/>
      <c r="S928" s="72" t="s">
        <v>11</v>
      </c>
      <c r="T928" s="80" t="s">
        <v>4</v>
      </c>
      <c r="U928" s="72" t="s">
        <v>12</v>
      </c>
      <c r="V928" s="72" t="s">
        <v>1932</v>
      </c>
      <c r="W928" s="72" t="s">
        <v>1934</v>
      </c>
      <c r="X928" s="72" t="s">
        <v>2992</v>
      </c>
      <c r="Y928" s="72" t="s">
        <v>4</v>
      </c>
      <c r="Z928" s="72" t="s">
        <v>4</v>
      </c>
      <c r="AA928" s="147" t="s">
        <v>2992</v>
      </c>
    </row>
    <row r="929" spans="1:27" ht="18.600000000000001" customHeight="1">
      <c r="A929" s="140" t="str">
        <f>IF(priority(Main[[#This Row],[Comments]])&lt;&gt;0, priority(Main[[#This Row],[Comments]]),"")</f>
        <v/>
      </c>
      <c r="B929" s="90" t="s">
        <v>1768</v>
      </c>
      <c r="C929" s="72" t="s">
        <v>4</v>
      </c>
      <c r="D929" s="73" t="s">
        <v>809</v>
      </c>
      <c r="E929" s="74"/>
      <c r="F929" s="74"/>
      <c r="G929" s="75" t="str">
        <f>IF(stdProdLT(Main[[#This Row],[Comments]])=0.1,"N/A",IF(stdProdLT(Main[[#This Row],[Comments]])=0,"",stdProdLT(Main[[#This Row],[Comments]])))</f>
        <v/>
      </c>
      <c r="H929" s="76" t="str">
        <f>IF(AND(Main[[#This Row],[In Stock Date]]&lt;&gt;"",Main[[#This Row],[Revised Due Date]]&lt;&gt;""),Main[[#This Row],[In Stock Date]]-Main[[#This Row],[Revised Due Date]],"")</f>
        <v/>
      </c>
      <c r="I929" s="72" t="s">
        <v>4</v>
      </c>
      <c r="J929" s="72" t="s">
        <v>28</v>
      </c>
      <c r="K929" s="72" t="s">
        <v>1941</v>
      </c>
      <c r="L929" s="74"/>
      <c r="M929" s="77" t="str">
        <f>IF(Main[[#This Row],[Tech Start Date]]&lt;1/1/1990,"",IF(Main[[#This Row],[Class]]="C",WORKDAY(Main[[#This Row],[Tech Start Date]],9),IF(Main[[#This Row],[Class]]="B", WORKDAY(Main[[#This Row],[Tech Start Date]],6),IF(Main[[#This Row],[Class]]="A",WORKDAY(Main[[#This Row],[Tech Start Date]],2),""))))</f>
        <v/>
      </c>
      <c r="N929" s="77" t="str">
        <f>IF(Main[[#This Row],[Tech Start Date]]&lt;1/1/1990,"",IF(Main[[#This Row],[Class]]="C",WORKDAY(Main[[#This Row],[Tech Start Date]],19),IF(Main[[#This Row],[Class]]="B", WORKDAY(Main[[#This Row],[Tech Start Date]],12),IF(Main[[#This Row],[Class]]="A",WORKDAY(Main[[#This Row],[Tech Start Date]],4),""))))</f>
        <v/>
      </c>
      <c r="O929" s="77" t="str">
        <f>IF(Main[[#This Row],[Tech Start Date]]&lt;1/1/1990,"",IF(Main[[#This Row],[Class]]="C",WORKDAY(Main[[#This Row],[Tech Start Date]],23),IF(Main[[#This Row],[Class]]="B", WORKDAY(Main[[#This Row],[Tech Start Date]],15),IF(Main[[#This Row],[Class]]="A",WORKDAY(Main[[#This Row],[Tech Start Date]],5),""))))</f>
        <v/>
      </c>
      <c r="P929" s="77" t="str">
        <f>IF(Main[[#This Row],[Tech Start Date]]&lt;1/1/1990,"",IF(Main[[#This Row],[Class]]="C",WORKDAY(Main[[#This Row],[Tech Start Date]],28),IF(Main[[#This Row],[Class]]="B", WORKDAY(Main[[#This Row],[Tech Start Date]],19),IF(Main[[#This Row],[Class]]="A",WORKDAY(Main[[#This Row],[Tech Start Date]],9),""))))</f>
        <v/>
      </c>
      <c r="Q929" s="74">
        <v>40672</v>
      </c>
      <c r="R929" s="74"/>
      <c r="S929" s="72" t="s">
        <v>6</v>
      </c>
      <c r="T929" s="80" t="s">
        <v>4</v>
      </c>
      <c r="U929" s="72" t="s">
        <v>14</v>
      </c>
      <c r="V929" s="72" t="s">
        <v>1935</v>
      </c>
      <c r="W929" s="72" t="s">
        <v>1934</v>
      </c>
      <c r="X929" s="72" t="s">
        <v>2906</v>
      </c>
      <c r="Y929" s="72" t="s">
        <v>3025</v>
      </c>
      <c r="Z929" s="72" t="s">
        <v>535</v>
      </c>
      <c r="AA929" s="147" t="s">
        <v>2906</v>
      </c>
    </row>
    <row r="930" spans="1:27" ht="18.600000000000001" customHeight="1">
      <c r="A930" s="140" t="str">
        <f>IF(priority(Main[[#This Row],[Comments]])&lt;&gt;0, priority(Main[[#This Row],[Comments]]),"")</f>
        <v/>
      </c>
      <c r="B930" s="90" t="s">
        <v>2759</v>
      </c>
      <c r="C930" s="72" t="s">
        <v>47</v>
      </c>
      <c r="D930" s="73" t="s">
        <v>3500</v>
      </c>
      <c r="E930" s="74">
        <v>40893.759675925925</v>
      </c>
      <c r="F930" s="74"/>
      <c r="G930" s="75" t="str">
        <f>IF(stdProdLT(Main[[#This Row],[Comments]])=0.1,"N/A",IF(stdProdLT(Main[[#This Row],[Comments]])=0,"",stdProdLT(Main[[#This Row],[Comments]])))</f>
        <v/>
      </c>
      <c r="H930" s="76" t="str">
        <f>IF(AND(Main[[#This Row],[In Stock Date]]&lt;&gt;"",Main[[#This Row],[Revised Due Date]]&lt;&gt;""),Main[[#This Row],[In Stock Date]]-Main[[#This Row],[Revised Due Date]],"")</f>
        <v/>
      </c>
      <c r="I930" s="72" t="s">
        <v>4</v>
      </c>
      <c r="J930" s="72" t="s">
        <v>4</v>
      </c>
      <c r="K930" s="72" t="s">
        <v>4</v>
      </c>
      <c r="L930" s="74"/>
      <c r="M930" s="77" t="str">
        <f>IF(Main[[#This Row],[Tech Start Date]]&lt;1/1/1990,"",IF(Main[[#This Row],[Class]]="C",WORKDAY(Main[[#This Row],[Tech Start Date]],9),IF(Main[[#This Row],[Class]]="B", WORKDAY(Main[[#This Row],[Tech Start Date]],6),IF(Main[[#This Row],[Class]]="A",WORKDAY(Main[[#This Row],[Tech Start Date]],2),""))))</f>
        <v/>
      </c>
      <c r="N930" s="77" t="str">
        <f>IF(Main[[#This Row],[Tech Start Date]]&lt;1/1/1990,"",IF(Main[[#This Row],[Class]]="C",WORKDAY(Main[[#This Row],[Tech Start Date]],19),IF(Main[[#This Row],[Class]]="B", WORKDAY(Main[[#This Row],[Tech Start Date]],12),IF(Main[[#This Row],[Class]]="A",WORKDAY(Main[[#This Row],[Tech Start Date]],4),""))))</f>
        <v/>
      </c>
      <c r="O930" s="77" t="str">
        <f>IF(Main[[#This Row],[Tech Start Date]]&lt;1/1/1990,"",IF(Main[[#This Row],[Class]]="C",WORKDAY(Main[[#This Row],[Tech Start Date]],23),IF(Main[[#This Row],[Class]]="B", WORKDAY(Main[[#This Row],[Tech Start Date]],15),IF(Main[[#This Row],[Class]]="A",WORKDAY(Main[[#This Row],[Tech Start Date]],5),""))))</f>
        <v/>
      </c>
      <c r="P930" s="77" t="str">
        <f>IF(Main[[#This Row],[Tech Start Date]]&lt;1/1/1990,"",IF(Main[[#This Row],[Class]]="C",WORKDAY(Main[[#This Row],[Tech Start Date]],28),IF(Main[[#This Row],[Class]]="B", WORKDAY(Main[[#This Row],[Tech Start Date]],19),IF(Main[[#This Row],[Class]]="A",WORKDAY(Main[[#This Row],[Tech Start Date]],9),""))))</f>
        <v/>
      </c>
      <c r="Q930" s="74">
        <v>40924</v>
      </c>
      <c r="R930" s="74"/>
      <c r="S930" s="72" t="s">
        <v>6</v>
      </c>
      <c r="T930" s="80" t="s">
        <v>4</v>
      </c>
      <c r="U930" s="72" t="s">
        <v>29</v>
      </c>
      <c r="V930" s="72" t="s">
        <v>2312</v>
      </c>
      <c r="W930" s="72" t="s">
        <v>4</v>
      </c>
      <c r="X930" s="72" t="s">
        <v>2949</v>
      </c>
      <c r="Y930" s="72" t="s">
        <v>3097</v>
      </c>
      <c r="Z930" s="72" t="s">
        <v>4</v>
      </c>
      <c r="AA930" s="147" t="s">
        <v>2949</v>
      </c>
    </row>
    <row r="931" spans="1:27" ht="18.600000000000001" customHeight="1">
      <c r="A931" s="140" t="str">
        <f>IF(priority(Main[[#This Row],[Comments]])&lt;&gt;0, priority(Main[[#This Row],[Comments]]),"")</f>
        <v/>
      </c>
      <c r="B931" s="90" t="s">
        <v>3501</v>
      </c>
      <c r="C931" s="72" t="s">
        <v>47</v>
      </c>
      <c r="D931" s="73" t="s">
        <v>3502</v>
      </c>
      <c r="E931" s="74">
        <v>40938.416261574072</v>
      </c>
      <c r="F931" s="74"/>
      <c r="G931" s="75" t="str">
        <f>IF(stdProdLT(Main[[#This Row],[Comments]])=0.1,"N/A",IF(stdProdLT(Main[[#This Row],[Comments]])=0,"",stdProdLT(Main[[#This Row],[Comments]])))</f>
        <v/>
      </c>
      <c r="H931" s="76" t="str">
        <f>IF(AND(Main[[#This Row],[In Stock Date]]&lt;&gt;"",Main[[#This Row],[Revised Due Date]]&lt;&gt;""),Main[[#This Row],[In Stock Date]]-Main[[#This Row],[Revised Due Date]],"")</f>
        <v/>
      </c>
      <c r="I931" s="72" t="s">
        <v>4</v>
      </c>
      <c r="J931" s="72" t="s">
        <v>4</v>
      </c>
      <c r="K931" s="72" t="s">
        <v>4</v>
      </c>
      <c r="L931" s="74"/>
      <c r="M931" s="77" t="str">
        <f>IF(Main[[#This Row],[Tech Start Date]]&lt;1/1/1990,"",IF(Main[[#This Row],[Class]]="C",WORKDAY(Main[[#This Row],[Tech Start Date]],9),IF(Main[[#This Row],[Class]]="B", WORKDAY(Main[[#This Row],[Tech Start Date]],6),IF(Main[[#This Row],[Class]]="A",WORKDAY(Main[[#This Row],[Tech Start Date]],2),""))))</f>
        <v/>
      </c>
      <c r="N931" s="77" t="str">
        <f>IF(Main[[#This Row],[Tech Start Date]]&lt;1/1/1990,"",IF(Main[[#This Row],[Class]]="C",WORKDAY(Main[[#This Row],[Tech Start Date]],19),IF(Main[[#This Row],[Class]]="B", WORKDAY(Main[[#This Row],[Tech Start Date]],12),IF(Main[[#This Row],[Class]]="A",WORKDAY(Main[[#This Row],[Tech Start Date]],4),""))))</f>
        <v/>
      </c>
      <c r="O931" s="77" t="str">
        <f>IF(Main[[#This Row],[Tech Start Date]]&lt;1/1/1990,"",IF(Main[[#This Row],[Class]]="C",WORKDAY(Main[[#This Row],[Tech Start Date]],23),IF(Main[[#This Row],[Class]]="B", WORKDAY(Main[[#This Row],[Tech Start Date]],15),IF(Main[[#This Row],[Class]]="A",WORKDAY(Main[[#This Row],[Tech Start Date]],5),""))))</f>
        <v/>
      </c>
      <c r="P931" s="77" t="str">
        <f>IF(Main[[#This Row],[Tech Start Date]]&lt;1/1/1990,"",IF(Main[[#This Row],[Class]]="C",WORKDAY(Main[[#This Row],[Tech Start Date]],28),IF(Main[[#This Row],[Class]]="B", WORKDAY(Main[[#This Row],[Tech Start Date]],19),IF(Main[[#This Row],[Class]]="A",WORKDAY(Main[[#This Row],[Tech Start Date]],9),""))))</f>
        <v/>
      </c>
      <c r="Q931" s="74">
        <v>40575</v>
      </c>
      <c r="R931" s="74"/>
      <c r="S931" s="72" t="s">
        <v>6</v>
      </c>
      <c r="T931" s="80" t="s">
        <v>4</v>
      </c>
      <c r="U931" s="72" t="s">
        <v>7</v>
      </c>
      <c r="V931" s="72" t="s">
        <v>2312</v>
      </c>
      <c r="W931" s="72" t="s">
        <v>4</v>
      </c>
      <c r="X931" s="72" t="s">
        <v>2949</v>
      </c>
      <c r="Y931" s="72" t="s">
        <v>3097</v>
      </c>
      <c r="Z931" s="72" t="s">
        <v>4</v>
      </c>
      <c r="AA931" s="147" t="s">
        <v>2949</v>
      </c>
    </row>
    <row r="932" spans="1:27" ht="18.600000000000001" customHeight="1">
      <c r="A932" s="140" t="str">
        <f>IF(priority(Main[[#This Row],[Comments]])&lt;&gt;0, priority(Main[[#This Row],[Comments]]),"")</f>
        <v/>
      </c>
      <c r="B932" s="90" t="s">
        <v>1769</v>
      </c>
      <c r="C932" s="72" t="s">
        <v>72</v>
      </c>
      <c r="D932" s="73" t="s">
        <v>810</v>
      </c>
      <c r="E932" s="74"/>
      <c r="F932" s="74"/>
      <c r="G932" s="75" t="str">
        <f>IF(stdProdLT(Main[[#This Row],[Comments]])=0.1,"N/A",IF(stdProdLT(Main[[#This Row],[Comments]])=0,"",stdProdLT(Main[[#This Row],[Comments]])))</f>
        <v/>
      </c>
      <c r="H932" s="76" t="str">
        <f>IF(AND(Main[[#This Row],[In Stock Date]]&lt;&gt;"",Main[[#This Row],[Revised Due Date]]&lt;&gt;""),Main[[#This Row],[In Stock Date]]-Main[[#This Row],[Revised Due Date]],"")</f>
        <v/>
      </c>
      <c r="I932" s="72" t="s">
        <v>4</v>
      </c>
      <c r="J932" s="72" t="s">
        <v>52</v>
      </c>
      <c r="K932" s="72" t="s">
        <v>4</v>
      </c>
      <c r="L932" s="74"/>
      <c r="M932" s="77" t="str">
        <f>IF(Main[[#This Row],[Tech Start Date]]&lt;1/1/1990,"",IF(Main[[#This Row],[Class]]="C",WORKDAY(Main[[#This Row],[Tech Start Date]],9),IF(Main[[#This Row],[Class]]="B", WORKDAY(Main[[#This Row],[Tech Start Date]],6),IF(Main[[#This Row],[Class]]="A",WORKDAY(Main[[#This Row],[Tech Start Date]],2),""))))</f>
        <v/>
      </c>
      <c r="N932" s="77" t="str">
        <f>IF(Main[[#This Row],[Tech Start Date]]&lt;1/1/1990,"",IF(Main[[#This Row],[Class]]="C",WORKDAY(Main[[#This Row],[Tech Start Date]],19),IF(Main[[#This Row],[Class]]="B", WORKDAY(Main[[#This Row],[Tech Start Date]],12),IF(Main[[#This Row],[Class]]="A",WORKDAY(Main[[#This Row],[Tech Start Date]],4),""))))</f>
        <v/>
      </c>
      <c r="O932" s="77" t="str">
        <f>IF(Main[[#This Row],[Tech Start Date]]&lt;1/1/1990,"",IF(Main[[#This Row],[Class]]="C",WORKDAY(Main[[#This Row],[Tech Start Date]],23),IF(Main[[#This Row],[Class]]="B", WORKDAY(Main[[#This Row],[Tech Start Date]],15),IF(Main[[#This Row],[Class]]="A",WORKDAY(Main[[#This Row],[Tech Start Date]],5),""))))</f>
        <v/>
      </c>
      <c r="P932" s="77" t="str">
        <f>IF(Main[[#This Row],[Tech Start Date]]&lt;1/1/1990,"",IF(Main[[#This Row],[Class]]="C",WORKDAY(Main[[#This Row],[Tech Start Date]],28),IF(Main[[#This Row],[Class]]="B", WORKDAY(Main[[#This Row],[Tech Start Date]],19),IF(Main[[#This Row],[Class]]="A",WORKDAY(Main[[#This Row],[Tech Start Date]],9),""))))</f>
        <v/>
      </c>
      <c r="Q932" s="74">
        <v>40482</v>
      </c>
      <c r="R932" s="74"/>
      <c r="S932" s="72" t="s">
        <v>11</v>
      </c>
      <c r="T932" s="80" t="s">
        <v>4</v>
      </c>
      <c r="U932" s="72" t="s">
        <v>14</v>
      </c>
      <c r="V932" s="72" t="s">
        <v>1935</v>
      </c>
      <c r="W932" s="72" t="s">
        <v>1940</v>
      </c>
      <c r="X932" s="72" t="s">
        <v>2985</v>
      </c>
      <c r="Y932" s="72" t="s">
        <v>3065</v>
      </c>
      <c r="Z932" s="72" t="s">
        <v>2073</v>
      </c>
      <c r="AA932" s="147" t="s">
        <v>2931</v>
      </c>
    </row>
    <row r="933" spans="1:27" ht="18.600000000000001" customHeight="1">
      <c r="A933" s="140" t="str">
        <f>IF(priority(Main[[#This Row],[Comments]])&lt;&gt;0, priority(Main[[#This Row],[Comments]]),"")</f>
        <v/>
      </c>
      <c r="B933" s="90" t="s">
        <v>1770</v>
      </c>
      <c r="C933" s="72" t="s">
        <v>4</v>
      </c>
      <c r="D933" s="73" t="s">
        <v>811</v>
      </c>
      <c r="E933" s="74"/>
      <c r="F933" s="74"/>
      <c r="G933" s="75" t="str">
        <f>IF(stdProdLT(Main[[#This Row],[Comments]])=0.1,"N/A",IF(stdProdLT(Main[[#This Row],[Comments]])=0,"",stdProdLT(Main[[#This Row],[Comments]])))</f>
        <v/>
      </c>
      <c r="H933" s="76" t="str">
        <f>IF(AND(Main[[#This Row],[In Stock Date]]&lt;&gt;"",Main[[#This Row],[Revised Due Date]]&lt;&gt;""),Main[[#This Row],[In Stock Date]]-Main[[#This Row],[Revised Due Date]],"")</f>
        <v/>
      </c>
      <c r="I933" s="72" t="s">
        <v>403</v>
      </c>
      <c r="J933" s="72" t="s">
        <v>4</v>
      </c>
      <c r="K933" s="72" t="s">
        <v>4</v>
      </c>
      <c r="L933" s="74"/>
      <c r="M933" s="77" t="str">
        <f>IF(Main[[#This Row],[Tech Start Date]]&lt;1/1/1990,"",IF(Main[[#This Row],[Class]]="C",WORKDAY(Main[[#This Row],[Tech Start Date]],9),IF(Main[[#This Row],[Class]]="B", WORKDAY(Main[[#This Row],[Tech Start Date]],6),IF(Main[[#This Row],[Class]]="A",WORKDAY(Main[[#This Row],[Tech Start Date]],2),""))))</f>
        <v/>
      </c>
      <c r="N933" s="77" t="str">
        <f>IF(Main[[#This Row],[Tech Start Date]]&lt;1/1/1990,"",IF(Main[[#This Row],[Class]]="C",WORKDAY(Main[[#This Row],[Tech Start Date]],19),IF(Main[[#This Row],[Class]]="B", WORKDAY(Main[[#This Row],[Tech Start Date]],12),IF(Main[[#This Row],[Class]]="A",WORKDAY(Main[[#This Row],[Tech Start Date]],4),""))))</f>
        <v/>
      </c>
      <c r="O933" s="77" t="str">
        <f>IF(Main[[#This Row],[Tech Start Date]]&lt;1/1/1990,"",IF(Main[[#This Row],[Class]]="C",WORKDAY(Main[[#This Row],[Tech Start Date]],23),IF(Main[[#This Row],[Class]]="B", WORKDAY(Main[[#This Row],[Tech Start Date]],15),IF(Main[[#This Row],[Class]]="A",WORKDAY(Main[[#This Row],[Tech Start Date]],5),""))))</f>
        <v/>
      </c>
      <c r="P933" s="77" t="str">
        <f>IF(Main[[#This Row],[Tech Start Date]]&lt;1/1/1990,"",IF(Main[[#This Row],[Class]]="C",WORKDAY(Main[[#This Row],[Tech Start Date]],28),IF(Main[[#This Row],[Class]]="B", WORKDAY(Main[[#This Row],[Tech Start Date]],19),IF(Main[[#This Row],[Class]]="A",WORKDAY(Main[[#This Row],[Tech Start Date]],9),""))))</f>
        <v/>
      </c>
      <c r="Q933" s="74">
        <v>40359</v>
      </c>
      <c r="R933" s="74"/>
      <c r="S933" s="72" t="s">
        <v>11</v>
      </c>
      <c r="T933" s="80" t="s">
        <v>4</v>
      </c>
      <c r="U933" s="72" t="s">
        <v>14</v>
      </c>
      <c r="V933" s="72" t="s">
        <v>1935</v>
      </c>
      <c r="W933" s="72" t="s">
        <v>1938</v>
      </c>
      <c r="X933" s="72" t="s">
        <v>2965</v>
      </c>
      <c r="Y933" s="72" t="s">
        <v>3117</v>
      </c>
      <c r="Z933" s="72" t="s">
        <v>310</v>
      </c>
      <c r="AA933" s="147" t="s">
        <v>2965</v>
      </c>
    </row>
    <row r="934" spans="1:27" ht="18.600000000000001" customHeight="1">
      <c r="A934" s="140" t="str">
        <f>IF(priority(Main[[#This Row],[Comments]])&lt;&gt;0, priority(Main[[#This Row],[Comments]]),"")</f>
        <v/>
      </c>
      <c r="B934" s="90" t="s">
        <v>1771</v>
      </c>
      <c r="C934" s="72" t="s">
        <v>42</v>
      </c>
      <c r="D934" s="73" t="s">
        <v>812</v>
      </c>
      <c r="E934" s="74">
        <v>39932.448611111111</v>
      </c>
      <c r="F934" s="74"/>
      <c r="G934" s="75" t="str">
        <f>IF(stdProdLT(Main[[#This Row],[Comments]])=0.1,"N/A",IF(stdProdLT(Main[[#This Row],[Comments]])=0,"",stdProdLT(Main[[#This Row],[Comments]])))</f>
        <v/>
      </c>
      <c r="H934" s="76" t="str">
        <f>IF(AND(Main[[#This Row],[In Stock Date]]&lt;&gt;"",Main[[#This Row],[Revised Due Date]]&lt;&gt;""),Main[[#This Row],[In Stock Date]]-Main[[#This Row],[Revised Due Date]],"")</f>
        <v/>
      </c>
      <c r="I934" s="72" t="s">
        <v>4</v>
      </c>
      <c r="J934" s="72" t="s">
        <v>4</v>
      </c>
      <c r="K934" s="72" t="s">
        <v>4</v>
      </c>
      <c r="L934" s="74"/>
      <c r="M934" s="77" t="str">
        <f>IF(Main[[#This Row],[Tech Start Date]]&lt;1/1/1990,"",IF(Main[[#This Row],[Class]]="C",WORKDAY(Main[[#This Row],[Tech Start Date]],9),IF(Main[[#This Row],[Class]]="B", WORKDAY(Main[[#This Row],[Tech Start Date]],6),IF(Main[[#This Row],[Class]]="A",WORKDAY(Main[[#This Row],[Tech Start Date]],2),""))))</f>
        <v/>
      </c>
      <c r="N934" s="77" t="str">
        <f>IF(Main[[#This Row],[Tech Start Date]]&lt;1/1/1990,"",IF(Main[[#This Row],[Class]]="C",WORKDAY(Main[[#This Row],[Tech Start Date]],19),IF(Main[[#This Row],[Class]]="B", WORKDAY(Main[[#This Row],[Tech Start Date]],12),IF(Main[[#This Row],[Class]]="A",WORKDAY(Main[[#This Row],[Tech Start Date]],4),""))))</f>
        <v/>
      </c>
      <c r="O934" s="77" t="str">
        <f>IF(Main[[#This Row],[Tech Start Date]]&lt;1/1/1990,"",IF(Main[[#This Row],[Class]]="C",WORKDAY(Main[[#This Row],[Tech Start Date]],23),IF(Main[[#This Row],[Class]]="B", WORKDAY(Main[[#This Row],[Tech Start Date]],15),IF(Main[[#This Row],[Class]]="A",WORKDAY(Main[[#This Row],[Tech Start Date]],5),""))))</f>
        <v/>
      </c>
      <c r="P934" s="77" t="str">
        <f>IF(Main[[#This Row],[Tech Start Date]]&lt;1/1/1990,"",IF(Main[[#This Row],[Class]]="C",WORKDAY(Main[[#This Row],[Tech Start Date]],28),IF(Main[[#This Row],[Class]]="B", WORKDAY(Main[[#This Row],[Tech Start Date]],19),IF(Main[[#This Row],[Class]]="A",WORKDAY(Main[[#This Row],[Tech Start Date]],9),""))))</f>
        <v/>
      </c>
      <c r="Q934" s="74"/>
      <c r="R934" s="74"/>
      <c r="S934" s="72" t="s">
        <v>17</v>
      </c>
      <c r="T934" s="80" t="s">
        <v>4</v>
      </c>
      <c r="U934" s="72" t="s">
        <v>7</v>
      </c>
      <c r="V934" s="72" t="s">
        <v>1935</v>
      </c>
      <c r="W934" s="72" t="s">
        <v>4</v>
      </c>
      <c r="X934" s="72" t="s">
        <v>403</v>
      </c>
      <c r="Y934" s="72" t="s">
        <v>4</v>
      </c>
      <c r="Z934" s="72" t="s">
        <v>4</v>
      </c>
      <c r="AA934" s="147" t="s">
        <v>4</v>
      </c>
    </row>
    <row r="935" spans="1:27" ht="18.600000000000001" customHeight="1">
      <c r="A935" s="140" t="str">
        <f>IF(priority(Main[[#This Row],[Comments]])&lt;&gt;0, priority(Main[[#This Row],[Comments]]),"")</f>
        <v/>
      </c>
      <c r="B935" s="90" t="s">
        <v>1916</v>
      </c>
      <c r="C935" s="72" t="s">
        <v>72</v>
      </c>
      <c r="D935" s="73" t="s">
        <v>2136</v>
      </c>
      <c r="E935" s="74">
        <v>40469.926608796297</v>
      </c>
      <c r="F935" s="74">
        <v>40487</v>
      </c>
      <c r="G935" s="75">
        <f>IF(stdProdLT(Main[[#This Row],[Comments]])=0.1,"N/A",IF(stdProdLT(Main[[#This Row],[Comments]])=0,"",stdProdLT(Main[[#This Row],[Comments]])))</f>
        <v>42</v>
      </c>
      <c r="H935" s="76">
        <f>IF(AND(Main[[#This Row],[In Stock Date]]&lt;&gt;"",Main[[#This Row],[Revised Due Date]]&lt;&gt;""),Main[[#This Row],[In Stock Date]]-Main[[#This Row],[Revised Due Date]],"")</f>
        <v>-294</v>
      </c>
      <c r="I935" s="72" t="s">
        <v>2075</v>
      </c>
      <c r="J935" s="72" t="s">
        <v>52</v>
      </c>
      <c r="K935" s="72" t="s">
        <v>1945</v>
      </c>
      <c r="L935" s="74"/>
      <c r="M935" s="77" t="str">
        <f>IF(Main[[#This Row],[Tech Start Date]]&lt;1/1/1990,"",IF(Main[[#This Row],[Class]]="C",WORKDAY(Main[[#This Row],[Tech Start Date]],9),IF(Main[[#This Row],[Class]]="B", WORKDAY(Main[[#This Row],[Tech Start Date]],6),IF(Main[[#This Row],[Class]]="A",WORKDAY(Main[[#This Row],[Tech Start Date]],2),""))))</f>
        <v/>
      </c>
      <c r="N935" s="77" t="str">
        <f>IF(Main[[#This Row],[Tech Start Date]]&lt;1/1/1990,"",IF(Main[[#This Row],[Class]]="C",WORKDAY(Main[[#This Row],[Tech Start Date]],19),IF(Main[[#This Row],[Class]]="B", WORKDAY(Main[[#This Row],[Tech Start Date]],12),IF(Main[[#This Row],[Class]]="A",WORKDAY(Main[[#This Row],[Tech Start Date]],4),""))))</f>
        <v/>
      </c>
      <c r="O935" s="77" t="str">
        <f>IF(Main[[#This Row],[Tech Start Date]]&lt;1/1/1990,"",IF(Main[[#This Row],[Class]]="C",WORKDAY(Main[[#This Row],[Tech Start Date]],23),IF(Main[[#This Row],[Class]]="B", WORKDAY(Main[[#This Row],[Tech Start Date]],15),IF(Main[[#This Row],[Class]]="A",WORKDAY(Main[[#This Row],[Tech Start Date]],5),""))))</f>
        <v/>
      </c>
      <c r="P935" s="77" t="str">
        <f>IF(Main[[#This Row],[Tech Start Date]]&lt;1/1/1990,"",IF(Main[[#This Row],[Class]]="C",WORKDAY(Main[[#This Row],[Tech Start Date]],28),IF(Main[[#This Row],[Class]]="B", WORKDAY(Main[[#This Row],[Tech Start Date]],19),IF(Main[[#This Row],[Class]]="A",WORKDAY(Main[[#This Row],[Tech Start Date]],9),""))))</f>
        <v/>
      </c>
      <c r="Q935" s="74"/>
      <c r="R935" s="74">
        <v>40781</v>
      </c>
      <c r="S935" s="72" t="s">
        <v>6</v>
      </c>
      <c r="T935" s="80" t="s">
        <v>2137</v>
      </c>
      <c r="U935" s="72" t="s">
        <v>29</v>
      </c>
      <c r="V935" s="72" t="s">
        <v>1933</v>
      </c>
      <c r="W935" s="72" t="s">
        <v>1934</v>
      </c>
      <c r="X935" s="72" t="s">
        <v>2985</v>
      </c>
      <c r="Y935" s="72" t="s">
        <v>3166</v>
      </c>
      <c r="Z935" s="72" t="s">
        <v>108</v>
      </c>
      <c r="AA935" s="147" t="s">
        <v>2985</v>
      </c>
    </row>
    <row r="936" spans="1:27" ht="18.600000000000001" customHeight="1">
      <c r="A936" s="140" t="str">
        <f>IF(priority(Main[[#This Row],[Comments]])&lt;&gt;0, priority(Main[[#This Row],[Comments]]),"")</f>
        <v/>
      </c>
      <c r="B936" s="90" t="s">
        <v>1880</v>
      </c>
      <c r="C936" s="72" t="s">
        <v>31</v>
      </c>
      <c r="D936" s="73" t="s">
        <v>929</v>
      </c>
      <c r="E936" s="74"/>
      <c r="F936" s="74">
        <v>40664</v>
      </c>
      <c r="G936" s="75" t="str">
        <f>IF(stdProdLT(Main[[#This Row],[Comments]])=0.1,"N/A",IF(stdProdLT(Main[[#This Row],[Comments]])=0,"",stdProdLT(Main[[#This Row],[Comments]])))</f>
        <v/>
      </c>
      <c r="H936" s="76">
        <f>IF(AND(Main[[#This Row],[In Stock Date]]&lt;&gt;"",Main[[#This Row],[Revised Due Date]]&lt;&gt;""),Main[[#This Row],[In Stock Date]]-Main[[#This Row],[Revised Due Date]],"")</f>
        <v>87</v>
      </c>
      <c r="I936" s="72" t="s">
        <v>422</v>
      </c>
      <c r="J936" s="72" t="s">
        <v>75</v>
      </c>
      <c r="K936" s="72" t="s">
        <v>1941</v>
      </c>
      <c r="L936" s="74"/>
      <c r="M936" s="77" t="str">
        <f>IF(Main[[#This Row],[Tech Start Date]]&lt;1/1/1990,"",IF(Main[[#This Row],[Class]]="C",WORKDAY(Main[[#This Row],[Tech Start Date]],9),IF(Main[[#This Row],[Class]]="B", WORKDAY(Main[[#This Row],[Tech Start Date]],6),IF(Main[[#This Row],[Class]]="A",WORKDAY(Main[[#This Row],[Tech Start Date]],2),""))))</f>
        <v/>
      </c>
      <c r="N936" s="77" t="str">
        <f>IF(Main[[#This Row],[Tech Start Date]]&lt;1/1/1990,"",IF(Main[[#This Row],[Class]]="C",WORKDAY(Main[[#This Row],[Tech Start Date]],19),IF(Main[[#This Row],[Class]]="B", WORKDAY(Main[[#This Row],[Tech Start Date]],12),IF(Main[[#This Row],[Class]]="A",WORKDAY(Main[[#This Row],[Tech Start Date]],4),""))))</f>
        <v/>
      </c>
      <c r="O936" s="77" t="str">
        <f>IF(Main[[#This Row],[Tech Start Date]]&lt;1/1/1990,"",IF(Main[[#This Row],[Class]]="C",WORKDAY(Main[[#This Row],[Tech Start Date]],23),IF(Main[[#This Row],[Class]]="B", WORKDAY(Main[[#This Row],[Tech Start Date]],15),IF(Main[[#This Row],[Class]]="A",WORKDAY(Main[[#This Row],[Tech Start Date]],5),""))))</f>
        <v/>
      </c>
      <c r="P936" s="77" t="str">
        <f>IF(Main[[#This Row],[Tech Start Date]]&lt;1/1/1990,"",IF(Main[[#This Row],[Class]]="C",WORKDAY(Main[[#This Row],[Tech Start Date]],28),IF(Main[[#This Row],[Class]]="B", WORKDAY(Main[[#This Row],[Tech Start Date]],19),IF(Main[[#This Row],[Class]]="A",WORKDAY(Main[[#This Row],[Tech Start Date]],9),""))))</f>
        <v/>
      </c>
      <c r="Q936" s="74">
        <v>40589</v>
      </c>
      <c r="R936" s="74">
        <v>40577</v>
      </c>
      <c r="S936" s="72" t="s">
        <v>11</v>
      </c>
      <c r="T936" s="80" t="s">
        <v>4</v>
      </c>
      <c r="U936" s="72" t="s">
        <v>14</v>
      </c>
      <c r="V936" s="72" t="s">
        <v>1935</v>
      </c>
      <c r="W936" s="72" t="s">
        <v>1938</v>
      </c>
      <c r="X936" s="72" t="s">
        <v>2909</v>
      </c>
      <c r="Y936" s="72" t="s">
        <v>3054</v>
      </c>
      <c r="Z936" s="72" t="s">
        <v>535</v>
      </c>
      <c r="AA936" s="147" t="s">
        <v>2909</v>
      </c>
    </row>
    <row r="937" spans="1:27" ht="18.600000000000001" customHeight="1">
      <c r="A937" s="140" t="str">
        <f>IF(priority(Main[[#This Row],[Comments]])&lt;&gt;0, priority(Main[[#This Row],[Comments]]),"")</f>
        <v/>
      </c>
      <c r="B937" s="90" t="s">
        <v>1709</v>
      </c>
      <c r="C937" s="72" t="s">
        <v>4</v>
      </c>
      <c r="D937" s="73" t="s">
        <v>758</v>
      </c>
      <c r="E937" s="74"/>
      <c r="F937" s="74"/>
      <c r="G937" s="75" t="str">
        <f>IF(stdProdLT(Main[[#This Row],[Comments]])=0.1,"N/A",IF(stdProdLT(Main[[#This Row],[Comments]])=0,"",stdProdLT(Main[[#This Row],[Comments]])))</f>
        <v/>
      </c>
      <c r="H937" s="76" t="str">
        <f>IF(AND(Main[[#This Row],[In Stock Date]]&lt;&gt;"",Main[[#This Row],[Revised Due Date]]&lt;&gt;""),Main[[#This Row],[In Stock Date]]-Main[[#This Row],[Revised Due Date]],"")</f>
        <v/>
      </c>
      <c r="I937" s="72" t="s">
        <v>4</v>
      </c>
      <c r="J937" s="72" t="s">
        <v>28</v>
      </c>
      <c r="K937" s="81" t="s">
        <v>1944</v>
      </c>
      <c r="L937" s="74"/>
      <c r="M937" s="77" t="str">
        <f>IF(Main[[#This Row],[Tech Start Date]]&lt;1/1/1990,"",IF(Main[[#This Row],[Class]]="C",WORKDAY(Main[[#This Row],[Tech Start Date]],9),IF(Main[[#This Row],[Class]]="B", WORKDAY(Main[[#This Row],[Tech Start Date]],6),IF(Main[[#This Row],[Class]]="A",WORKDAY(Main[[#This Row],[Tech Start Date]],2),""))))</f>
        <v/>
      </c>
      <c r="N937" s="77" t="str">
        <f>IF(Main[[#This Row],[Tech Start Date]]&lt;1/1/1990,"",IF(Main[[#This Row],[Class]]="C",WORKDAY(Main[[#This Row],[Tech Start Date]],19),IF(Main[[#This Row],[Class]]="B", WORKDAY(Main[[#This Row],[Tech Start Date]],12),IF(Main[[#This Row],[Class]]="A",WORKDAY(Main[[#This Row],[Tech Start Date]],4),""))))</f>
        <v/>
      </c>
      <c r="O937" s="77" t="str">
        <f>IF(Main[[#This Row],[Tech Start Date]]&lt;1/1/1990,"",IF(Main[[#This Row],[Class]]="C",WORKDAY(Main[[#This Row],[Tech Start Date]],23),IF(Main[[#This Row],[Class]]="B", WORKDAY(Main[[#This Row],[Tech Start Date]],15),IF(Main[[#This Row],[Class]]="A",WORKDAY(Main[[#This Row],[Tech Start Date]],5),""))))</f>
        <v/>
      </c>
      <c r="P937" s="77" t="str">
        <f>IF(Main[[#This Row],[Tech Start Date]]&lt;1/1/1990,"",IF(Main[[#This Row],[Class]]="C",WORKDAY(Main[[#This Row],[Tech Start Date]],28),IF(Main[[#This Row],[Class]]="B", WORKDAY(Main[[#This Row],[Tech Start Date]],19),IF(Main[[#This Row],[Class]]="A",WORKDAY(Main[[#This Row],[Tech Start Date]],9),""))))</f>
        <v/>
      </c>
      <c r="Q937" s="74">
        <v>40522</v>
      </c>
      <c r="R937" s="74"/>
      <c r="S937" s="72" t="s">
        <v>17</v>
      </c>
      <c r="T937" s="80" t="s">
        <v>4</v>
      </c>
      <c r="U937" s="72" t="s">
        <v>14</v>
      </c>
      <c r="V937" s="72" t="s">
        <v>1932</v>
      </c>
      <c r="W937" s="72" t="s">
        <v>1937</v>
      </c>
      <c r="X937" s="72" t="s">
        <v>2946</v>
      </c>
      <c r="Y937" s="72" t="s">
        <v>3093</v>
      </c>
      <c r="Z937" s="72" t="s">
        <v>129</v>
      </c>
      <c r="AA937" s="147" t="s">
        <v>2946</v>
      </c>
    </row>
    <row r="938" spans="1:27" ht="18.600000000000001" customHeight="1">
      <c r="A938" s="140" t="str">
        <f>IF(priority(Main[[#This Row],[Comments]])&lt;&gt;0, priority(Main[[#This Row],[Comments]]),"")</f>
        <v/>
      </c>
      <c r="B938" s="90" t="s">
        <v>1710</v>
      </c>
      <c r="C938" s="72" t="s">
        <v>67</v>
      </c>
      <c r="D938" s="73" t="s">
        <v>759</v>
      </c>
      <c r="E938" s="74"/>
      <c r="F938" s="74"/>
      <c r="G938" s="75" t="str">
        <f>IF(stdProdLT(Main[[#This Row],[Comments]])=0.1,"N/A",IF(stdProdLT(Main[[#This Row],[Comments]])=0,"",stdProdLT(Main[[#This Row],[Comments]])))</f>
        <v/>
      </c>
      <c r="H938" s="76" t="str">
        <f>IF(AND(Main[[#This Row],[In Stock Date]]&lt;&gt;"",Main[[#This Row],[Revised Due Date]]&lt;&gt;""),Main[[#This Row],[In Stock Date]]-Main[[#This Row],[Revised Due Date]],"")</f>
        <v/>
      </c>
      <c r="I938" s="72" t="s">
        <v>4</v>
      </c>
      <c r="J938" s="72" t="s">
        <v>4</v>
      </c>
      <c r="K938" s="72" t="s">
        <v>4</v>
      </c>
      <c r="L938" s="74"/>
      <c r="M938" s="77" t="str">
        <f>IF(Main[[#This Row],[Tech Start Date]]&lt;1/1/1990,"",IF(Main[[#This Row],[Class]]="C",WORKDAY(Main[[#This Row],[Tech Start Date]],9),IF(Main[[#This Row],[Class]]="B", WORKDAY(Main[[#This Row],[Tech Start Date]],6),IF(Main[[#This Row],[Class]]="A",WORKDAY(Main[[#This Row],[Tech Start Date]],2),""))))</f>
        <v/>
      </c>
      <c r="N938" s="77" t="str">
        <f>IF(Main[[#This Row],[Tech Start Date]]&lt;1/1/1990,"",IF(Main[[#This Row],[Class]]="C",WORKDAY(Main[[#This Row],[Tech Start Date]],19),IF(Main[[#This Row],[Class]]="B", WORKDAY(Main[[#This Row],[Tech Start Date]],12),IF(Main[[#This Row],[Class]]="A",WORKDAY(Main[[#This Row],[Tech Start Date]],4),""))))</f>
        <v/>
      </c>
      <c r="O938" s="77" t="str">
        <f>IF(Main[[#This Row],[Tech Start Date]]&lt;1/1/1990,"",IF(Main[[#This Row],[Class]]="C",WORKDAY(Main[[#This Row],[Tech Start Date]],23),IF(Main[[#This Row],[Class]]="B", WORKDAY(Main[[#This Row],[Tech Start Date]],15),IF(Main[[#This Row],[Class]]="A",WORKDAY(Main[[#This Row],[Tech Start Date]],5),""))))</f>
        <v/>
      </c>
      <c r="P938" s="77" t="str">
        <f>IF(Main[[#This Row],[Tech Start Date]]&lt;1/1/1990,"",IF(Main[[#This Row],[Class]]="C",WORKDAY(Main[[#This Row],[Tech Start Date]],28),IF(Main[[#This Row],[Class]]="B", WORKDAY(Main[[#This Row],[Tech Start Date]],19),IF(Main[[#This Row],[Class]]="A",WORKDAY(Main[[#This Row],[Tech Start Date]],9),""))))</f>
        <v/>
      </c>
      <c r="Q938" s="74">
        <v>40241</v>
      </c>
      <c r="R938" s="74"/>
      <c r="S938" s="72" t="s">
        <v>11</v>
      </c>
      <c r="T938" s="80" t="s">
        <v>4</v>
      </c>
      <c r="U938" s="72" t="s">
        <v>14</v>
      </c>
      <c r="V938" s="72" t="s">
        <v>1942</v>
      </c>
      <c r="W938" s="72" t="s">
        <v>1934</v>
      </c>
      <c r="X938" s="72" t="s">
        <v>559</v>
      </c>
      <c r="Y938" s="72" t="s">
        <v>4</v>
      </c>
      <c r="Z938" s="72" t="s">
        <v>4</v>
      </c>
      <c r="AA938" s="147" t="s">
        <v>2942</v>
      </c>
    </row>
    <row r="939" spans="1:27" ht="18.600000000000001" customHeight="1">
      <c r="A939" s="140" t="str">
        <f>IF(priority(Main[[#This Row],[Comments]])&lt;&gt;0, priority(Main[[#This Row],[Comments]]),"")</f>
        <v/>
      </c>
      <c r="B939" s="90" t="s">
        <v>1711</v>
      </c>
      <c r="C939" s="72" t="s">
        <v>4</v>
      </c>
      <c r="D939" s="73" t="s">
        <v>760</v>
      </c>
      <c r="E939" s="74"/>
      <c r="F939" s="74"/>
      <c r="G939" s="75" t="str">
        <f>IF(stdProdLT(Main[[#This Row],[Comments]])=0.1,"N/A",IF(stdProdLT(Main[[#This Row],[Comments]])=0,"",stdProdLT(Main[[#This Row],[Comments]])))</f>
        <v/>
      </c>
      <c r="H939" s="76" t="str">
        <f>IF(AND(Main[[#This Row],[In Stock Date]]&lt;&gt;"",Main[[#This Row],[Revised Due Date]]&lt;&gt;""),Main[[#This Row],[In Stock Date]]-Main[[#This Row],[Revised Due Date]],"")</f>
        <v/>
      </c>
      <c r="I939" s="72" t="s">
        <v>4</v>
      </c>
      <c r="J939" s="72" t="s">
        <v>28</v>
      </c>
      <c r="K939" s="72" t="s">
        <v>4</v>
      </c>
      <c r="L939" s="74"/>
      <c r="M939" s="77" t="str">
        <f>IF(Main[[#This Row],[Tech Start Date]]&lt;1/1/1990,"",IF(Main[[#This Row],[Class]]="C",WORKDAY(Main[[#This Row],[Tech Start Date]],9),IF(Main[[#This Row],[Class]]="B", WORKDAY(Main[[#This Row],[Tech Start Date]],6),IF(Main[[#This Row],[Class]]="A",WORKDAY(Main[[#This Row],[Tech Start Date]],2),""))))</f>
        <v/>
      </c>
      <c r="N939" s="77" t="str">
        <f>IF(Main[[#This Row],[Tech Start Date]]&lt;1/1/1990,"",IF(Main[[#This Row],[Class]]="C",WORKDAY(Main[[#This Row],[Tech Start Date]],19),IF(Main[[#This Row],[Class]]="B", WORKDAY(Main[[#This Row],[Tech Start Date]],12),IF(Main[[#This Row],[Class]]="A",WORKDAY(Main[[#This Row],[Tech Start Date]],4),""))))</f>
        <v/>
      </c>
      <c r="O939" s="77" t="str">
        <f>IF(Main[[#This Row],[Tech Start Date]]&lt;1/1/1990,"",IF(Main[[#This Row],[Class]]="C",WORKDAY(Main[[#This Row],[Tech Start Date]],23),IF(Main[[#This Row],[Class]]="B", WORKDAY(Main[[#This Row],[Tech Start Date]],15),IF(Main[[#This Row],[Class]]="A",WORKDAY(Main[[#This Row],[Tech Start Date]],5),""))))</f>
        <v/>
      </c>
      <c r="P939" s="77" t="str">
        <f>IF(Main[[#This Row],[Tech Start Date]]&lt;1/1/1990,"",IF(Main[[#This Row],[Class]]="C",WORKDAY(Main[[#This Row],[Tech Start Date]],28),IF(Main[[#This Row],[Class]]="B", WORKDAY(Main[[#This Row],[Tech Start Date]],19),IF(Main[[#This Row],[Class]]="A",WORKDAY(Main[[#This Row],[Tech Start Date]],9),""))))</f>
        <v/>
      </c>
      <c r="Q939" s="74">
        <v>40471</v>
      </c>
      <c r="R939" s="74"/>
      <c r="S939" s="72" t="s">
        <v>6</v>
      </c>
      <c r="T939" s="80" t="s">
        <v>4</v>
      </c>
      <c r="U939" s="72" t="s">
        <v>14</v>
      </c>
      <c r="V939" s="72" t="s">
        <v>1942</v>
      </c>
      <c r="W939" s="72" t="s">
        <v>1934</v>
      </c>
      <c r="X939" s="72" t="s">
        <v>2931</v>
      </c>
      <c r="Y939" s="72" t="s">
        <v>3065</v>
      </c>
      <c r="Z939" s="72" t="s">
        <v>535</v>
      </c>
      <c r="AA939" s="147" t="s">
        <v>2931</v>
      </c>
    </row>
    <row r="940" spans="1:27" ht="18.600000000000001" customHeight="1">
      <c r="A940" s="140" t="str">
        <f>IF(priority(Main[[#This Row],[Comments]])&lt;&gt;0, priority(Main[[#This Row],[Comments]]),"")</f>
        <v/>
      </c>
      <c r="B940" s="90" t="s">
        <v>1714</v>
      </c>
      <c r="C940" s="72" t="s">
        <v>279</v>
      </c>
      <c r="D940" s="73" t="s">
        <v>763</v>
      </c>
      <c r="E940" s="74"/>
      <c r="F940" s="74">
        <v>40451</v>
      </c>
      <c r="G940" s="75" t="str">
        <f>IF(stdProdLT(Main[[#This Row],[Comments]])=0.1,"N/A",IF(stdProdLT(Main[[#This Row],[Comments]])=0,"",stdProdLT(Main[[#This Row],[Comments]])))</f>
        <v/>
      </c>
      <c r="H940" s="76" t="str">
        <f>IF(AND(Main[[#This Row],[In Stock Date]]&lt;&gt;"",Main[[#This Row],[Revised Due Date]]&lt;&gt;""),Main[[#This Row],[In Stock Date]]-Main[[#This Row],[Revised Due Date]],"")</f>
        <v/>
      </c>
      <c r="I940" s="72" t="s">
        <v>4</v>
      </c>
      <c r="J940" s="72" t="s">
        <v>4</v>
      </c>
      <c r="K940" s="72" t="s">
        <v>4</v>
      </c>
      <c r="L940" s="74"/>
      <c r="M940" s="77" t="str">
        <f>IF(Main[[#This Row],[Tech Start Date]]&lt;1/1/1990,"",IF(Main[[#This Row],[Class]]="C",WORKDAY(Main[[#This Row],[Tech Start Date]],9),IF(Main[[#This Row],[Class]]="B", WORKDAY(Main[[#This Row],[Tech Start Date]],6),IF(Main[[#This Row],[Class]]="A",WORKDAY(Main[[#This Row],[Tech Start Date]],2),""))))</f>
        <v/>
      </c>
      <c r="N940" s="77" t="str">
        <f>IF(Main[[#This Row],[Tech Start Date]]&lt;1/1/1990,"",IF(Main[[#This Row],[Class]]="C",WORKDAY(Main[[#This Row],[Tech Start Date]],19),IF(Main[[#This Row],[Class]]="B", WORKDAY(Main[[#This Row],[Tech Start Date]],12),IF(Main[[#This Row],[Class]]="A",WORKDAY(Main[[#This Row],[Tech Start Date]],4),""))))</f>
        <v/>
      </c>
      <c r="O940" s="77" t="str">
        <f>IF(Main[[#This Row],[Tech Start Date]]&lt;1/1/1990,"",IF(Main[[#This Row],[Class]]="C",WORKDAY(Main[[#This Row],[Tech Start Date]],23),IF(Main[[#This Row],[Class]]="B", WORKDAY(Main[[#This Row],[Tech Start Date]],15),IF(Main[[#This Row],[Class]]="A",WORKDAY(Main[[#This Row],[Tech Start Date]],5),""))))</f>
        <v/>
      </c>
      <c r="P940" s="77" t="str">
        <f>IF(Main[[#This Row],[Tech Start Date]]&lt;1/1/1990,"",IF(Main[[#This Row],[Class]]="C",WORKDAY(Main[[#This Row],[Tech Start Date]],28),IF(Main[[#This Row],[Class]]="B", WORKDAY(Main[[#This Row],[Tech Start Date]],19),IF(Main[[#This Row],[Class]]="A",WORKDAY(Main[[#This Row],[Tech Start Date]],9),""))))</f>
        <v/>
      </c>
      <c r="Q940" s="74">
        <v>40269</v>
      </c>
      <c r="R940" s="74"/>
      <c r="S940" s="72" t="s">
        <v>11</v>
      </c>
      <c r="T940" s="80" t="s">
        <v>4</v>
      </c>
      <c r="U940" s="72" t="s">
        <v>14</v>
      </c>
      <c r="V940" s="72" t="s">
        <v>1935</v>
      </c>
      <c r="W940" s="72" t="s">
        <v>1937</v>
      </c>
      <c r="X940" s="72" t="s">
        <v>65</v>
      </c>
      <c r="Y940" s="72" t="s">
        <v>4</v>
      </c>
      <c r="Z940" s="72" t="s">
        <v>4</v>
      </c>
      <c r="AA940" s="147" t="s">
        <v>65</v>
      </c>
    </row>
    <row r="941" spans="1:27" ht="18.600000000000001" customHeight="1">
      <c r="A941" s="140" t="str">
        <f>IF(priority(Main[[#This Row],[Comments]])&lt;&gt;0, priority(Main[[#This Row],[Comments]]),"")</f>
        <v/>
      </c>
      <c r="B941" s="90" t="s">
        <v>1776</v>
      </c>
      <c r="C941" s="72" t="s">
        <v>4</v>
      </c>
      <c r="D941" s="73" t="s">
        <v>814</v>
      </c>
      <c r="E941" s="74">
        <v>40626.476493055554</v>
      </c>
      <c r="F941" s="74"/>
      <c r="G941" s="75" t="str">
        <f>IF(stdProdLT(Main[[#This Row],[Comments]])=0.1,"N/A",IF(stdProdLT(Main[[#This Row],[Comments]])=0,"",stdProdLT(Main[[#This Row],[Comments]])))</f>
        <v/>
      </c>
      <c r="H941" s="76" t="str">
        <f>IF(AND(Main[[#This Row],[In Stock Date]]&lt;&gt;"",Main[[#This Row],[Revised Due Date]]&lt;&gt;""),Main[[#This Row],[In Stock Date]]-Main[[#This Row],[Revised Due Date]],"")</f>
        <v/>
      </c>
      <c r="I941" s="72" t="s">
        <v>374</v>
      </c>
      <c r="J941" s="72" t="s">
        <v>28</v>
      </c>
      <c r="K941" s="72" t="s">
        <v>1941</v>
      </c>
      <c r="L941" s="74"/>
      <c r="M941" s="77" t="str">
        <f>IF(Main[[#This Row],[Tech Start Date]]&lt;1/1/1990,"",IF(Main[[#This Row],[Class]]="C",WORKDAY(Main[[#This Row],[Tech Start Date]],9),IF(Main[[#This Row],[Class]]="B", WORKDAY(Main[[#This Row],[Tech Start Date]],6),IF(Main[[#This Row],[Class]]="A",WORKDAY(Main[[#This Row],[Tech Start Date]],2),""))))</f>
        <v/>
      </c>
      <c r="N941" s="77" t="str">
        <f>IF(Main[[#This Row],[Tech Start Date]]&lt;1/1/1990,"",IF(Main[[#This Row],[Class]]="C",WORKDAY(Main[[#This Row],[Tech Start Date]],19),IF(Main[[#This Row],[Class]]="B", WORKDAY(Main[[#This Row],[Tech Start Date]],12),IF(Main[[#This Row],[Class]]="A",WORKDAY(Main[[#This Row],[Tech Start Date]],4),""))))</f>
        <v/>
      </c>
      <c r="O941" s="77" t="str">
        <f>IF(Main[[#This Row],[Tech Start Date]]&lt;1/1/1990,"",IF(Main[[#This Row],[Class]]="C",WORKDAY(Main[[#This Row],[Tech Start Date]],23),IF(Main[[#This Row],[Class]]="B", WORKDAY(Main[[#This Row],[Tech Start Date]],15),IF(Main[[#This Row],[Class]]="A",WORKDAY(Main[[#This Row],[Tech Start Date]],5),""))))</f>
        <v/>
      </c>
      <c r="P941" s="77" t="str">
        <f>IF(Main[[#This Row],[Tech Start Date]]&lt;1/1/1990,"",IF(Main[[#This Row],[Class]]="C",WORKDAY(Main[[#This Row],[Tech Start Date]],28),IF(Main[[#This Row],[Class]]="B", WORKDAY(Main[[#This Row],[Tech Start Date]],19),IF(Main[[#This Row],[Class]]="A",WORKDAY(Main[[#This Row],[Tech Start Date]],9),""))))</f>
        <v/>
      </c>
      <c r="Q941" s="74"/>
      <c r="R941" s="74"/>
      <c r="S941" s="72" t="s">
        <v>6</v>
      </c>
      <c r="T941" s="80" t="s">
        <v>4</v>
      </c>
      <c r="U941" s="72" t="s">
        <v>29</v>
      </c>
      <c r="V941" s="72" t="s">
        <v>1935</v>
      </c>
      <c r="W941" s="72" t="s">
        <v>1936</v>
      </c>
      <c r="X941" s="72" t="s">
        <v>74</v>
      </c>
      <c r="Y941" s="72" t="s">
        <v>3118</v>
      </c>
      <c r="Z941" s="72" t="s">
        <v>420</v>
      </c>
      <c r="AA941" s="147" t="s">
        <v>74</v>
      </c>
    </row>
    <row r="942" spans="1:27" ht="18.600000000000001" customHeight="1">
      <c r="A942" s="140" t="str">
        <f>IF(priority(Main[[#This Row],[Comments]])&lt;&gt;0, priority(Main[[#This Row],[Comments]]),"")</f>
        <v/>
      </c>
      <c r="B942" s="90" t="s">
        <v>1219</v>
      </c>
      <c r="C942" s="72" t="s">
        <v>116</v>
      </c>
      <c r="D942" s="73" t="s">
        <v>267</v>
      </c>
      <c r="E942" s="74">
        <v>40681.362476851849</v>
      </c>
      <c r="F942" s="74">
        <v>40734</v>
      </c>
      <c r="G942" s="75" t="str">
        <f>IF(stdProdLT(Main[[#This Row],[Comments]])=0.1,"N/A",IF(stdProdLT(Main[[#This Row],[Comments]])=0,"",stdProdLT(Main[[#This Row],[Comments]])))</f>
        <v/>
      </c>
      <c r="H942" s="76" t="str">
        <f>IF(AND(Main[[#This Row],[In Stock Date]]&lt;&gt;"",Main[[#This Row],[Revised Due Date]]&lt;&gt;""),Main[[#This Row],[In Stock Date]]-Main[[#This Row],[Revised Due Date]],"")</f>
        <v/>
      </c>
      <c r="I942" s="72" t="s">
        <v>4</v>
      </c>
      <c r="J942" s="72" t="s">
        <v>4</v>
      </c>
      <c r="K942" s="72" t="s">
        <v>4</v>
      </c>
      <c r="L942" s="74"/>
      <c r="M942" s="77" t="str">
        <f>IF(Main[[#This Row],[Tech Start Date]]&lt;1/1/1990,"",IF(Main[[#This Row],[Class]]="C",WORKDAY(Main[[#This Row],[Tech Start Date]],9),IF(Main[[#This Row],[Class]]="B", WORKDAY(Main[[#This Row],[Tech Start Date]],6),IF(Main[[#This Row],[Class]]="A",WORKDAY(Main[[#This Row],[Tech Start Date]],2),""))))</f>
        <v/>
      </c>
      <c r="N942" s="77" t="str">
        <f>IF(Main[[#This Row],[Tech Start Date]]&lt;1/1/1990,"",IF(Main[[#This Row],[Class]]="C",WORKDAY(Main[[#This Row],[Tech Start Date]],19),IF(Main[[#This Row],[Class]]="B", WORKDAY(Main[[#This Row],[Tech Start Date]],12),IF(Main[[#This Row],[Class]]="A",WORKDAY(Main[[#This Row],[Tech Start Date]],4),""))))</f>
        <v/>
      </c>
      <c r="O942" s="77" t="str">
        <f>IF(Main[[#This Row],[Tech Start Date]]&lt;1/1/1990,"",IF(Main[[#This Row],[Class]]="C",WORKDAY(Main[[#This Row],[Tech Start Date]],23),IF(Main[[#This Row],[Class]]="B", WORKDAY(Main[[#This Row],[Tech Start Date]],15),IF(Main[[#This Row],[Class]]="A",WORKDAY(Main[[#This Row],[Tech Start Date]],5),""))))</f>
        <v/>
      </c>
      <c r="P942" s="77" t="str">
        <f>IF(Main[[#This Row],[Tech Start Date]]&lt;1/1/1990,"",IF(Main[[#This Row],[Class]]="C",WORKDAY(Main[[#This Row],[Tech Start Date]],28),IF(Main[[#This Row],[Class]]="B", WORKDAY(Main[[#This Row],[Tech Start Date]],19),IF(Main[[#This Row],[Class]]="A",WORKDAY(Main[[#This Row],[Tech Start Date]],9),""))))</f>
        <v/>
      </c>
      <c r="Q942" s="74">
        <v>40724</v>
      </c>
      <c r="R942" s="74"/>
      <c r="S942" s="72" t="s">
        <v>17</v>
      </c>
      <c r="T942" s="80" t="s">
        <v>4</v>
      </c>
      <c r="U942" s="72" t="s">
        <v>7</v>
      </c>
      <c r="V942" s="72" t="s">
        <v>1935</v>
      </c>
      <c r="W942" s="72" t="s">
        <v>1936</v>
      </c>
      <c r="X942" s="72" t="s">
        <v>50</v>
      </c>
      <c r="Y942" s="72" t="s">
        <v>3048</v>
      </c>
      <c r="Z942" s="72" t="s">
        <v>4</v>
      </c>
      <c r="AA942" s="147" t="s">
        <v>50</v>
      </c>
    </row>
    <row r="943" spans="1:27" ht="18.600000000000001" customHeight="1">
      <c r="A943" s="140" t="str">
        <f>IF(priority(Main[[#This Row],[Comments]])&lt;&gt;0, priority(Main[[#This Row],[Comments]]),"")</f>
        <v/>
      </c>
      <c r="B943" s="90" t="s">
        <v>2427</v>
      </c>
      <c r="C943" s="72" t="s">
        <v>4</v>
      </c>
      <c r="D943" s="73" t="s">
        <v>2428</v>
      </c>
      <c r="E943" s="74"/>
      <c r="F943" s="74"/>
      <c r="G943" s="75" t="str">
        <f>IF(stdProdLT(Main[[#This Row],[Comments]])=0.1,"N/A",IF(stdProdLT(Main[[#This Row],[Comments]])=0,"",stdProdLT(Main[[#This Row],[Comments]])))</f>
        <v/>
      </c>
      <c r="H943" s="76" t="str">
        <f>IF(AND(Main[[#This Row],[In Stock Date]]&lt;&gt;"",Main[[#This Row],[Revised Due Date]]&lt;&gt;""),Main[[#This Row],[In Stock Date]]-Main[[#This Row],[Revised Due Date]],"")</f>
        <v/>
      </c>
      <c r="I943" s="72" t="s">
        <v>4</v>
      </c>
      <c r="J943" s="72" t="s">
        <v>4</v>
      </c>
      <c r="K943" s="72" t="s">
        <v>4</v>
      </c>
      <c r="L943" s="74"/>
      <c r="M943" s="77" t="str">
        <f>IF(Main[[#This Row],[Tech Start Date]]&lt;1/1/1990,"",IF(Main[[#This Row],[Class]]="C",WORKDAY(Main[[#This Row],[Tech Start Date]],9),IF(Main[[#This Row],[Class]]="B", WORKDAY(Main[[#This Row],[Tech Start Date]],6),IF(Main[[#This Row],[Class]]="A",WORKDAY(Main[[#This Row],[Tech Start Date]],2),""))))</f>
        <v/>
      </c>
      <c r="N943" s="77" t="str">
        <f>IF(Main[[#This Row],[Tech Start Date]]&lt;1/1/1990,"",IF(Main[[#This Row],[Class]]="C",WORKDAY(Main[[#This Row],[Tech Start Date]],19),IF(Main[[#This Row],[Class]]="B", WORKDAY(Main[[#This Row],[Tech Start Date]],12),IF(Main[[#This Row],[Class]]="A",WORKDAY(Main[[#This Row],[Tech Start Date]],4),""))))</f>
        <v/>
      </c>
      <c r="O943" s="77" t="str">
        <f>IF(Main[[#This Row],[Tech Start Date]]&lt;1/1/1990,"",IF(Main[[#This Row],[Class]]="C",WORKDAY(Main[[#This Row],[Tech Start Date]],23),IF(Main[[#This Row],[Class]]="B", WORKDAY(Main[[#This Row],[Tech Start Date]],15),IF(Main[[#This Row],[Class]]="A",WORKDAY(Main[[#This Row],[Tech Start Date]],5),""))))</f>
        <v/>
      </c>
      <c r="P943" s="77" t="str">
        <f>IF(Main[[#This Row],[Tech Start Date]]&lt;1/1/1990,"",IF(Main[[#This Row],[Class]]="C",WORKDAY(Main[[#This Row],[Tech Start Date]],28),IF(Main[[#This Row],[Class]]="B", WORKDAY(Main[[#This Row],[Tech Start Date]],19),IF(Main[[#This Row],[Class]]="A",WORKDAY(Main[[#This Row],[Tech Start Date]],9),""))))</f>
        <v/>
      </c>
      <c r="Q943" s="74"/>
      <c r="R943" s="74"/>
      <c r="S943" s="72" t="s">
        <v>11</v>
      </c>
      <c r="T943" s="80" t="s">
        <v>4</v>
      </c>
      <c r="U943" s="72" t="s">
        <v>14</v>
      </c>
      <c r="V943" s="72" t="s">
        <v>1933</v>
      </c>
      <c r="W943" s="72" t="s">
        <v>4</v>
      </c>
      <c r="X943" s="72" t="s">
        <v>2278</v>
      </c>
      <c r="Y943" s="72" t="s">
        <v>4</v>
      </c>
      <c r="Z943" s="72" t="s">
        <v>4</v>
      </c>
      <c r="AA943" s="147" t="s">
        <v>4</v>
      </c>
    </row>
    <row r="944" spans="1:27" ht="18.600000000000001" customHeight="1">
      <c r="A944" s="140" t="str">
        <f>IF(priority(Main[[#This Row],[Comments]])&lt;&gt;0, priority(Main[[#This Row],[Comments]]),"")</f>
        <v/>
      </c>
      <c r="B944" s="90" t="s">
        <v>1845</v>
      </c>
      <c r="C944" s="72" t="s">
        <v>369</v>
      </c>
      <c r="D944" s="73" t="s">
        <v>2143</v>
      </c>
      <c r="E944" s="74">
        <v>40002.664317129631</v>
      </c>
      <c r="F944" s="74">
        <v>40074</v>
      </c>
      <c r="G944" s="75">
        <f>IF(stdProdLT(Main[[#This Row],[Comments]])=0.1,"N/A",IF(stdProdLT(Main[[#This Row],[Comments]])=0,"",stdProdLT(Main[[#This Row],[Comments]])))</f>
        <v>126</v>
      </c>
      <c r="H944" s="76">
        <f>IF(AND(Main[[#This Row],[In Stock Date]]&lt;&gt;"",Main[[#This Row],[Revised Due Date]]&lt;&gt;""),Main[[#This Row],[In Stock Date]]-Main[[#This Row],[Revised Due Date]],"")</f>
        <v>-399</v>
      </c>
      <c r="I944" s="72" t="s">
        <v>2075</v>
      </c>
      <c r="J944" s="72" t="s">
        <v>28</v>
      </c>
      <c r="K944" s="72" t="s">
        <v>1945</v>
      </c>
      <c r="L944" s="74"/>
      <c r="M944" s="77" t="str">
        <f>IF(Main[[#This Row],[Tech Start Date]]&lt;1/1/1990,"",IF(Main[[#This Row],[Class]]="C",WORKDAY(Main[[#This Row],[Tech Start Date]],9),IF(Main[[#This Row],[Class]]="B", WORKDAY(Main[[#This Row],[Tech Start Date]],6),IF(Main[[#This Row],[Class]]="A",WORKDAY(Main[[#This Row],[Tech Start Date]],2),""))))</f>
        <v/>
      </c>
      <c r="N944" s="77" t="str">
        <f>IF(Main[[#This Row],[Tech Start Date]]&lt;1/1/1990,"",IF(Main[[#This Row],[Class]]="C",WORKDAY(Main[[#This Row],[Tech Start Date]],19),IF(Main[[#This Row],[Class]]="B", WORKDAY(Main[[#This Row],[Tech Start Date]],12),IF(Main[[#This Row],[Class]]="A",WORKDAY(Main[[#This Row],[Tech Start Date]],4),""))))</f>
        <v/>
      </c>
      <c r="O944" s="77" t="str">
        <f>IF(Main[[#This Row],[Tech Start Date]]&lt;1/1/1990,"",IF(Main[[#This Row],[Class]]="C",WORKDAY(Main[[#This Row],[Tech Start Date]],23),IF(Main[[#This Row],[Class]]="B", WORKDAY(Main[[#This Row],[Tech Start Date]],15),IF(Main[[#This Row],[Class]]="A",WORKDAY(Main[[#This Row],[Tech Start Date]],5),""))))</f>
        <v/>
      </c>
      <c r="P944" s="77" t="str">
        <f>IF(Main[[#This Row],[Tech Start Date]]&lt;1/1/1990,"",IF(Main[[#This Row],[Class]]="C",WORKDAY(Main[[#This Row],[Tech Start Date]],28),IF(Main[[#This Row],[Class]]="B", WORKDAY(Main[[#This Row],[Tech Start Date]],19),IF(Main[[#This Row],[Class]]="A",WORKDAY(Main[[#This Row],[Tech Start Date]],9),""))))</f>
        <v/>
      </c>
      <c r="Q944" s="74">
        <v>40057</v>
      </c>
      <c r="R944" s="74">
        <v>40473</v>
      </c>
      <c r="S944" s="72" t="s">
        <v>6</v>
      </c>
      <c r="T944" s="80" t="s">
        <v>2144</v>
      </c>
      <c r="U944" s="72" t="s">
        <v>29</v>
      </c>
      <c r="V944" s="72" t="s">
        <v>1933</v>
      </c>
      <c r="W944" s="72" t="s">
        <v>1936</v>
      </c>
      <c r="X944" s="72" t="s">
        <v>2952</v>
      </c>
      <c r="Y944" s="72" t="s">
        <v>3195</v>
      </c>
      <c r="Z944" s="72" t="s">
        <v>2075</v>
      </c>
      <c r="AA944" s="147" t="s">
        <v>3627</v>
      </c>
    </row>
    <row r="945" spans="1:27" ht="18.600000000000001" customHeight="1">
      <c r="A945" s="140" t="str">
        <f>IF(priority(Main[[#This Row],[Comments]])&lt;&gt;0, priority(Main[[#This Row],[Comments]]),"")</f>
        <v/>
      </c>
      <c r="B945" s="90" t="s">
        <v>3352</v>
      </c>
      <c r="C945" s="72" t="s">
        <v>4</v>
      </c>
      <c r="D945" s="73" t="s">
        <v>3353</v>
      </c>
      <c r="E945" s="74">
        <v>40927.617210648146</v>
      </c>
      <c r="F945" s="74"/>
      <c r="G945" s="75" t="str">
        <f>IF(stdProdLT(Main[[#This Row],[Comments]])=0.1,"N/A",IF(stdProdLT(Main[[#This Row],[Comments]])=0,"",stdProdLT(Main[[#This Row],[Comments]])))</f>
        <v/>
      </c>
      <c r="H945" s="76" t="str">
        <f>IF(AND(Main[[#This Row],[In Stock Date]]&lt;&gt;"",Main[[#This Row],[Revised Due Date]]&lt;&gt;""),Main[[#This Row],[In Stock Date]]-Main[[#This Row],[Revised Due Date]],"")</f>
        <v/>
      </c>
      <c r="I945" s="72" t="s">
        <v>4</v>
      </c>
      <c r="J945" s="72" t="s">
        <v>4</v>
      </c>
      <c r="K945" s="72" t="s">
        <v>4</v>
      </c>
      <c r="L945" s="74"/>
      <c r="M945" s="77" t="str">
        <f>IF(Main[[#This Row],[Tech Start Date]]&lt;1/1/1990,"",IF(Main[[#This Row],[Class]]="C",WORKDAY(Main[[#This Row],[Tech Start Date]],9),IF(Main[[#This Row],[Class]]="B", WORKDAY(Main[[#This Row],[Tech Start Date]],6),IF(Main[[#This Row],[Class]]="A",WORKDAY(Main[[#This Row],[Tech Start Date]],2),""))))</f>
        <v/>
      </c>
      <c r="N945" s="77" t="str">
        <f>IF(Main[[#This Row],[Tech Start Date]]&lt;1/1/1990,"",IF(Main[[#This Row],[Class]]="C",WORKDAY(Main[[#This Row],[Tech Start Date]],19),IF(Main[[#This Row],[Class]]="B", WORKDAY(Main[[#This Row],[Tech Start Date]],12),IF(Main[[#This Row],[Class]]="A",WORKDAY(Main[[#This Row],[Tech Start Date]],4),""))))</f>
        <v/>
      </c>
      <c r="O945" s="77" t="str">
        <f>IF(Main[[#This Row],[Tech Start Date]]&lt;1/1/1990,"",IF(Main[[#This Row],[Class]]="C",WORKDAY(Main[[#This Row],[Tech Start Date]],23),IF(Main[[#This Row],[Class]]="B", WORKDAY(Main[[#This Row],[Tech Start Date]],15),IF(Main[[#This Row],[Class]]="A",WORKDAY(Main[[#This Row],[Tech Start Date]],5),""))))</f>
        <v/>
      </c>
      <c r="P945" s="77" t="str">
        <f>IF(Main[[#This Row],[Tech Start Date]]&lt;1/1/1990,"",IF(Main[[#This Row],[Class]]="C",WORKDAY(Main[[#This Row],[Tech Start Date]],28),IF(Main[[#This Row],[Class]]="B", WORKDAY(Main[[#This Row],[Tech Start Date]],19),IF(Main[[#This Row],[Class]]="A",WORKDAY(Main[[#This Row],[Tech Start Date]],9),""))))</f>
        <v/>
      </c>
      <c r="Q945" s="74"/>
      <c r="R945" s="74"/>
      <c r="S945" s="72" t="s">
        <v>6</v>
      </c>
      <c r="T945" s="80" t="s">
        <v>4</v>
      </c>
      <c r="U945" s="72" t="s">
        <v>29</v>
      </c>
      <c r="V945" s="72" t="s">
        <v>1933</v>
      </c>
      <c r="W945" s="72" t="s">
        <v>1936</v>
      </c>
      <c r="X945" s="72" t="s">
        <v>102</v>
      </c>
      <c r="Y945" s="72" t="s">
        <v>3354</v>
      </c>
      <c r="Z945" s="72" t="s">
        <v>4</v>
      </c>
      <c r="AA945" s="147" t="s">
        <v>2075</v>
      </c>
    </row>
    <row r="946" spans="1:27" ht="18.600000000000001" customHeight="1">
      <c r="A946" s="140" t="str">
        <f>IF(priority(Main[[#This Row],[Comments]])&lt;&gt;0, priority(Main[[#This Row],[Comments]]),"")</f>
        <v/>
      </c>
      <c r="B946" s="90" t="s">
        <v>1777</v>
      </c>
      <c r="C946" s="72" t="s">
        <v>72</v>
      </c>
      <c r="D946" s="73" t="s">
        <v>817</v>
      </c>
      <c r="E946" s="74"/>
      <c r="F946" s="74">
        <v>40756</v>
      </c>
      <c r="G946" s="75" t="str">
        <f>IF(stdProdLT(Main[[#This Row],[Comments]])=0.1,"N/A",IF(stdProdLT(Main[[#This Row],[Comments]])=0,"",stdProdLT(Main[[#This Row],[Comments]])))</f>
        <v/>
      </c>
      <c r="H946" s="76" t="str">
        <f>IF(AND(Main[[#This Row],[In Stock Date]]&lt;&gt;"",Main[[#This Row],[Revised Due Date]]&lt;&gt;""),Main[[#This Row],[In Stock Date]]-Main[[#This Row],[Revised Due Date]],"")</f>
        <v/>
      </c>
      <c r="I946" s="72" t="s">
        <v>4</v>
      </c>
      <c r="J946" s="72" t="s">
        <v>28</v>
      </c>
      <c r="K946" s="81" t="s">
        <v>4</v>
      </c>
      <c r="L946" s="74"/>
      <c r="M946" s="77" t="str">
        <f>IF(Main[[#This Row],[Tech Start Date]]&lt;1/1/1990,"",IF(Main[[#This Row],[Class]]="C",WORKDAY(Main[[#This Row],[Tech Start Date]],9),IF(Main[[#This Row],[Class]]="B", WORKDAY(Main[[#This Row],[Tech Start Date]],6),IF(Main[[#This Row],[Class]]="A",WORKDAY(Main[[#This Row],[Tech Start Date]],2),""))))</f>
        <v/>
      </c>
      <c r="N946" s="77" t="str">
        <f>IF(Main[[#This Row],[Tech Start Date]]&lt;1/1/1990,"",IF(Main[[#This Row],[Class]]="C",WORKDAY(Main[[#This Row],[Tech Start Date]],19),IF(Main[[#This Row],[Class]]="B", WORKDAY(Main[[#This Row],[Tech Start Date]],12),IF(Main[[#This Row],[Class]]="A",WORKDAY(Main[[#This Row],[Tech Start Date]],4),""))))</f>
        <v/>
      </c>
      <c r="O946" s="77" t="str">
        <f>IF(Main[[#This Row],[Tech Start Date]]&lt;1/1/1990,"",IF(Main[[#This Row],[Class]]="C",WORKDAY(Main[[#This Row],[Tech Start Date]],23),IF(Main[[#This Row],[Class]]="B", WORKDAY(Main[[#This Row],[Tech Start Date]],15),IF(Main[[#This Row],[Class]]="A",WORKDAY(Main[[#This Row],[Tech Start Date]],5),""))))</f>
        <v/>
      </c>
      <c r="P946" s="77" t="str">
        <f>IF(Main[[#This Row],[Tech Start Date]]&lt;1/1/1990,"",IF(Main[[#This Row],[Class]]="C",WORKDAY(Main[[#This Row],[Tech Start Date]],28),IF(Main[[#This Row],[Class]]="B", WORKDAY(Main[[#This Row],[Tech Start Date]],19),IF(Main[[#This Row],[Class]]="A",WORKDAY(Main[[#This Row],[Tech Start Date]],9),""))))</f>
        <v/>
      </c>
      <c r="Q946" s="74"/>
      <c r="R946" s="74"/>
      <c r="S946" s="72" t="s">
        <v>11</v>
      </c>
      <c r="T946" s="80" t="s">
        <v>4</v>
      </c>
      <c r="U946" s="72" t="s">
        <v>14</v>
      </c>
      <c r="V946" s="72" t="s">
        <v>1935</v>
      </c>
      <c r="W946" s="72" t="s">
        <v>1937</v>
      </c>
      <c r="X946" s="72" t="s">
        <v>50</v>
      </c>
      <c r="Y946" s="72" t="s">
        <v>3065</v>
      </c>
      <c r="Z946" s="72" t="s">
        <v>30</v>
      </c>
      <c r="AA946" s="147" t="s">
        <v>2931</v>
      </c>
    </row>
    <row r="947" spans="1:27" ht="18.600000000000001" customHeight="1">
      <c r="A947" s="140" t="str">
        <f>IF(priority(Main[[#This Row],[Comments]])&lt;&gt;0, priority(Main[[#This Row],[Comments]]),"")</f>
        <v/>
      </c>
      <c r="B947" s="90" t="s">
        <v>1778</v>
      </c>
      <c r="C947" s="72" t="s">
        <v>47</v>
      </c>
      <c r="D947" s="73" t="s">
        <v>818</v>
      </c>
      <c r="E947" s="74"/>
      <c r="F947" s="74"/>
      <c r="G947" s="75" t="str">
        <f>IF(stdProdLT(Main[[#This Row],[Comments]])=0.1,"N/A",IF(stdProdLT(Main[[#This Row],[Comments]])=0,"",stdProdLT(Main[[#This Row],[Comments]])))</f>
        <v/>
      </c>
      <c r="H947" s="76" t="str">
        <f>IF(AND(Main[[#This Row],[In Stock Date]]&lt;&gt;"",Main[[#This Row],[Revised Due Date]]&lt;&gt;""),Main[[#This Row],[In Stock Date]]-Main[[#This Row],[Revised Due Date]],"")</f>
        <v/>
      </c>
      <c r="I947" s="72" t="s">
        <v>4</v>
      </c>
      <c r="J947" s="72" t="s">
        <v>4</v>
      </c>
      <c r="K947" s="72" t="s">
        <v>4</v>
      </c>
      <c r="L947" s="74"/>
      <c r="M947" s="77" t="str">
        <f>IF(Main[[#This Row],[Tech Start Date]]&lt;1/1/1990,"",IF(Main[[#This Row],[Class]]="C",WORKDAY(Main[[#This Row],[Tech Start Date]],9),IF(Main[[#This Row],[Class]]="B", WORKDAY(Main[[#This Row],[Tech Start Date]],6),IF(Main[[#This Row],[Class]]="A",WORKDAY(Main[[#This Row],[Tech Start Date]],2),""))))</f>
        <v/>
      </c>
      <c r="N947" s="77" t="str">
        <f>IF(Main[[#This Row],[Tech Start Date]]&lt;1/1/1990,"",IF(Main[[#This Row],[Class]]="C",WORKDAY(Main[[#This Row],[Tech Start Date]],19),IF(Main[[#This Row],[Class]]="B", WORKDAY(Main[[#This Row],[Tech Start Date]],12),IF(Main[[#This Row],[Class]]="A",WORKDAY(Main[[#This Row],[Tech Start Date]],4),""))))</f>
        <v/>
      </c>
      <c r="O947" s="77" t="str">
        <f>IF(Main[[#This Row],[Tech Start Date]]&lt;1/1/1990,"",IF(Main[[#This Row],[Class]]="C",WORKDAY(Main[[#This Row],[Tech Start Date]],23),IF(Main[[#This Row],[Class]]="B", WORKDAY(Main[[#This Row],[Tech Start Date]],15),IF(Main[[#This Row],[Class]]="A",WORKDAY(Main[[#This Row],[Tech Start Date]],5),""))))</f>
        <v/>
      </c>
      <c r="P947" s="77" t="str">
        <f>IF(Main[[#This Row],[Tech Start Date]]&lt;1/1/1990,"",IF(Main[[#This Row],[Class]]="C",WORKDAY(Main[[#This Row],[Tech Start Date]],28),IF(Main[[#This Row],[Class]]="B", WORKDAY(Main[[#This Row],[Tech Start Date]],19),IF(Main[[#This Row],[Class]]="A",WORKDAY(Main[[#This Row],[Tech Start Date]],9),""))))</f>
        <v/>
      </c>
      <c r="Q947" s="74"/>
      <c r="R947" s="74"/>
      <c r="S947" s="72" t="s">
        <v>17</v>
      </c>
      <c r="T947" s="80" t="s">
        <v>4</v>
      </c>
      <c r="U947" s="72" t="s">
        <v>14</v>
      </c>
      <c r="V947" s="72" t="s">
        <v>1933</v>
      </c>
      <c r="W947" s="72" t="s">
        <v>1940</v>
      </c>
      <c r="X947" s="72" t="s">
        <v>310</v>
      </c>
      <c r="Y947" s="72" t="s">
        <v>3028</v>
      </c>
      <c r="Z947" s="72" t="s">
        <v>4</v>
      </c>
      <c r="AA947" s="147" t="s">
        <v>3564</v>
      </c>
    </row>
    <row r="948" spans="1:27" ht="18.600000000000001" customHeight="1">
      <c r="A948" s="140" t="str">
        <f>IF(priority(Main[[#This Row],[Comments]])&lt;&gt;0, priority(Main[[#This Row],[Comments]]),"")</f>
        <v/>
      </c>
      <c r="B948" s="90" t="s">
        <v>1779</v>
      </c>
      <c r="C948" s="72" t="s">
        <v>4</v>
      </c>
      <c r="D948" s="73" t="s">
        <v>819</v>
      </c>
      <c r="E948" s="74">
        <v>40634.342361111114</v>
      </c>
      <c r="F948" s="74"/>
      <c r="G948" s="75" t="str">
        <f>IF(stdProdLT(Main[[#This Row],[Comments]])=0.1,"N/A",IF(stdProdLT(Main[[#This Row],[Comments]])=0,"",stdProdLT(Main[[#This Row],[Comments]])))</f>
        <v/>
      </c>
      <c r="H948" s="76" t="str">
        <f>IF(AND(Main[[#This Row],[In Stock Date]]&lt;&gt;"",Main[[#This Row],[Revised Due Date]]&lt;&gt;""),Main[[#This Row],[In Stock Date]]-Main[[#This Row],[Revised Due Date]],"")</f>
        <v/>
      </c>
      <c r="I948" s="72" t="s">
        <v>4</v>
      </c>
      <c r="J948" s="72" t="s">
        <v>4</v>
      </c>
      <c r="K948" s="72" t="s">
        <v>4</v>
      </c>
      <c r="L948" s="74"/>
      <c r="M948" s="77" t="str">
        <f>IF(Main[[#This Row],[Tech Start Date]]&lt;1/1/1990,"",IF(Main[[#This Row],[Class]]="C",WORKDAY(Main[[#This Row],[Tech Start Date]],9),IF(Main[[#This Row],[Class]]="B", WORKDAY(Main[[#This Row],[Tech Start Date]],6),IF(Main[[#This Row],[Class]]="A",WORKDAY(Main[[#This Row],[Tech Start Date]],2),""))))</f>
        <v/>
      </c>
      <c r="N948" s="77" t="str">
        <f>IF(Main[[#This Row],[Tech Start Date]]&lt;1/1/1990,"",IF(Main[[#This Row],[Class]]="C",WORKDAY(Main[[#This Row],[Tech Start Date]],19),IF(Main[[#This Row],[Class]]="B", WORKDAY(Main[[#This Row],[Tech Start Date]],12),IF(Main[[#This Row],[Class]]="A",WORKDAY(Main[[#This Row],[Tech Start Date]],4),""))))</f>
        <v/>
      </c>
      <c r="O948" s="77" t="str">
        <f>IF(Main[[#This Row],[Tech Start Date]]&lt;1/1/1990,"",IF(Main[[#This Row],[Class]]="C",WORKDAY(Main[[#This Row],[Tech Start Date]],23),IF(Main[[#This Row],[Class]]="B", WORKDAY(Main[[#This Row],[Tech Start Date]],15),IF(Main[[#This Row],[Class]]="A",WORKDAY(Main[[#This Row],[Tech Start Date]],5),""))))</f>
        <v/>
      </c>
      <c r="P948" s="77" t="str">
        <f>IF(Main[[#This Row],[Tech Start Date]]&lt;1/1/1990,"",IF(Main[[#This Row],[Class]]="C",WORKDAY(Main[[#This Row],[Tech Start Date]],28),IF(Main[[#This Row],[Class]]="B", WORKDAY(Main[[#This Row],[Tech Start Date]],19),IF(Main[[#This Row],[Class]]="A",WORKDAY(Main[[#This Row],[Tech Start Date]],9),""))))</f>
        <v/>
      </c>
      <c r="Q948" s="74">
        <v>40676</v>
      </c>
      <c r="R948" s="74"/>
      <c r="S948" s="72" t="s">
        <v>6</v>
      </c>
      <c r="T948" s="80" t="s">
        <v>4</v>
      </c>
      <c r="U948" s="72" t="s">
        <v>7</v>
      </c>
      <c r="V948" s="72" t="s">
        <v>1933</v>
      </c>
      <c r="W948" s="72" t="s">
        <v>4</v>
      </c>
      <c r="X948" s="72" t="s">
        <v>2902</v>
      </c>
      <c r="Y948" s="72" t="s">
        <v>3016</v>
      </c>
      <c r="Z948" s="72" t="s">
        <v>4</v>
      </c>
      <c r="AA948" s="147" t="s">
        <v>2902</v>
      </c>
    </row>
    <row r="949" spans="1:27" ht="18.600000000000001" customHeight="1">
      <c r="A949" s="140" t="str">
        <f>IF(priority(Main[[#This Row],[Comments]])&lt;&gt;0, priority(Main[[#This Row],[Comments]]),"")</f>
        <v/>
      </c>
      <c r="B949" s="90" t="s">
        <v>1780</v>
      </c>
      <c r="C949" s="72" t="s">
        <v>31</v>
      </c>
      <c r="D949" s="73" t="s">
        <v>820</v>
      </c>
      <c r="E949" s="74"/>
      <c r="F949" s="74"/>
      <c r="G949" s="75" t="str">
        <f>IF(stdProdLT(Main[[#This Row],[Comments]])=0.1,"N/A",IF(stdProdLT(Main[[#This Row],[Comments]])=0,"",stdProdLT(Main[[#This Row],[Comments]])))</f>
        <v/>
      </c>
      <c r="H949" s="76" t="str">
        <f>IF(AND(Main[[#This Row],[In Stock Date]]&lt;&gt;"",Main[[#This Row],[Revised Due Date]]&lt;&gt;""),Main[[#This Row],[In Stock Date]]-Main[[#This Row],[Revised Due Date]],"")</f>
        <v/>
      </c>
      <c r="I949" s="72" t="s">
        <v>4</v>
      </c>
      <c r="J949" s="72" t="s">
        <v>4</v>
      </c>
      <c r="K949" s="72" t="s">
        <v>4</v>
      </c>
      <c r="L949" s="74"/>
      <c r="M949" s="77" t="str">
        <f>IF(Main[[#This Row],[Tech Start Date]]&lt;1/1/1990,"",IF(Main[[#This Row],[Class]]="C",WORKDAY(Main[[#This Row],[Tech Start Date]],9),IF(Main[[#This Row],[Class]]="B", WORKDAY(Main[[#This Row],[Tech Start Date]],6),IF(Main[[#This Row],[Class]]="A",WORKDAY(Main[[#This Row],[Tech Start Date]],2),""))))</f>
        <v/>
      </c>
      <c r="N949" s="77" t="str">
        <f>IF(Main[[#This Row],[Tech Start Date]]&lt;1/1/1990,"",IF(Main[[#This Row],[Class]]="C",WORKDAY(Main[[#This Row],[Tech Start Date]],19),IF(Main[[#This Row],[Class]]="B", WORKDAY(Main[[#This Row],[Tech Start Date]],12),IF(Main[[#This Row],[Class]]="A",WORKDAY(Main[[#This Row],[Tech Start Date]],4),""))))</f>
        <v/>
      </c>
      <c r="O949" s="77" t="str">
        <f>IF(Main[[#This Row],[Tech Start Date]]&lt;1/1/1990,"",IF(Main[[#This Row],[Class]]="C",WORKDAY(Main[[#This Row],[Tech Start Date]],23),IF(Main[[#This Row],[Class]]="B", WORKDAY(Main[[#This Row],[Tech Start Date]],15),IF(Main[[#This Row],[Class]]="A",WORKDAY(Main[[#This Row],[Tech Start Date]],5),""))))</f>
        <v/>
      </c>
      <c r="P949" s="77" t="str">
        <f>IF(Main[[#This Row],[Tech Start Date]]&lt;1/1/1990,"",IF(Main[[#This Row],[Class]]="C",WORKDAY(Main[[#This Row],[Tech Start Date]],28),IF(Main[[#This Row],[Class]]="B", WORKDAY(Main[[#This Row],[Tech Start Date]],19),IF(Main[[#This Row],[Class]]="A",WORKDAY(Main[[#This Row],[Tech Start Date]],9),""))))</f>
        <v/>
      </c>
      <c r="Q949" s="74">
        <v>40318</v>
      </c>
      <c r="R949" s="74"/>
      <c r="S949" s="72" t="s">
        <v>11</v>
      </c>
      <c r="T949" s="80" t="s">
        <v>4</v>
      </c>
      <c r="U949" s="72" t="s">
        <v>14</v>
      </c>
      <c r="V949" s="72" t="s">
        <v>1935</v>
      </c>
      <c r="W949" s="72" t="s">
        <v>1934</v>
      </c>
      <c r="X949" s="72" t="s">
        <v>2914</v>
      </c>
      <c r="Y949" s="72" t="s">
        <v>4</v>
      </c>
      <c r="Z949" s="72" t="s">
        <v>4</v>
      </c>
      <c r="AA949" s="147" t="s">
        <v>2914</v>
      </c>
    </row>
    <row r="950" spans="1:27" ht="18.600000000000001" customHeight="1">
      <c r="A950" s="140" t="str">
        <f>IF(priority(Main[[#This Row],[Comments]])&lt;&gt;0, priority(Main[[#This Row],[Comments]]),"")</f>
        <v/>
      </c>
      <c r="B950" s="90" t="s">
        <v>1781</v>
      </c>
      <c r="C950" s="72" t="s">
        <v>4</v>
      </c>
      <c r="D950" s="73" t="s">
        <v>120</v>
      </c>
      <c r="E950" s="74"/>
      <c r="F950" s="74"/>
      <c r="G950" s="75" t="str">
        <f>IF(stdProdLT(Main[[#This Row],[Comments]])=0.1,"N/A",IF(stdProdLT(Main[[#This Row],[Comments]])=0,"",stdProdLT(Main[[#This Row],[Comments]])))</f>
        <v/>
      </c>
      <c r="H950" s="76" t="str">
        <f>IF(AND(Main[[#This Row],[In Stock Date]]&lt;&gt;"",Main[[#This Row],[Revised Due Date]]&lt;&gt;""),Main[[#This Row],[In Stock Date]]-Main[[#This Row],[Revised Due Date]],"")</f>
        <v/>
      </c>
      <c r="I950" s="72" t="s">
        <v>4</v>
      </c>
      <c r="J950" s="72" t="s">
        <v>4</v>
      </c>
      <c r="K950" s="72" t="s">
        <v>4</v>
      </c>
      <c r="L950" s="74"/>
      <c r="M950" s="77" t="str">
        <f>IF(Main[[#This Row],[Tech Start Date]]&lt;1/1/1990,"",IF(Main[[#This Row],[Class]]="C",WORKDAY(Main[[#This Row],[Tech Start Date]],9),IF(Main[[#This Row],[Class]]="B", WORKDAY(Main[[#This Row],[Tech Start Date]],6),IF(Main[[#This Row],[Class]]="A",WORKDAY(Main[[#This Row],[Tech Start Date]],2),""))))</f>
        <v/>
      </c>
      <c r="N950" s="77" t="str">
        <f>IF(Main[[#This Row],[Tech Start Date]]&lt;1/1/1990,"",IF(Main[[#This Row],[Class]]="C",WORKDAY(Main[[#This Row],[Tech Start Date]],19),IF(Main[[#This Row],[Class]]="B", WORKDAY(Main[[#This Row],[Tech Start Date]],12),IF(Main[[#This Row],[Class]]="A",WORKDAY(Main[[#This Row],[Tech Start Date]],4),""))))</f>
        <v/>
      </c>
      <c r="O950" s="77" t="str">
        <f>IF(Main[[#This Row],[Tech Start Date]]&lt;1/1/1990,"",IF(Main[[#This Row],[Class]]="C",WORKDAY(Main[[#This Row],[Tech Start Date]],23),IF(Main[[#This Row],[Class]]="B", WORKDAY(Main[[#This Row],[Tech Start Date]],15),IF(Main[[#This Row],[Class]]="A",WORKDAY(Main[[#This Row],[Tech Start Date]],5),""))))</f>
        <v/>
      </c>
      <c r="P950" s="77" t="str">
        <f>IF(Main[[#This Row],[Tech Start Date]]&lt;1/1/1990,"",IF(Main[[#This Row],[Class]]="C",WORKDAY(Main[[#This Row],[Tech Start Date]],28),IF(Main[[#This Row],[Class]]="B", WORKDAY(Main[[#This Row],[Tech Start Date]],19),IF(Main[[#This Row],[Class]]="A",WORKDAY(Main[[#This Row],[Tech Start Date]],9),""))))</f>
        <v/>
      </c>
      <c r="Q950" s="74"/>
      <c r="R950" s="74"/>
      <c r="S950" s="72" t="s">
        <v>11</v>
      </c>
      <c r="T950" s="80" t="s">
        <v>4</v>
      </c>
      <c r="U950" s="72" t="s">
        <v>14</v>
      </c>
      <c r="V950" s="72" t="s">
        <v>1935</v>
      </c>
      <c r="W950" s="72" t="s">
        <v>1946</v>
      </c>
      <c r="X950" s="72" t="s">
        <v>2926</v>
      </c>
      <c r="Y950" s="72" t="s">
        <v>3061</v>
      </c>
      <c r="Z950" s="72" t="s">
        <v>4</v>
      </c>
      <c r="AA950" s="147" t="s">
        <v>2926</v>
      </c>
    </row>
    <row r="951" spans="1:27" ht="18.600000000000001" customHeight="1">
      <c r="A951" s="140" t="str">
        <f>IF(priority(Main[[#This Row],[Comments]])&lt;&gt;0, priority(Main[[#This Row],[Comments]]),"")</f>
        <v/>
      </c>
      <c r="B951" s="90" t="s">
        <v>1782</v>
      </c>
      <c r="C951" s="72" t="s">
        <v>4</v>
      </c>
      <c r="D951" s="73" t="s">
        <v>821</v>
      </c>
      <c r="E951" s="74">
        <v>40687.166759259257</v>
      </c>
      <c r="F951" s="74"/>
      <c r="G951" s="75" t="str">
        <f>IF(stdProdLT(Main[[#This Row],[Comments]])=0.1,"N/A",IF(stdProdLT(Main[[#This Row],[Comments]])=0,"",stdProdLT(Main[[#This Row],[Comments]])))</f>
        <v/>
      </c>
      <c r="H951" s="76" t="str">
        <f>IF(AND(Main[[#This Row],[In Stock Date]]&lt;&gt;"",Main[[#This Row],[Revised Due Date]]&lt;&gt;""),Main[[#This Row],[In Stock Date]]-Main[[#This Row],[Revised Due Date]],"")</f>
        <v/>
      </c>
      <c r="I951" s="72" t="s">
        <v>4</v>
      </c>
      <c r="J951" s="72" t="s">
        <v>4</v>
      </c>
      <c r="K951" s="72" t="s">
        <v>4</v>
      </c>
      <c r="L951" s="74"/>
      <c r="M951" s="77" t="str">
        <f>IF(Main[[#This Row],[Tech Start Date]]&lt;1/1/1990,"",IF(Main[[#This Row],[Class]]="C",WORKDAY(Main[[#This Row],[Tech Start Date]],9),IF(Main[[#This Row],[Class]]="B", WORKDAY(Main[[#This Row],[Tech Start Date]],6),IF(Main[[#This Row],[Class]]="A",WORKDAY(Main[[#This Row],[Tech Start Date]],2),""))))</f>
        <v/>
      </c>
      <c r="N951" s="77" t="str">
        <f>IF(Main[[#This Row],[Tech Start Date]]&lt;1/1/1990,"",IF(Main[[#This Row],[Class]]="C",WORKDAY(Main[[#This Row],[Tech Start Date]],19),IF(Main[[#This Row],[Class]]="B", WORKDAY(Main[[#This Row],[Tech Start Date]],12),IF(Main[[#This Row],[Class]]="A",WORKDAY(Main[[#This Row],[Tech Start Date]],4),""))))</f>
        <v/>
      </c>
      <c r="O951" s="77" t="str">
        <f>IF(Main[[#This Row],[Tech Start Date]]&lt;1/1/1990,"",IF(Main[[#This Row],[Class]]="C",WORKDAY(Main[[#This Row],[Tech Start Date]],23),IF(Main[[#This Row],[Class]]="B", WORKDAY(Main[[#This Row],[Tech Start Date]],15),IF(Main[[#This Row],[Class]]="A",WORKDAY(Main[[#This Row],[Tech Start Date]],5),""))))</f>
        <v/>
      </c>
      <c r="P951" s="77" t="str">
        <f>IF(Main[[#This Row],[Tech Start Date]]&lt;1/1/1990,"",IF(Main[[#This Row],[Class]]="C",WORKDAY(Main[[#This Row],[Tech Start Date]],28),IF(Main[[#This Row],[Class]]="B", WORKDAY(Main[[#This Row],[Tech Start Date]],19),IF(Main[[#This Row],[Class]]="A",WORKDAY(Main[[#This Row],[Tech Start Date]],9),""))))</f>
        <v/>
      </c>
      <c r="Q951" s="74">
        <v>40724</v>
      </c>
      <c r="R951" s="74"/>
      <c r="S951" s="72" t="s">
        <v>6</v>
      </c>
      <c r="T951" s="80" t="s">
        <v>4</v>
      </c>
      <c r="U951" s="72" t="s">
        <v>7</v>
      </c>
      <c r="V951" s="72" t="s">
        <v>1932</v>
      </c>
      <c r="W951" s="72" t="s">
        <v>4</v>
      </c>
      <c r="X951" s="72" t="s">
        <v>2906</v>
      </c>
      <c r="Y951" s="72" t="s">
        <v>3025</v>
      </c>
      <c r="Z951" s="72" t="s">
        <v>4</v>
      </c>
      <c r="AA951" s="147" t="s">
        <v>2906</v>
      </c>
    </row>
    <row r="952" spans="1:27" ht="18.600000000000001" customHeight="1">
      <c r="A952" s="140" t="str">
        <f>IF(priority(Main[[#This Row],[Comments]])&lt;&gt;0, priority(Main[[#This Row],[Comments]]),"")</f>
        <v/>
      </c>
      <c r="B952" s="90" t="s">
        <v>2591</v>
      </c>
      <c r="C952" s="72" t="s">
        <v>4</v>
      </c>
      <c r="D952" s="73" t="s">
        <v>2592</v>
      </c>
      <c r="E952" s="74">
        <v>40876.548576388886</v>
      </c>
      <c r="F952" s="74"/>
      <c r="G952" s="75" t="str">
        <f>IF(stdProdLT(Main[[#This Row],[Comments]])=0.1,"N/A",IF(stdProdLT(Main[[#This Row],[Comments]])=0,"",stdProdLT(Main[[#This Row],[Comments]])))</f>
        <v/>
      </c>
      <c r="H952" s="76" t="str">
        <f>IF(AND(Main[[#This Row],[In Stock Date]]&lt;&gt;"",Main[[#This Row],[Revised Due Date]]&lt;&gt;""),Main[[#This Row],[In Stock Date]]-Main[[#This Row],[Revised Due Date]],"")</f>
        <v/>
      </c>
      <c r="I952" s="72" t="s">
        <v>4</v>
      </c>
      <c r="J952" s="72" t="s">
        <v>4</v>
      </c>
      <c r="K952" s="72" t="s">
        <v>4</v>
      </c>
      <c r="L952" s="74"/>
      <c r="M952" s="77" t="str">
        <f>IF(Main[[#This Row],[Tech Start Date]]&lt;1/1/1990,"",IF(Main[[#This Row],[Class]]="C",WORKDAY(Main[[#This Row],[Tech Start Date]],9),IF(Main[[#This Row],[Class]]="B", WORKDAY(Main[[#This Row],[Tech Start Date]],6),IF(Main[[#This Row],[Class]]="A",WORKDAY(Main[[#This Row],[Tech Start Date]],2),""))))</f>
        <v/>
      </c>
      <c r="N952" s="77" t="str">
        <f>IF(Main[[#This Row],[Tech Start Date]]&lt;1/1/1990,"",IF(Main[[#This Row],[Class]]="C",WORKDAY(Main[[#This Row],[Tech Start Date]],19),IF(Main[[#This Row],[Class]]="B", WORKDAY(Main[[#This Row],[Tech Start Date]],12),IF(Main[[#This Row],[Class]]="A",WORKDAY(Main[[#This Row],[Tech Start Date]],4),""))))</f>
        <v/>
      </c>
      <c r="O952" s="77" t="str">
        <f>IF(Main[[#This Row],[Tech Start Date]]&lt;1/1/1990,"",IF(Main[[#This Row],[Class]]="C",WORKDAY(Main[[#This Row],[Tech Start Date]],23),IF(Main[[#This Row],[Class]]="B", WORKDAY(Main[[#This Row],[Tech Start Date]],15),IF(Main[[#This Row],[Class]]="A",WORKDAY(Main[[#This Row],[Tech Start Date]],5),""))))</f>
        <v/>
      </c>
      <c r="P952" s="77" t="str">
        <f>IF(Main[[#This Row],[Tech Start Date]]&lt;1/1/1990,"",IF(Main[[#This Row],[Class]]="C",WORKDAY(Main[[#This Row],[Tech Start Date]],28),IF(Main[[#This Row],[Class]]="B", WORKDAY(Main[[#This Row],[Tech Start Date]],19),IF(Main[[#This Row],[Class]]="A",WORKDAY(Main[[#This Row],[Tech Start Date]],9),""))))</f>
        <v/>
      </c>
      <c r="Q952" s="74"/>
      <c r="R952" s="74"/>
      <c r="S952" s="72" t="s">
        <v>6</v>
      </c>
      <c r="T952" s="80" t="s">
        <v>4</v>
      </c>
      <c r="U952" s="72" t="s">
        <v>29</v>
      </c>
      <c r="V952" s="72" t="s">
        <v>1935</v>
      </c>
      <c r="W952" s="72" t="s">
        <v>1936</v>
      </c>
      <c r="X952" s="72" t="s">
        <v>102</v>
      </c>
      <c r="Y952" s="72" t="s">
        <v>3196</v>
      </c>
      <c r="Z952" s="72" t="s">
        <v>4</v>
      </c>
      <c r="AA952" s="147" t="s">
        <v>2987</v>
      </c>
    </row>
    <row r="953" spans="1:27" ht="18.600000000000001" customHeight="1">
      <c r="A953" s="140" t="str">
        <f>IF(priority(Main[[#This Row],[Comments]])&lt;&gt;0, priority(Main[[#This Row],[Comments]]),"")</f>
        <v/>
      </c>
      <c r="B953" s="90" t="s">
        <v>1784</v>
      </c>
      <c r="C953" s="72" t="s">
        <v>4</v>
      </c>
      <c r="D953" s="73" t="s">
        <v>822</v>
      </c>
      <c r="E953" s="74"/>
      <c r="F953" s="74">
        <v>40598</v>
      </c>
      <c r="G953" s="75" t="str">
        <f>IF(stdProdLT(Main[[#This Row],[Comments]])=0.1,"N/A",IF(stdProdLT(Main[[#This Row],[Comments]])=0,"",stdProdLT(Main[[#This Row],[Comments]])))</f>
        <v/>
      </c>
      <c r="H953" s="76" t="str">
        <f>IF(AND(Main[[#This Row],[In Stock Date]]&lt;&gt;"",Main[[#This Row],[Revised Due Date]]&lt;&gt;""),Main[[#This Row],[In Stock Date]]-Main[[#This Row],[Revised Due Date]],"")</f>
        <v/>
      </c>
      <c r="I953" s="72" t="s">
        <v>4</v>
      </c>
      <c r="J953" s="72" t="s">
        <v>4</v>
      </c>
      <c r="K953" s="72" t="s">
        <v>4</v>
      </c>
      <c r="L953" s="74"/>
      <c r="M953" s="77" t="str">
        <f>IF(Main[[#This Row],[Tech Start Date]]&lt;1/1/1990,"",IF(Main[[#This Row],[Class]]="C",WORKDAY(Main[[#This Row],[Tech Start Date]],9),IF(Main[[#This Row],[Class]]="B", WORKDAY(Main[[#This Row],[Tech Start Date]],6),IF(Main[[#This Row],[Class]]="A",WORKDAY(Main[[#This Row],[Tech Start Date]],2),""))))</f>
        <v/>
      </c>
      <c r="N953" s="77" t="str">
        <f>IF(Main[[#This Row],[Tech Start Date]]&lt;1/1/1990,"",IF(Main[[#This Row],[Class]]="C",WORKDAY(Main[[#This Row],[Tech Start Date]],19),IF(Main[[#This Row],[Class]]="B", WORKDAY(Main[[#This Row],[Tech Start Date]],12),IF(Main[[#This Row],[Class]]="A",WORKDAY(Main[[#This Row],[Tech Start Date]],4),""))))</f>
        <v/>
      </c>
      <c r="O953" s="77" t="str">
        <f>IF(Main[[#This Row],[Tech Start Date]]&lt;1/1/1990,"",IF(Main[[#This Row],[Class]]="C",WORKDAY(Main[[#This Row],[Tech Start Date]],23),IF(Main[[#This Row],[Class]]="B", WORKDAY(Main[[#This Row],[Tech Start Date]],15),IF(Main[[#This Row],[Class]]="A",WORKDAY(Main[[#This Row],[Tech Start Date]],5),""))))</f>
        <v/>
      </c>
      <c r="P953" s="77" t="str">
        <f>IF(Main[[#This Row],[Tech Start Date]]&lt;1/1/1990,"",IF(Main[[#This Row],[Class]]="C",WORKDAY(Main[[#This Row],[Tech Start Date]],28),IF(Main[[#This Row],[Class]]="B", WORKDAY(Main[[#This Row],[Tech Start Date]],19),IF(Main[[#This Row],[Class]]="A",WORKDAY(Main[[#This Row],[Tech Start Date]],9),""))))</f>
        <v/>
      </c>
      <c r="Q953" s="74">
        <v>40598</v>
      </c>
      <c r="R953" s="74"/>
      <c r="S953" s="72" t="s">
        <v>11</v>
      </c>
      <c r="T953" s="80" t="s">
        <v>4</v>
      </c>
      <c r="U953" s="72" t="s">
        <v>14</v>
      </c>
      <c r="V953" s="72" t="s">
        <v>1942</v>
      </c>
      <c r="W953" s="72" t="s">
        <v>1938</v>
      </c>
      <c r="X953" s="72" t="s">
        <v>2932</v>
      </c>
      <c r="Y953" s="72" t="s">
        <v>3066</v>
      </c>
      <c r="Z953" s="72" t="s">
        <v>4</v>
      </c>
      <c r="AA953" s="147" t="s">
        <v>2932</v>
      </c>
    </row>
    <row r="954" spans="1:27" ht="18.600000000000001" customHeight="1">
      <c r="A954" s="140" t="str">
        <f>IF(priority(Main[[#This Row],[Comments]])&lt;&gt;0, priority(Main[[#This Row],[Comments]]),"")</f>
        <v/>
      </c>
      <c r="B954" s="90" t="s">
        <v>1790</v>
      </c>
      <c r="C954" s="72" t="s">
        <v>4</v>
      </c>
      <c r="D954" s="73" t="s">
        <v>2145</v>
      </c>
      <c r="E954" s="74"/>
      <c r="F954" s="74"/>
      <c r="G954" s="75" t="str">
        <f>IF(stdProdLT(Main[[#This Row],[Comments]])=0.1,"N/A",IF(stdProdLT(Main[[#This Row],[Comments]])=0,"",stdProdLT(Main[[#This Row],[Comments]])))</f>
        <v/>
      </c>
      <c r="H954" s="76" t="str">
        <f>IF(AND(Main[[#This Row],[In Stock Date]]&lt;&gt;"",Main[[#This Row],[Revised Due Date]]&lt;&gt;""),Main[[#This Row],[In Stock Date]]-Main[[#This Row],[Revised Due Date]],"")</f>
        <v/>
      </c>
      <c r="I954" s="72" t="s">
        <v>434</v>
      </c>
      <c r="J954" s="72" t="s">
        <v>70</v>
      </c>
      <c r="K954" s="72" t="s">
        <v>1941</v>
      </c>
      <c r="L954" s="74"/>
      <c r="M954" s="77" t="str">
        <f>IF(Main[[#This Row],[Tech Start Date]]&lt;1/1/1990,"",IF(Main[[#This Row],[Class]]="C",WORKDAY(Main[[#This Row],[Tech Start Date]],9),IF(Main[[#This Row],[Class]]="B", WORKDAY(Main[[#This Row],[Tech Start Date]],6),IF(Main[[#This Row],[Class]]="A",WORKDAY(Main[[#This Row],[Tech Start Date]],2),""))))</f>
        <v/>
      </c>
      <c r="N954" s="77" t="str">
        <f>IF(Main[[#This Row],[Tech Start Date]]&lt;1/1/1990,"",IF(Main[[#This Row],[Class]]="C",WORKDAY(Main[[#This Row],[Tech Start Date]],19),IF(Main[[#This Row],[Class]]="B", WORKDAY(Main[[#This Row],[Tech Start Date]],12),IF(Main[[#This Row],[Class]]="A",WORKDAY(Main[[#This Row],[Tech Start Date]],4),""))))</f>
        <v/>
      </c>
      <c r="O954" s="77" t="str">
        <f>IF(Main[[#This Row],[Tech Start Date]]&lt;1/1/1990,"",IF(Main[[#This Row],[Class]]="C",WORKDAY(Main[[#This Row],[Tech Start Date]],23),IF(Main[[#This Row],[Class]]="B", WORKDAY(Main[[#This Row],[Tech Start Date]],15),IF(Main[[#This Row],[Class]]="A",WORKDAY(Main[[#This Row],[Tech Start Date]],5),""))))</f>
        <v/>
      </c>
      <c r="P954" s="77" t="str">
        <f>IF(Main[[#This Row],[Tech Start Date]]&lt;1/1/1990,"",IF(Main[[#This Row],[Class]]="C",WORKDAY(Main[[#This Row],[Tech Start Date]],28),IF(Main[[#This Row],[Class]]="B", WORKDAY(Main[[#This Row],[Tech Start Date]],19),IF(Main[[#This Row],[Class]]="A",WORKDAY(Main[[#This Row],[Tech Start Date]],9),""))))</f>
        <v/>
      </c>
      <c r="Q954" s="74">
        <v>40714</v>
      </c>
      <c r="R954" s="74"/>
      <c r="S954" s="72" t="s">
        <v>6</v>
      </c>
      <c r="T954" s="80" t="s">
        <v>4</v>
      </c>
      <c r="U954" s="72" t="s">
        <v>14</v>
      </c>
      <c r="V954" s="72" t="s">
        <v>1935</v>
      </c>
      <c r="W954" s="72" t="s">
        <v>1936</v>
      </c>
      <c r="X954" s="72" t="s">
        <v>2987</v>
      </c>
      <c r="Y954" s="72" t="s">
        <v>3170</v>
      </c>
      <c r="Z954" s="72" t="s">
        <v>30</v>
      </c>
      <c r="AA954" s="147" t="s">
        <v>2987</v>
      </c>
    </row>
    <row r="955" spans="1:27" ht="18.600000000000001" customHeight="1">
      <c r="A955" s="140" t="str">
        <f>IF(priority(Main[[#This Row],[Comments]])&lt;&gt;0, priority(Main[[#This Row],[Comments]]),"")</f>
        <v/>
      </c>
      <c r="B955" s="90" t="s">
        <v>1791</v>
      </c>
      <c r="C955" s="72" t="s">
        <v>4</v>
      </c>
      <c r="D955" s="73" t="s">
        <v>828</v>
      </c>
      <c r="E955" s="74"/>
      <c r="F955" s="74"/>
      <c r="G955" s="75" t="str">
        <f>IF(stdProdLT(Main[[#This Row],[Comments]])=0.1,"N/A",IF(stdProdLT(Main[[#This Row],[Comments]])=0,"",stdProdLT(Main[[#This Row],[Comments]])))</f>
        <v/>
      </c>
      <c r="H955" s="76" t="str">
        <f>IF(AND(Main[[#This Row],[In Stock Date]]&lt;&gt;"",Main[[#This Row],[Revised Due Date]]&lt;&gt;""),Main[[#This Row],[In Stock Date]]-Main[[#This Row],[Revised Due Date]],"")</f>
        <v/>
      </c>
      <c r="I955" s="72" t="s">
        <v>4</v>
      </c>
      <c r="J955" s="72" t="s">
        <v>4</v>
      </c>
      <c r="K955" s="81" t="s">
        <v>4</v>
      </c>
      <c r="L955" s="74"/>
      <c r="M955" s="77" t="str">
        <f>IF(Main[[#This Row],[Tech Start Date]]&lt;1/1/1990,"",IF(Main[[#This Row],[Class]]="C",WORKDAY(Main[[#This Row],[Tech Start Date]],9),IF(Main[[#This Row],[Class]]="B", WORKDAY(Main[[#This Row],[Tech Start Date]],6),IF(Main[[#This Row],[Class]]="A",WORKDAY(Main[[#This Row],[Tech Start Date]],2),""))))</f>
        <v/>
      </c>
      <c r="N955" s="77" t="str">
        <f>IF(Main[[#This Row],[Tech Start Date]]&lt;1/1/1990,"",IF(Main[[#This Row],[Class]]="C",WORKDAY(Main[[#This Row],[Tech Start Date]],19),IF(Main[[#This Row],[Class]]="B", WORKDAY(Main[[#This Row],[Tech Start Date]],12),IF(Main[[#This Row],[Class]]="A",WORKDAY(Main[[#This Row],[Tech Start Date]],4),""))))</f>
        <v/>
      </c>
      <c r="O955" s="77" t="str">
        <f>IF(Main[[#This Row],[Tech Start Date]]&lt;1/1/1990,"",IF(Main[[#This Row],[Class]]="C",WORKDAY(Main[[#This Row],[Tech Start Date]],23),IF(Main[[#This Row],[Class]]="B", WORKDAY(Main[[#This Row],[Tech Start Date]],15),IF(Main[[#This Row],[Class]]="A",WORKDAY(Main[[#This Row],[Tech Start Date]],5),""))))</f>
        <v/>
      </c>
      <c r="P955" s="77" t="str">
        <f>IF(Main[[#This Row],[Tech Start Date]]&lt;1/1/1990,"",IF(Main[[#This Row],[Class]]="C",WORKDAY(Main[[#This Row],[Tech Start Date]],28),IF(Main[[#This Row],[Class]]="B", WORKDAY(Main[[#This Row],[Tech Start Date]],19),IF(Main[[#This Row],[Class]]="A",WORKDAY(Main[[#This Row],[Tech Start Date]],9),""))))</f>
        <v/>
      </c>
      <c r="Q955" s="74"/>
      <c r="R955" s="74"/>
      <c r="S955" s="72" t="s">
        <v>6</v>
      </c>
      <c r="T955" s="80" t="s">
        <v>4</v>
      </c>
      <c r="U955" s="72" t="s">
        <v>14</v>
      </c>
      <c r="V955" s="72" t="s">
        <v>1932</v>
      </c>
      <c r="W955" s="72" t="s">
        <v>1936</v>
      </c>
      <c r="X955" s="72" t="s">
        <v>923</v>
      </c>
      <c r="Y955" s="72" t="s">
        <v>3144</v>
      </c>
      <c r="Z955" s="72" t="s">
        <v>4</v>
      </c>
      <c r="AA955" s="147" t="s">
        <v>923</v>
      </c>
    </row>
    <row r="956" spans="1:27" ht="18.600000000000001" customHeight="1">
      <c r="A956" s="140" t="str">
        <f>IF(priority(Main[[#This Row],[Comments]])&lt;&gt;0, priority(Main[[#This Row],[Comments]]),"")</f>
        <v/>
      </c>
      <c r="B956" s="90" t="s">
        <v>1628</v>
      </c>
      <c r="C956" s="72" t="s">
        <v>4</v>
      </c>
      <c r="D956" s="73" t="s">
        <v>693</v>
      </c>
      <c r="E956" s="74">
        <v>40031.45721064815</v>
      </c>
      <c r="F956" s="74"/>
      <c r="G956" s="75" t="str">
        <f>IF(stdProdLT(Main[[#This Row],[Comments]])=0.1,"N/A",IF(stdProdLT(Main[[#This Row],[Comments]])=0,"",stdProdLT(Main[[#This Row],[Comments]])))</f>
        <v/>
      </c>
      <c r="H956" s="76" t="str">
        <f>IF(AND(Main[[#This Row],[In Stock Date]]&lt;&gt;"",Main[[#This Row],[Revised Due Date]]&lt;&gt;""),Main[[#This Row],[In Stock Date]]-Main[[#This Row],[Revised Due Date]],"")</f>
        <v/>
      </c>
      <c r="I956" s="72" t="s">
        <v>2066</v>
      </c>
      <c r="J956" s="72" t="s">
        <v>21</v>
      </c>
      <c r="K956" s="72" t="s">
        <v>1941</v>
      </c>
      <c r="L956" s="74"/>
      <c r="M956" s="77" t="str">
        <f>IF(Main[[#This Row],[Tech Start Date]]&lt;1/1/1990,"",IF(Main[[#This Row],[Class]]="C",WORKDAY(Main[[#This Row],[Tech Start Date]],9),IF(Main[[#This Row],[Class]]="B", WORKDAY(Main[[#This Row],[Tech Start Date]],6),IF(Main[[#This Row],[Class]]="A",WORKDAY(Main[[#This Row],[Tech Start Date]],2),""))))</f>
        <v/>
      </c>
      <c r="N956" s="77" t="str">
        <f>IF(Main[[#This Row],[Tech Start Date]]&lt;1/1/1990,"",IF(Main[[#This Row],[Class]]="C",WORKDAY(Main[[#This Row],[Tech Start Date]],19),IF(Main[[#This Row],[Class]]="B", WORKDAY(Main[[#This Row],[Tech Start Date]],12),IF(Main[[#This Row],[Class]]="A",WORKDAY(Main[[#This Row],[Tech Start Date]],4),""))))</f>
        <v/>
      </c>
      <c r="O956" s="77" t="str">
        <f>IF(Main[[#This Row],[Tech Start Date]]&lt;1/1/1990,"",IF(Main[[#This Row],[Class]]="C",WORKDAY(Main[[#This Row],[Tech Start Date]],23),IF(Main[[#This Row],[Class]]="B", WORKDAY(Main[[#This Row],[Tech Start Date]],15),IF(Main[[#This Row],[Class]]="A",WORKDAY(Main[[#This Row],[Tech Start Date]],5),""))))</f>
        <v/>
      </c>
      <c r="P956" s="77" t="str">
        <f>IF(Main[[#This Row],[Tech Start Date]]&lt;1/1/1990,"",IF(Main[[#This Row],[Class]]="C",WORKDAY(Main[[#This Row],[Tech Start Date]],28),IF(Main[[#This Row],[Class]]="B", WORKDAY(Main[[#This Row],[Tech Start Date]],19),IF(Main[[#This Row],[Class]]="A",WORKDAY(Main[[#This Row],[Tech Start Date]],9),""))))</f>
        <v/>
      </c>
      <c r="Q956" s="74"/>
      <c r="R956" s="74"/>
      <c r="S956" s="72" t="s">
        <v>6</v>
      </c>
      <c r="T956" s="80" t="s">
        <v>4</v>
      </c>
      <c r="U956" s="72" t="s">
        <v>29</v>
      </c>
      <c r="V956" s="72" t="s">
        <v>1935</v>
      </c>
      <c r="W956" s="72" t="s">
        <v>1936</v>
      </c>
      <c r="X956" s="72" t="s">
        <v>2971</v>
      </c>
      <c r="Y956" s="72" t="s">
        <v>3130</v>
      </c>
      <c r="Z956" s="72" t="s">
        <v>30</v>
      </c>
      <c r="AA956" s="147" t="s">
        <v>2971</v>
      </c>
    </row>
    <row r="957" spans="1:27" ht="18.600000000000001" customHeight="1">
      <c r="A957" s="140" t="str">
        <f>IF(priority(Main[[#This Row],[Comments]])&lt;&gt;0, priority(Main[[#This Row],[Comments]]),"")</f>
        <v/>
      </c>
      <c r="B957" s="90" t="s">
        <v>1792</v>
      </c>
      <c r="C957" s="72" t="s">
        <v>829</v>
      </c>
      <c r="D957" s="73" t="s">
        <v>830</v>
      </c>
      <c r="E957" s="74"/>
      <c r="F957" s="74">
        <v>40421</v>
      </c>
      <c r="G957" s="75" t="str">
        <f>IF(stdProdLT(Main[[#This Row],[Comments]])=0.1,"N/A",IF(stdProdLT(Main[[#This Row],[Comments]])=0,"",stdProdLT(Main[[#This Row],[Comments]])))</f>
        <v/>
      </c>
      <c r="H957" s="76" t="str">
        <f>IF(AND(Main[[#This Row],[In Stock Date]]&lt;&gt;"",Main[[#This Row],[Revised Due Date]]&lt;&gt;""),Main[[#This Row],[In Stock Date]]-Main[[#This Row],[Revised Due Date]],"")</f>
        <v/>
      </c>
      <c r="I957" s="72" t="s">
        <v>4</v>
      </c>
      <c r="J957" s="72" t="s">
        <v>4</v>
      </c>
      <c r="K957" s="72" t="s">
        <v>4</v>
      </c>
      <c r="L957" s="74"/>
      <c r="M957" s="77" t="str">
        <f>IF(Main[[#This Row],[Tech Start Date]]&lt;1/1/1990,"",IF(Main[[#This Row],[Class]]="C",WORKDAY(Main[[#This Row],[Tech Start Date]],9),IF(Main[[#This Row],[Class]]="B", WORKDAY(Main[[#This Row],[Tech Start Date]],6),IF(Main[[#This Row],[Class]]="A",WORKDAY(Main[[#This Row],[Tech Start Date]],2),""))))</f>
        <v/>
      </c>
      <c r="N957" s="77" t="str">
        <f>IF(Main[[#This Row],[Tech Start Date]]&lt;1/1/1990,"",IF(Main[[#This Row],[Class]]="C",WORKDAY(Main[[#This Row],[Tech Start Date]],19),IF(Main[[#This Row],[Class]]="B", WORKDAY(Main[[#This Row],[Tech Start Date]],12),IF(Main[[#This Row],[Class]]="A",WORKDAY(Main[[#This Row],[Tech Start Date]],4),""))))</f>
        <v/>
      </c>
      <c r="O957" s="77" t="str">
        <f>IF(Main[[#This Row],[Tech Start Date]]&lt;1/1/1990,"",IF(Main[[#This Row],[Class]]="C",WORKDAY(Main[[#This Row],[Tech Start Date]],23),IF(Main[[#This Row],[Class]]="B", WORKDAY(Main[[#This Row],[Tech Start Date]],15),IF(Main[[#This Row],[Class]]="A",WORKDAY(Main[[#This Row],[Tech Start Date]],5),""))))</f>
        <v/>
      </c>
      <c r="P957" s="77" t="str">
        <f>IF(Main[[#This Row],[Tech Start Date]]&lt;1/1/1990,"",IF(Main[[#This Row],[Class]]="C",WORKDAY(Main[[#This Row],[Tech Start Date]],28),IF(Main[[#This Row],[Class]]="B", WORKDAY(Main[[#This Row],[Tech Start Date]],19),IF(Main[[#This Row],[Class]]="A",WORKDAY(Main[[#This Row],[Tech Start Date]],9),""))))</f>
        <v/>
      </c>
      <c r="Q957" s="74"/>
      <c r="R957" s="74"/>
      <c r="S957" s="72" t="s">
        <v>11</v>
      </c>
      <c r="T957" s="80" t="s">
        <v>4</v>
      </c>
      <c r="U957" s="72" t="s">
        <v>12</v>
      </c>
      <c r="V957" s="72" t="s">
        <v>1942</v>
      </c>
      <c r="W957" s="72" t="s">
        <v>1938</v>
      </c>
      <c r="X957" s="72" t="s">
        <v>2956</v>
      </c>
      <c r="Y957" s="72" t="s">
        <v>3083</v>
      </c>
      <c r="Z957" s="72" t="s">
        <v>4</v>
      </c>
      <c r="AA957" s="147" t="s">
        <v>2956</v>
      </c>
    </row>
    <row r="958" spans="1:27" ht="18.600000000000001" customHeight="1">
      <c r="A958" s="140" t="str">
        <f>IF(priority(Main[[#This Row],[Comments]])&lt;&gt;0, priority(Main[[#This Row],[Comments]]),"")</f>
        <v/>
      </c>
      <c r="B958" s="90" t="s">
        <v>1793</v>
      </c>
      <c r="C958" s="72" t="s">
        <v>4</v>
      </c>
      <c r="D958" s="73" t="s">
        <v>831</v>
      </c>
      <c r="E958" s="74"/>
      <c r="F958" s="74"/>
      <c r="G958" s="75" t="str">
        <f>IF(stdProdLT(Main[[#This Row],[Comments]])=0.1,"N/A",IF(stdProdLT(Main[[#This Row],[Comments]])=0,"",stdProdLT(Main[[#This Row],[Comments]])))</f>
        <v/>
      </c>
      <c r="H958" s="76" t="str">
        <f>IF(AND(Main[[#This Row],[In Stock Date]]&lt;&gt;"",Main[[#This Row],[Revised Due Date]]&lt;&gt;""),Main[[#This Row],[In Stock Date]]-Main[[#This Row],[Revised Due Date]],"")</f>
        <v/>
      </c>
      <c r="I958" s="72" t="s">
        <v>422</v>
      </c>
      <c r="J958" s="72" t="s">
        <v>75</v>
      </c>
      <c r="K958" s="72" t="s">
        <v>1939</v>
      </c>
      <c r="L958" s="74"/>
      <c r="M958" s="77" t="str">
        <f>IF(Main[[#This Row],[Tech Start Date]]&lt;1/1/1990,"",IF(Main[[#This Row],[Class]]="C",WORKDAY(Main[[#This Row],[Tech Start Date]],9),IF(Main[[#This Row],[Class]]="B", WORKDAY(Main[[#This Row],[Tech Start Date]],6),IF(Main[[#This Row],[Class]]="A",WORKDAY(Main[[#This Row],[Tech Start Date]],2),""))))</f>
        <v/>
      </c>
      <c r="N958" s="77" t="str">
        <f>IF(Main[[#This Row],[Tech Start Date]]&lt;1/1/1990,"",IF(Main[[#This Row],[Class]]="C",WORKDAY(Main[[#This Row],[Tech Start Date]],19),IF(Main[[#This Row],[Class]]="B", WORKDAY(Main[[#This Row],[Tech Start Date]],12),IF(Main[[#This Row],[Class]]="A",WORKDAY(Main[[#This Row],[Tech Start Date]],4),""))))</f>
        <v/>
      </c>
      <c r="O958" s="77" t="str">
        <f>IF(Main[[#This Row],[Tech Start Date]]&lt;1/1/1990,"",IF(Main[[#This Row],[Class]]="C",WORKDAY(Main[[#This Row],[Tech Start Date]],23),IF(Main[[#This Row],[Class]]="B", WORKDAY(Main[[#This Row],[Tech Start Date]],15),IF(Main[[#This Row],[Class]]="A",WORKDAY(Main[[#This Row],[Tech Start Date]],5),""))))</f>
        <v/>
      </c>
      <c r="P958" s="77" t="str">
        <f>IF(Main[[#This Row],[Tech Start Date]]&lt;1/1/1990,"",IF(Main[[#This Row],[Class]]="C",WORKDAY(Main[[#This Row],[Tech Start Date]],28),IF(Main[[#This Row],[Class]]="B", WORKDAY(Main[[#This Row],[Tech Start Date]],19),IF(Main[[#This Row],[Class]]="A",WORKDAY(Main[[#This Row],[Tech Start Date]],9),""))))</f>
        <v/>
      </c>
      <c r="Q958" s="74">
        <v>40529</v>
      </c>
      <c r="R958" s="74"/>
      <c r="S958" s="72" t="s">
        <v>6</v>
      </c>
      <c r="T958" s="80" t="s">
        <v>4</v>
      </c>
      <c r="U958" s="72" t="s">
        <v>14</v>
      </c>
      <c r="V958" s="72" t="s">
        <v>1935</v>
      </c>
      <c r="W958" s="72" t="s">
        <v>1943</v>
      </c>
      <c r="X958" s="72" t="s">
        <v>894</v>
      </c>
      <c r="Y958" s="72" t="s">
        <v>3050</v>
      </c>
      <c r="Z958" s="72" t="s">
        <v>310</v>
      </c>
      <c r="AA958" s="147" t="s">
        <v>894</v>
      </c>
    </row>
    <row r="959" spans="1:27" ht="18.600000000000001" customHeight="1">
      <c r="A959" s="140" t="str">
        <f>IF(priority(Main[[#This Row],[Comments]])&lt;&gt;0, priority(Main[[#This Row],[Comments]]),"")</f>
        <v/>
      </c>
      <c r="B959" s="90" t="s">
        <v>3671</v>
      </c>
      <c r="C959" s="72" t="s">
        <v>4</v>
      </c>
      <c r="D959" s="73" t="s">
        <v>3672</v>
      </c>
      <c r="E959" s="74">
        <v>40941.34952546296</v>
      </c>
      <c r="F959" s="74"/>
      <c r="G959" s="75" t="str">
        <f>IF(stdProdLT(Main[[#This Row],[Comments]])=0.1,"N/A",IF(stdProdLT(Main[[#This Row],[Comments]])=0,"",stdProdLT(Main[[#This Row],[Comments]])))</f>
        <v/>
      </c>
      <c r="H959" s="76" t="str">
        <f>IF(AND(Main[[#This Row],[In Stock Date]]&lt;&gt;"",Main[[#This Row],[Revised Due Date]]&lt;&gt;""),Main[[#This Row],[In Stock Date]]-Main[[#This Row],[Revised Due Date]],"")</f>
        <v/>
      </c>
      <c r="I959" s="72" t="s">
        <v>4</v>
      </c>
      <c r="J959" s="72" t="s">
        <v>4</v>
      </c>
      <c r="K959" s="72" t="s">
        <v>4</v>
      </c>
      <c r="L959" s="74"/>
      <c r="M959" s="77" t="str">
        <f>IF(Main[[#This Row],[Tech Start Date]]&lt;1/1/1990,"",IF(Main[[#This Row],[Class]]="C",WORKDAY(Main[[#This Row],[Tech Start Date]],9),IF(Main[[#This Row],[Class]]="B", WORKDAY(Main[[#This Row],[Tech Start Date]],6),IF(Main[[#This Row],[Class]]="A",WORKDAY(Main[[#This Row],[Tech Start Date]],2),""))))</f>
        <v/>
      </c>
      <c r="N959" s="77" t="str">
        <f>IF(Main[[#This Row],[Tech Start Date]]&lt;1/1/1990,"",IF(Main[[#This Row],[Class]]="C",WORKDAY(Main[[#This Row],[Tech Start Date]],19),IF(Main[[#This Row],[Class]]="B", WORKDAY(Main[[#This Row],[Tech Start Date]],12),IF(Main[[#This Row],[Class]]="A",WORKDAY(Main[[#This Row],[Tech Start Date]],4),""))))</f>
        <v/>
      </c>
      <c r="O959" s="77" t="str">
        <f>IF(Main[[#This Row],[Tech Start Date]]&lt;1/1/1990,"",IF(Main[[#This Row],[Class]]="C",WORKDAY(Main[[#This Row],[Tech Start Date]],23),IF(Main[[#This Row],[Class]]="B", WORKDAY(Main[[#This Row],[Tech Start Date]],15),IF(Main[[#This Row],[Class]]="A",WORKDAY(Main[[#This Row],[Tech Start Date]],5),""))))</f>
        <v/>
      </c>
      <c r="P959" s="77" t="str">
        <f>IF(Main[[#This Row],[Tech Start Date]]&lt;1/1/1990,"",IF(Main[[#This Row],[Class]]="C",WORKDAY(Main[[#This Row],[Tech Start Date]],28),IF(Main[[#This Row],[Class]]="B", WORKDAY(Main[[#This Row],[Tech Start Date]],19),IF(Main[[#This Row],[Class]]="A",WORKDAY(Main[[#This Row],[Tech Start Date]],9),""))))</f>
        <v/>
      </c>
      <c r="Q959" s="74">
        <v>41001</v>
      </c>
      <c r="R959" s="74"/>
      <c r="S959" s="72" t="s">
        <v>6</v>
      </c>
      <c r="T959" s="80" t="s">
        <v>4</v>
      </c>
      <c r="U959" s="72" t="s">
        <v>7</v>
      </c>
      <c r="V959" s="72" t="s">
        <v>1935</v>
      </c>
      <c r="W959" s="72" t="s">
        <v>4</v>
      </c>
      <c r="X959" s="72" t="s">
        <v>2906</v>
      </c>
      <c r="Y959" s="72" t="s">
        <v>3025</v>
      </c>
      <c r="Z959" s="72" t="s">
        <v>4</v>
      </c>
      <c r="AA959" s="147" t="s">
        <v>2906</v>
      </c>
    </row>
    <row r="960" spans="1:27" ht="18.600000000000001" customHeight="1">
      <c r="A960" s="140" t="str">
        <f>IF(priority(Main[[#This Row],[Comments]])&lt;&gt;0, priority(Main[[#This Row],[Comments]]),"")</f>
        <v/>
      </c>
      <c r="B960" s="90" t="s">
        <v>1794</v>
      </c>
      <c r="C960" s="72" t="s">
        <v>4</v>
      </c>
      <c r="D960" s="73" t="s">
        <v>832</v>
      </c>
      <c r="E960" s="74"/>
      <c r="F960" s="74">
        <v>40602</v>
      </c>
      <c r="G960" s="75" t="str">
        <f>IF(stdProdLT(Main[[#This Row],[Comments]])=0.1,"N/A",IF(stdProdLT(Main[[#This Row],[Comments]])=0,"",stdProdLT(Main[[#This Row],[Comments]])))</f>
        <v/>
      </c>
      <c r="H960" s="76" t="str">
        <f>IF(AND(Main[[#This Row],[In Stock Date]]&lt;&gt;"",Main[[#This Row],[Revised Due Date]]&lt;&gt;""),Main[[#This Row],[In Stock Date]]-Main[[#This Row],[Revised Due Date]],"")</f>
        <v/>
      </c>
      <c r="I960" s="72" t="s">
        <v>4</v>
      </c>
      <c r="J960" s="72" t="s">
        <v>28</v>
      </c>
      <c r="K960" s="72" t="s">
        <v>4</v>
      </c>
      <c r="L960" s="74"/>
      <c r="M960" s="77" t="str">
        <f>IF(Main[[#This Row],[Tech Start Date]]&lt;1/1/1990,"",IF(Main[[#This Row],[Class]]="C",WORKDAY(Main[[#This Row],[Tech Start Date]],9),IF(Main[[#This Row],[Class]]="B", WORKDAY(Main[[#This Row],[Tech Start Date]],6),IF(Main[[#This Row],[Class]]="A",WORKDAY(Main[[#This Row],[Tech Start Date]],2),""))))</f>
        <v/>
      </c>
      <c r="N960" s="77" t="str">
        <f>IF(Main[[#This Row],[Tech Start Date]]&lt;1/1/1990,"",IF(Main[[#This Row],[Class]]="C",WORKDAY(Main[[#This Row],[Tech Start Date]],19),IF(Main[[#This Row],[Class]]="B", WORKDAY(Main[[#This Row],[Tech Start Date]],12),IF(Main[[#This Row],[Class]]="A",WORKDAY(Main[[#This Row],[Tech Start Date]],4),""))))</f>
        <v/>
      </c>
      <c r="O960" s="77" t="str">
        <f>IF(Main[[#This Row],[Tech Start Date]]&lt;1/1/1990,"",IF(Main[[#This Row],[Class]]="C",WORKDAY(Main[[#This Row],[Tech Start Date]],23),IF(Main[[#This Row],[Class]]="B", WORKDAY(Main[[#This Row],[Tech Start Date]],15),IF(Main[[#This Row],[Class]]="A",WORKDAY(Main[[#This Row],[Tech Start Date]],5),""))))</f>
        <v/>
      </c>
      <c r="P960" s="77" t="str">
        <f>IF(Main[[#This Row],[Tech Start Date]]&lt;1/1/1990,"",IF(Main[[#This Row],[Class]]="C",WORKDAY(Main[[#This Row],[Tech Start Date]],28),IF(Main[[#This Row],[Class]]="B", WORKDAY(Main[[#This Row],[Tech Start Date]],19),IF(Main[[#This Row],[Class]]="A",WORKDAY(Main[[#This Row],[Tech Start Date]],9),""))))</f>
        <v/>
      </c>
      <c r="Q960" s="74">
        <v>40612</v>
      </c>
      <c r="R960" s="74"/>
      <c r="S960" s="72" t="s">
        <v>6</v>
      </c>
      <c r="T960" s="80" t="s">
        <v>4</v>
      </c>
      <c r="U960" s="72" t="s">
        <v>14</v>
      </c>
      <c r="V960" s="72" t="s">
        <v>1942</v>
      </c>
      <c r="W960" s="72" t="s">
        <v>1936</v>
      </c>
      <c r="X960" s="72" t="s">
        <v>50</v>
      </c>
      <c r="Y960" s="72" t="s">
        <v>3197</v>
      </c>
      <c r="Z960" s="72" t="s">
        <v>30</v>
      </c>
      <c r="AA960" s="147" t="s">
        <v>3562</v>
      </c>
    </row>
    <row r="961" spans="1:27" ht="18.600000000000001" customHeight="1">
      <c r="A961" s="140" t="str">
        <f>IF(priority(Main[[#This Row],[Comments]])&lt;&gt;0, priority(Main[[#This Row],[Comments]]),"")</f>
        <v/>
      </c>
      <c r="B961" s="90" t="s">
        <v>2480</v>
      </c>
      <c r="C961" s="72" t="s">
        <v>4</v>
      </c>
      <c r="D961" s="73" t="s">
        <v>3325</v>
      </c>
      <c r="E961" s="74">
        <v>40820.793587962966</v>
      </c>
      <c r="F961" s="74"/>
      <c r="G961" s="75" t="str">
        <f>IF(stdProdLT(Main[[#This Row],[Comments]])=0.1,"N/A",IF(stdProdLT(Main[[#This Row],[Comments]])=0,"",stdProdLT(Main[[#This Row],[Comments]])))</f>
        <v/>
      </c>
      <c r="H961" s="76" t="str">
        <f>IF(AND(Main[[#This Row],[In Stock Date]]&lt;&gt;"",Main[[#This Row],[Revised Due Date]]&lt;&gt;""),Main[[#This Row],[In Stock Date]]-Main[[#This Row],[Revised Due Date]],"")</f>
        <v/>
      </c>
      <c r="I961" s="72" t="s">
        <v>2073</v>
      </c>
      <c r="J961" s="72" t="s">
        <v>28</v>
      </c>
      <c r="K961" s="72" t="s">
        <v>1941</v>
      </c>
      <c r="L961" s="74"/>
      <c r="M961" s="77" t="str">
        <f>IF(Main[[#This Row],[Tech Start Date]]&lt;1/1/1990,"",IF(Main[[#This Row],[Class]]="C",WORKDAY(Main[[#This Row],[Tech Start Date]],9),IF(Main[[#This Row],[Class]]="B", WORKDAY(Main[[#This Row],[Tech Start Date]],6),IF(Main[[#This Row],[Class]]="A",WORKDAY(Main[[#This Row],[Tech Start Date]],2),""))))</f>
        <v/>
      </c>
      <c r="N961" s="77" t="str">
        <f>IF(Main[[#This Row],[Tech Start Date]]&lt;1/1/1990,"",IF(Main[[#This Row],[Class]]="C",WORKDAY(Main[[#This Row],[Tech Start Date]],19),IF(Main[[#This Row],[Class]]="B", WORKDAY(Main[[#This Row],[Tech Start Date]],12),IF(Main[[#This Row],[Class]]="A",WORKDAY(Main[[#This Row],[Tech Start Date]],4),""))))</f>
        <v/>
      </c>
      <c r="O961" s="77" t="str">
        <f>IF(Main[[#This Row],[Tech Start Date]]&lt;1/1/1990,"",IF(Main[[#This Row],[Class]]="C",WORKDAY(Main[[#This Row],[Tech Start Date]],23),IF(Main[[#This Row],[Class]]="B", WORKDAY(Main[[#This Row],[Tech Start Date]],15),IF(Main[[#This Row],[Class]]="A",WORKDAY(Main[[#This Row],[Tech Start Date]],5),""))))</f>
        <v/>
      </c>
      <c r="P961" s="77" t="str">
        <f>IF(Main[[#This Row],[Tech Start Date]]&lt;1/1/1990,"",IF(Main[[#This Row],[Class]]="C",WORKDAY(Main[[#This Row],[Tech Start Date]],28),IF(Main[[#This Row],[Class]]="B", WORKDAY(Main[[#This Row],[Tech Start Date]],19),IF(Main[[#This Row],[Class]]="A",WORKDAY(Main[[#This Row],[Tech Start Date]],9),""))))</f>
        <v/>
      </c>
      <c r="Q961" s="74">
        <v>40847</v>
      </c>
      <c r="R961" s="74"/>
      <c r="S961" s="72" t="s">
        <v>6</v>
      </c>
      <c r="T961" s="80" t="s">
        <v>4</v>
      </c>
      <c r="U961" s="72" t="s">
        <v>29</v>
      </c>
      <c r="V961" s="72" t="s">
        <v>1935</v>
      </c>
      <c r="W961" s="72" t="s">
        <v>1936</v>
      </c>
      <c r="X961" s="72" t="s">
        <v>30</v>
      </c>
      <c r="Y961" s="72" t="s">
        <v>3221</v>
      </c>
      <c r="Z961" s="72" t="s">
        <v>30</v>
      </c>
      <c r="AA961" s="147" t="s">
        <v>3628</v>
      </c>
    </row>
    <row r="962" spans="1:27" ht="18.600000000000001" customHeight="1">
      <c r="A962" s="140" t="str">
        <f>IF(priority(Main[[#This Row],[Comments]])&lt;&gt;0, priority(Main[[#This Row],[Comments]]),"")</f>
        <v/>
      </c>
      <c r="B962" s="90" t="s">
        <v>1819</v>
      </c>
      <c r="C962" s="72" t="s">
        <v>355</v>
      </c>
      <c r="D962" s="73" t="s">
        <v>833</v>
      </c>
      <c r="E962" s="74"/>
      <c r="F962" s="74">
        <v>40360</v>
      </c>
      <c r="G962" s="75" t="str">
        <f>IF(stdProdLT(Main[[#This Row],[Comments]])=0.1,"N/A",IF(stdProdLT(Main[[#This Row],[Comments]])=0,"",stdProdLT(Main[[#This Row],[Comments]])))</f>
        <v/>
      </c>
      <c r="H962" s="76" t="str">
        <f>IF(AND(Main[[#This Row],[In Stock Date]]&lt;&gt;"",Main[[#This Row],[Revised Due Date]]&lt;&gt;""),Main[[#This Row],[In Stock Date]]-Main[[#This Row],[Revised Due Date]],"")</f>
        <v/>
      </c>
      <c r="I962" s="72" t="s">
        <v>4</v>
      </c>
      <c r="J962" s="72" t="s">
        <v>4</v>
      </c>
      <c r="K962" s="72" t="s">
        <v>4</v>
      </c>
      <c r="L962" s="74"/>
      <c r="M962" s="77" t="str">
        <f>IF(Main[[#This Row],[Tech Start Date]]&lt;1/1/1990,"",IF(Main[[#This Row],[Class]]="C",WORKDAY(Main[[#This Row],[Tech Start Date]],9),IF(Main[[#This Row],[Class]]="B", WORKDAY(Main[[#This Row],[Tech Start Date]],6),IF(Main[[#This Row],[Class]]="A",WORKDAY(Main[[#This Row],[Tech Start Date]],2),""))))</f>
        <v/>
      </c>
      <c r="N962" s="77" t="str">
        <f>IF(Main[[#This Row],[Tech Start Date]]&lt;1/1/1990,"",IF(Main[[#This Row],[Class]]="C",WORKDAY(Main[[#This Row],[Tech Start Date]],19),IF(Main[[#This Row],[Class]]="B", WORKDAY(Main[[#This Row],[Tech Start Date]],12),IF(Main[[#This Row],[Class]]="A",WORKDAY(Main[[#This Row],[Tech Start Date]],4),""))))</f>
        <v/>
      </c>
      <c r="O962" s="77" t="str">
        <f>IF(Main[[#This Row],[Tech Start Date]]&lt;1/1/1990,"",IF(Main[[#This Row],[Class]]="C",WORKDAY(Main[[#This Row],[Tech Start Date]],23),IF(Main[[#This Row],[Class]]="B", WORKDAY(Main[[#This Row],[Tech Start Date]],15),IF(Main[[#This Row],[Class]]="A",WORKDAY(Main[[#This Row],[Tech Start Date]],5),""))))</f>
        <v/>
      </c>
      <c r="P962" s="77" t="str">
        <f>IF(Main[[#This Row],[Tech Start Date]]&lt;1/1/1990,"",IF(Main[[#This Row],[Class]]="C",WORKDAY(Main[[#This Row],[Tech Start Date]],28),IF(Main[[#This Row],[Class]]="B", WORKDAY(Main[[#This Row],[Tech Start Date]],19),IF(Main[[#This Row],[Class]]="A",WORKDAY(Main[[#This Row],[Tech Start Date]],9),""))))</f>
        <v/>
      </c>
      <c r="Q962" s="74">
        <v>40329</v>
      </c>
      <c r="R962" s="74"/>
      <c r="S962" s="72" t="s">
        <v>11</v>
      </c>
      <c r="T962" s="80" t="s">
        <v>4</v>
      </c>
      <c r="U962" s="72" t="s">
        <v>12</v>
      </c>
      <c r="V962" s="72" t="s">
        <v>1942</v>
      </c>
      <c r="W962" s="72" t="s">
        <v>1938</v>
      </c>
      <c r="X962" s="72" t="s">
        <v>2956</v>
      </c>
      <c r="Y962" s="72" t="s">
        <v>3083</v>
      </c>
      <c r="Z962" s="72" t="s">
        <v>4</v>
      </c>
      <c r="AA962" s="147" t="s">
        <v>2956</v>
      </c>
    </row>
    <row r="963" spans="1:27" ht="18.600000000000001" customHeight="1">
      <c r="A963" s="140" t="str">
        <f>IF(priority(Main[[#This Row],[Comments]])&lt;&gt;0, priority(Main[[#This Row],[Comments]]),"")</f>
        <v/>
      </c>
      <c r="B963" s="90" t="s">
        <v>1796</v>
      </c>
      <c r="C963" s="72" t="s">
        <v>4</v>
      </c>
      <c r="D963" s="73" t="s">
        <v>857</v>
      </c>
      <c r="E963" s="74"/>
      <c r="F963" s="74"/>
      <c r="G963" s="75" t="str">
        <f>IF(stdProdLT(Main[[#This Row],[Comments]])=0.1,"N/A",IF(stdProdLT(Main[[#This Row],[Comments]])=0,"",stdProdLT(Main[[#This Row],[Comments]])))</f>
        <v/>
      </c>
      <c r="H963" s="76" t="str">
        <f>IF(AND(Main[[#This Row],[In Stock Date]]&lt;&gt;"",Main[[#This Row],[Revised Due Date]]&lt;&gt;""),Main[[#This Row],[In Stock Date]]-Main[[#This Row],[Revised Due Date]],"")</f>
        <v/>
      </c>
      <c r="I963" s="72" t="s">
        <v>4</v>
      </c>
      <c r="J963" s="72" t="s">
        <v>4</v>
      </c>
      <c r="K963" s="72" t="s">
        <v>4</v>
      </c>
      <c r="L963" s="74"/>
      <c r="M963" s="77" t="str">
        <f>IF(Main[[#This Row],[Tech Start Date]]&lt;1/1/1990,"",IF(Main[[#This Row],[Class]]="C",WORKDAY(Main[[#This Row],[Tech Start Date]],9),IF(Main[[#This Row],[Class]]="B", WORKDAY(Main[[#This Row],[Tech Start Date]],6),IF(Main[[#This Row],[Class]]="A",WORKDAY(Main[[#This Row],[Tech Start Date]],2),""))))</f>
        <v/>
      </c>
      <c r="N963" s="77" t="str">
        <f>IF(Main[[#This Row],[Tech Start Date]]&lt;1/1/1990,"",IF(Main[[#This Row],[Class]]="C",WORKDAY(Main[[#This Row],[Tech Start Date]],19),IF(Main[[#This Row],[Class]]="B", WORKDAY(Main[[#This Row],[Tech Start Date]],12),IF(Main[[#This Row],[Class]]="A",WORKDAY(Main[[#This Row],[Tech Start Date]],4),""))))</f>
        <v/>
      </c>
      <c r="O963" s="77" t="str">
        <f>IF(Main[[#This Row],[Tech Start Date]]&lt;1/1/1990,"",IF(Main[[#This Row],[Class]]="C",WORKDAY(Main[[#This Row],[Tech Start Date]],23),IF(Main[[#This Row],[Class]]="B", WORKDAY(Main[[#This Row],[Tech Start Date]],15),IF(Main[[#This Row],[Class]]="A",WORKDAY(Main[[#This Row],[Tech Start Date]],5),""))))</f>
        <v/>
      </c>
      <c r="P963" s="77" t="str">
        <f>IF(Main[[#This Row],[Tech Start Date]]&lt;1/1/1990,"",IF(Main[[#This Row],[Class]]="C",WORKDAY(Main[[#This Row],[Tech Start Date]],28),IF(Main[[#This Row],[Class]]="B", WORKDAY(Main[[#This Row],[Tech Start Date]],19),IF(Main[[#This Row],[Class]]="A",WORKDAY(Main[[#This Row],[Tech Start Date]],9),""))))</f>
        <v/>
      </c>
      <c r="Q963" s="74"/>
      <c r="R963" s="74"/>
      <c r="S963" s="72" t="s">
        <v>49</v>
      </c>
      <c r="T963" s="80" t="s">
        <v>4</v>
      </c>
      <c r="U963" s="72" t="s">
        <v>14</v>
      </c>
      <c r="V963" s="72" t="s">
        <v>1935</v>
      </c>
      <c r="W963" s="72" t="s">
        <v>1936</v>
      </c>
      <c r="X963" s="72" t="s">
        <v>310</v>
      </c>
      <c r="Y963" s="72" t="s">
        <v>4</v>
      </c>
      <c r="Z963" s="72" t="s">
        <v>4</v>
      </c>
      <c r="AA963" s="147" t="s">
        <v>4</v>
      </c>
    </row>
    <row r="964" spans="1:27" ht="18.600000000000001" customHeight="1">
      <c r="A964" s="140" t="str">
        <f>IF(priority(Main[[#This Row],[Comments]])&lt;&gt;0, priority(Main[[#This Row],[Comments]]),"")</f>
        <v/>
      </c>
      <c r="B964" s="90" t="s">
        <v>1797</v>
      </c>
      <c r="C964" s="72" t="s">
        <v>4</v>
      </c>
      <c r="D964" s="73" t="s">
        <v>858</v>
      </c>
      <c r="E964" s="74"/>
      <c r="F964" s="74"/>
      <c r="G964" s="75" t="str">
        <f>IF(stdProdLT(Main[[#This Row],[Comments]])=0.1,"N/A",IF(stdProdLT(Main[[#This Row],[Comments]])=0,"",stdProdLT(Main[[#This Row],[Comments]])))</f>
        <v/>
      </c>
      <c r="H964" s="76" t="str">
        <f>IF(AND(Main[[#This Row],[In Stock Date]]&lt;&gt;"",Main[[#This Row],[Revised Due Date]]&lt;&gt;""),Main[[#This Row],[In Stock Date]]-Main[[#This Row],[Revised Due Date]],"")</f>
        <v/>
      </c>
      <c r="I964" s="72" t="s">
        <v>4</v>
      </c>
      <c r="J964" s="72" t="s">
        <v>4</v>
      </c>
      <c r="K964" s="81" t="s">
        <v>4</v>
      </c>
      <c r="L964" s="74"/>
      <c r="M964" s="77" t="str">
        <f>IF(Main[[#This Row],[Tech Start Date]]&lt;1/1/1990,"",IF(Main[[#This Row],[Class]]="C",WORKDAY(Main[[#This Row],[Tech Start Date]],9),IF(Main[[#This Row],[Class]]="B", WORKDAY(Main[[#This Row],[Tech Start Date]],6),IF(Main[[#This Row],[Class]]="A",WORKDAY(Main[[#This Row],[Tech Start Date]],2),""))))</f>
        <v/>
      </c>
      <c r="N964" s="77" t="str">
        <f>IF(Main[[#This Row],[Tech Start Date]]&lt;1/1/1990,"",IF(Main[[#This Row],[Class]]="C",WORKDAY(Main[[#This Row],[Tech Start Date]],19),IF(Main[[#This Row],[Class]]="B", WORKDAY(Main[[#This Row],[Tech Start Date]],12),IF(Main[[#This Row],[Class]]="A",WORKDAY(Main[[#This Row],[Tech Start Date]],4),""))))</f>
        <v/>
      </c>
      <c r="O964" s="77" t="str">
        <f>IF(Main[[#This Row],[Tech Start Date]]&lt;1/1/1990,"",IF(Main[[#This Row],[Class]]="C",WORKDAY(Main[[#This Row],[Tech Start Date]],23),IF(Main[[#This Row],[Class]]="B", WORKDAY(Main[[#This Row],[Tech Start Date]],15),IF(Main[[#This Row],[Class]]="A",WORKDAY(Main[[#This Row],[Tech Start Date]],5),""))))</f>
        <v/>
      </c>
      <c r="P964" s="77" t="str">
        <f>IF(Main[[#This Row],[Tech Start Date]]&lt;1/1/1990,"",IF(Main[[#This Row],[Class]]="C",WORKDAY(Main[[#This Row],[Tech Start Date]],28),IF(Main[[#This Row],[Class]]="B", WORKDAY(Main[[#This Row],[Tech Start Date]],19),IF(Main[[#This Row],[Class]]="A",WORKDAY(Main[[#This Row],[Tech Start Date]],9),""))))</f>
        <v/>
      </c>
      <c r="Q964" s="74"/>
      <c r="R964" s="74"/>
      <c r="S964" s="72" t="s">
        <v>23</v>
      </c>
      <c r="T964" s="80" t="s">
        <v>4</v>
      </c>
      <c r="U964" s="72" t="s">
        <v>14</v>
      </c>
      <c r="V964" s="72" t="s">
        <v>1935</v>
      </c>
      <c r="W964" s="72" t="s">
        <v>1936</v>
      </c>
      <c r="X964" s="72" t="s">
        <v>403</v>
      </c>
      <c r="Y964" s="72" t="s">
        <v>4</v>
      </c>
      <c r="Z964" s="72" t="s">
        <v>775</v>
      </c>
      <c r="AA964" s="147" t="s">
        <v>3578</v>
      </c>
    </row>
    <row r="965" spans="1:27" ht="18.600000000000001" customHeight="1">
      <c r="A965" s="140" t="str">
        <f>IF(priority(Main[[#This Row],[Comments]])&lt;&gt;0, priority(Main[[#This Row],[Comments]]),"")</f>
        <v/>
      </c>
      <c r="B965" s="90" t="s">
        <v>1785</v>
      </c>
      <c r="C965" s="72" t="s">
        <v>4</v>
      </c>
      <c r="D965" s="73" t="s">
        <v>823</v>
      </c>
      <c r="E965" s="74"/>
      <c r="F965" s="74"/>
      <c r="G965" s="75" t="str">
        <f>IF(stdProdLT(Main[[#This Row],[Comments]])=0.1,"N/A",IF(stdProdLT(Main[[#This Row],[Comments]])=0,"",stdProdLT(Main[[#This Row],[Comments]])))</f>
        <v/>
      </c>
      <c r="H965" s="76" t="str">
        <f>IF(AND(Main[[#This Row],[In Stock Date]]&lt;&gt;"",Main[[#This Row],[Revised Due Date]]&lt;&gt;""),Main[[#This Row],[In Stock Date]]-Main[[#This Row],[Revised Due Date]],"")</f>
        <v/>
      </c>
      <c r="I965" s="72" t="s">
        <v>4</v>
      </c>
      <c r="J965" s="72" t="s">
        <v>4</v>
      </c>
      <c r="K965" s="72" t="s">
        <v>4</v>
      </c>
      <c r="L965" s="74"/>
      <c r="M965" s="77" t="str">
        <f>IF(Main[[#This Row],[Tech Start Date]]&lt;1/1/1990,"",IF(Main[[#This Row],[Class]]="C",WORKDAY(Main[[#This Row],[Tech Start Date]],9),IF(Main[[#This Row],[Class]]="B", WORKDAY(Main[[#This Row],[Tech Start Date]],6),IF(Main[[#This Row],[Class]]="A",WORKDAY(Main[[#This Row],[Tech Start Date]],2),""))))</f>
        <v/>
      </c>
      <c r="N965" s="77" t="str">
        <f>IF(Main[[#This Row],[Tech Start Date]]&lt;1/1/1990,"",IF(Main[[#This Row],[Class]]="C",WORKDAY(Main[[#This Row],[Tech Start Date]],19),IF(Main[[#This Row],[Class]]="B", WORKDAY(Main[[#This Row],[Tech Start Date]],12),IF(Main[[#This Row],[Class]]="A",WORKDAY(Main[[#This Row],[Tech Start Date]],4),""))))</f>
        <v/>
      </c>
      <c r="O965" s="77" t="str">
        <f>IF(Main[[#This Row],[Tech Start Date]]&lt;1/1/1990,"",IF(Main[[#This Row],[Class]]="C",WORKDAY(Main[[#This Row],[Tech Start Date]],23),IF(Main[[#This Row],[Class]]="B", WORKDAY(Main[[#This Row],[Tech Start Date]],15),IF(Main[[#This Row],[Class]]="A",WORKDAY(Main[[#This Row],[Tech Start Date]],5),""))))</f>
        <v/>
      </c>
      <c r="P965" s="77" t="str">
        <f>IF(Main[[#This Row],[Tech Start Date]]&lt;1/1/1990,"",IF(Main[[#This Row],[Class]]="C",WORKDAY(Main[[#This Row],[Tech Start Date]],28),IF(Main[[#This Row],[Class]]="B", WORKDAY(Main[[#This Row],[Tech Start Date]],19),IF(Main[[#This Row],[Class]]="A",WORKDAY(Main[[#This Row],[Tech Start Date]],9),""))))</f>
        <v/>
      </c>
      <c r="Q965" s="74">
        <v>40209</v>
      </c>
      <c r="R965" s="74"/>
      <c r="S965" s="72" t="s">
        <v>6</v>
      </c>
      <c r="T965" s="80" t="s">
        <v>4</v>
      </c>
      <c r="U965" s="72" t="s">
        <v>14</v>
      </c>
      <c r="V965" s="72" t="s">
        <v>1935</v>
      </c>
      <c r="W965" s="72" t="s">
        <v>4</v>
      </c>
      <c r="X965" s="72" t="s">
        <v>2971</v>
      </c>
      <c r="Y965" s="72" t="s">
        <v>3130</v>
      </c>
      <c r="Z965" s="72" t="s">
        <v>4</v>
      </c>
      <c r="AA965" s="147" t="s">
        <v>2971</v>
      </c>
    </row>
    <row r="966" spans="1:27" ht="18.600000000000001" customHeight="1">
      <c r="A966" s="140" t="str">
        <f>IF(priority(Main[[#This Row],[Comments]])&lt;&gt;0, priority(Main[[#This Row],[Comments]]),"")</f>
        <v/>
      </c>
      <c r="B966" s="90" t="s">
        <v>1786</v>
      </c>
      <c r="C966" s="72" t="s">
        <v>824</v>
      </c>
      <c r="D966" s="73" t="s">
        <v>825</v>
      </c>
      <c r="E966" s="74"/>
      <c r="F966" s="74">
        <v>40678</v>
      </c>
      <c r="G966" s="75" t="str">
        <f>IF(stdProdLT(Main[[#This Row],[Comments]])=0.1,"N/A",IF(stdProdLT(Main[[#This Row],[Comments]])=0,"",stdProdLT(Main[[#This Row],[Comments]])))</f>
        <v/>
      </c>
      <c r="H966" s="76" t="str">
        <f>IF(AND(Main[[#This Row],[In Stock Date]]&lt;&gt;"",Main[[#This Row],[Revised Due Date]]&lt;&gt;""),Main[[#This Row],[In Stock Date]]-Main[[#This Row],[Revised Due Date]],"")</f>
        <v/>
      </c>
      <c r="I966" s="72" t="s">
        <v>4</v>
      </c>
      <c r="J966" s="72" t="s">
        <v>4</v>
      </c>
      <c r="K966" s="72" t="s">
        <v>4</v>
      </c>
      <c r="L966" s="74"/>
      <c r="M966" s="77" t="str">
        <f>IF(Main[[#This Row],[Tech Start Date]]&lt;1/1/1990,"",IF(Main[[#This Row],[Class]]="C",WORKDAY(Main[[#This Row],[Tech Start Date]],9),IF(Main[[#This Row],[Class]]="B", WORKDAY(Main[[#This Row],[Tech Start Date]],6),IF(Main[[#This Row],[Class]]="A",WORKDAY(Main[[#This Row],[Tech Start Date]],2),""))))</f>
        <v/>
      </c>
      <c r="N966" s="77" t="str">
        <f>IF(Main[[#This Row],[Tech Start Date]]&lt;1/1/1990,"",IF(Main[[#This Row],[Class]]="C",WORKDAY(Main[[#This Row],[Tech Start Date]],19),IF(Main[[#This Row],[Class]]="B", WORKDAY(Main[[#This Row],[Tech Start Date]],12),IF(Main[[#This Row],[Class]]="A",WORKDAY(Main[[#This Row],[Tech Start Date]],4),""))))</f>
        <v/>
      </c>
      <c r="O966" s="77" t="str">
        <f>IF(Main[[#This Row],[Tech Start Date]]&lt;1/1/1990,"",IF(Main[[#This Row],[Class]]="C",WORKDAY(Main[[#This Row],[Tech Start Date]],23),IF(Main[[#This Row],[Class]]="B", WORKDAY(Main[[#This Row],[Tech Start Date]],15),IF(Main[[#This Row],[Class]]="A",WORKDAY(Main[[#This Row],[Tech Start Date]],5),""))))</f>
        <v/>
      </c>
      <c r="P966" s="77" t="str">
        <f>IF(Main[[#This Row],[Tech Start Date]]&lt;1/1/1990,"",IF(Main[[#This Row],[Class]]="C",WORKDAY(Main[[#This Row],[Tech Start Date]],28),IF(Main[[#This Row],[Class]]="B", WORKDAY(Main[[#This Row],[Tech Start Date]],19),IF(Main[[#This Row],[Class]]="A",WORKDAY(Main[[#This Row],[Tech Start Date]],9),""))))</f>
        <v/>
      </c>
      <c r="Q966" s="74">
        <v>40602</v>
      </c>
      <c r="R966" s="74"/>
      <c r="S966" s="72" t="s">
        <v>11</v>
      </c>
      <c r="T966" s="80" t="s">
        <v>4</v>
      </c>
      <c r="U966" s="72" t="s">
        <v>14</v>
      </c>
      <c r="V966" s="72" t="s">
        <v>1932</v>
      </c>
      <c r="W966" s="72" t="s">
        <v>1938</v>
      </c>
      <c r="X966" s="72" t="s">
        <v>2908</v>
      </c>
      <c r="Y966" s="72" t="s">
        <v>3030</v>
      </c>
      <c r="Z966" s="72" t="s">
        <v>4</v>
      </c>
      <c r="AA966" s="147" t="s">
        <v>2908</v>
      </c>
    </row>
    <row r="967" spans="1:27" ht="18.600000000000001" customHeight="1">
      <c r="A967" s="140" t="str">
        <f>IF(priority(Main[[#This Row],[Comments]])&lt;&gt;0, priority(Main[[#This Row],[Comments]]),"")</f>
        <v/>
      </c>
      <c r="B967" s="90" t="s">
        <v>1789</v>
      </c>
      <c r="C967" s="72" t="s">
        <v>826</v>
      </c>
      <c r="D967" s="73" t="s">
        <v>827</v>
      </c>
      <c r="E967" s="74"/>
      <c r="F967" s="74"/>
      <c r="G967" s="75" t="str">
        <f>IF(stdProdLT(Main[[#This Row],[Comments]])=0.1,"N/A",IF(stdProdLT(Main[[#This Row],[Comments]])=0,"",stdProdLT(Main[[#This Row],[Comments]])))</f>
        <v/>
      </c>
      <c r="H967" s="76" t="str">
        <f>IF(AND(Main[[#This Row],[In Stock Date]]&lt;&gt;"",Main[[#This Row],[Revised Due Date]]&lt;&gt;""),Main[[#This Row],[In Stock Date]]-Main[[#This Row],[Revised Due Date]],"")</f>
        <v/>
      </c>
      <c r="I967" s="72" t="s">
        <v>4</v>
      </c>
      <c r="J967" s="72" t="s">
        <v>4</v>
      </c>
      <c r="K967" s="72" t="s">
        <v>4</v>
      </c>
      <c r="L967" s="74"/>
      <c r="M967" s="77" t="str">
        <f>IF(Main[[#This Row],[Tech Start Date]]&lt;1/1/1990,"",IF(Main[[#This Row],[Class]]="C",WORKDAY(Main[[#This Row],[Tech Start Date]],9),IF(Main[[#This Row],[Class]]="B", WORKDAY(Main[[#This Row],[Tech Start Date]],6),IF(Main[[#This Row],[Class]]="A",WORKDAY(Main[[#This Row],[Tech Start Date]],2),""))))</f>
        <v/>
      </c>
      <c r="N967" s="77" t="str">
        <f>IF(Main[[#This Row],[Tech Start Date]]&lt;1/1/1990,"",IF(Main[[#This Row],[Class]]="C",WORKDAY(Main[[#This Row],[Tech Start Date]],19),IF(Main[[#This Row],[Class]]="B", WORKDAY(Main[[#This Row],[Tech Start Date]],12),IF(Main[[#This Row],[Class]]="A",WORKDAY(Main[[#This Row],[Tech Start Date]],4),""))))</f>
        <v/>
      </c>
      <c r="O967" s="77" t="str">
        <f>IF(Main[[#This Row],[Tech Start Date]]&lt;1/1/1990,"",IF(Main[[#This Row],[Class]]="C",WORKDAY(Main[[#This Row],[Tech Start Date]],23),IF(Main[[#This Row],[Class]]="B", WORKDAY(Main[[#This Row],[Tech Start Date]],15),IF(Main[[#This Row],[Class]]="A",WORKDAY(Main[[#This Row],[Tech Start Date]],5),""))))</f>
        <v/>
      </c>
      <c r="P967" s="77" t="str">
        <f>IF(Main[[#This Row],[Tech Start Date]]&lt;1/1/1990,"",IF(Main[[#This Row],[Class]]="C",WORKDAY(Main[[#This Row],[Tech Start Date]],28),IF(Main[[#This Row],[Class]]="B", WORKDAY(Main[[#This Row],[Tech Start Date]],19),IF(Main[[#This Row],[Class]]="A",WORKDAY(Main[[#This Row],[Tech Start Date]],9),""))))</f>
        <v/>
      </c>
      <c r="Q967" s="74">
        <v>40715</v>
      </c>
      <c r="R967" s="74"/>
      <c r="S967" s="72" t="s">
        <v>11</v>
      </c>
      <c r="T967" s="80" t="s">
        <v>4</v>
      </c>
      <c r="U967" s="72" t="s">
        <v>14</v>
      </c>
      <c r="V967" s="72" t="s">
        <v>1933</v>
      </c>
      <c r="W967" s="72" t="s">
        <v>1934</v>
      </c>
      <c r="X967" s="72" t="s">
        <v>2899</v>
      </c>
      <c r="Y967" s="72" t="s">
        <v>4</v>
      </c>
      <c r="Z967" s="72" t="s">
        <v>4</v>
      </c>
      <c r="AA967" s="147" t="s">
        <v>2899</v>
      </c>
    </row>
    <row r="968" spans="1:27" ht="18.600000000000001" customHeight="1">
      <c r="A968" s="140" t="str">
        <f>IF(priority(Main[[#This Row],[Comments]])&lt;&gt;0, priority(Main[[#This Row],[Comments]]),"")</f>
        <v/>
      </c>
      <c r="B968" s="90" t="s">
        <v>2192</v>
      </c>
      <c r="C968" s="72" t="s">
        <v>2186</v>
      </c>
      <c r="D968" s="73" t="s">
        <v>2187</v>
      </c>
      <c r="E968" s="74">
        <v>40781.39603009259</v>
      </c>
      <c r="F968" s="74"/>
      <c r="G968" s="75" t="str">
        <f>IF(stdProdLT(Main[[#This Row],[Comments]])=0.1,"N/A",IF(stdProdLT(Main[[#This Row],[Comments]])=0,"",stdProdLT(Main[[#This Row],[Comments]])))</f>
        <v/>
      </c>
      <c r="H968" s="76" t="str">
        <f>IF(AND(Main[[#This Row],[In Stock Date]]&lt;&gt;"",Main[[#This Row],[Revised Due Date]]&lt;&gt;""),Main[[#This Row],[In Stock Date]]-Main[[#This Row],[Revised Due Date]],"")</f>
        <v/>
      </c>
      <c r="I968" s="72" t="s">
        <v>69</v>
      </c>
      <c r="J968" s="72" t="s">
        <v>1998</v>
      </c>
      <c r="K968" s="72" t="s">
        <v>1941</v>
      </c>
      <c r="L968" s="74"/>
      <c r="M968" s="77" t="str">
        <f>IF(Main[[#This Row],[Tech Start Date]]&lt;1/1/1990,"",IF(Main[[#This Row],[Class]]="C",WORKDAY(Main[[#This Row],[Tech Start Date]],9),IF(Main[[#This Row],[Class]]="B", WORKDAY(Main[[#This Row],[Tech Start Date]],6),IF(Main[[#This Row],[Class]]="A",WORKDAY(Main[[#This Row],[Tech Start Date]],2),""))))</f>
        <v/>
      </c>
      <c r="N968" s="77" t="str">
        <f>IF(Main[[#This Row],[Tech Start Date]]&lt;1/1/1990,"",IF(Main[[#This Row],[Class]]="C",WORKDAY(Main[[#This Row],[Tech Start Date]],19),IF(Main[[#This Row],[Class]]="B", WORKDAY(Main[[#This Row],[Tech Start Date]],12),IF(Main[[#This Row],[Class]]="A",WORKDAY(Main[[#This Row],[Tech Start Date]],4),""))))</f>
        <v/>
      </c>
      <c r="O968" s="77" t="str">
        <f>IF(Main[[#This Row],[Tech Start Date]]&lt;1/1/1990,"",IF(Main[[#This Row],[Class]]="C",WORKDAY(Main[[#This Row],[Tech Start Date]],23),IF(Main[[#This Row],[Class]]="B", WORKDAY(Main[[#This Row],[Tech Start Date]],15),IF(Main[[#This Row],[Class]]="A",WORKDAY(Main[[#This Row],[Tech Start Date]],5),""))))</f>
        <v/>
      </c>
      <c r="P968" s="77" t="str">
        <f>IF(Main[[#This Row],[Tech Start Date]]&lt;1/1/1990,"",IF(Main[[#This Row],[Class]]="C",WORKDAY(Main[[#This Row],[Tech Start Date]],28),IF(Main[[#This Row],[Class]]="B", WORKDAY(Main[[#This Row],[Tech Start Date]],19),IF(Main[[#This Row],[Class]]="A",WORKDAY(Main[[#This Row],[Tech Start Date]],9),""))))</f>
        <v/>
      </c>
      <c r="Q968" s="74">
        <v>40836</v>
      </c>
      <c r="R968" s="74"/>
      <c r="S968" s="72" t="s">
        <v>6</v>
      </c>
      <c r="T968" s="80" t="s">
        <v>4</v>
      </c>
      <c r="U968" s="72" t="s">
        <v>29</v>
      </c>
      <c r="V968" s="72" t="s">
        <v>1935</v>
      </c>
      <c r="W968" s="72" t="s">
        <v>1936</v>
      </c>
      <c r="X968" s="72" t="s">
        <v>2920</v>
      </c>
      <c r="Y968" s="72" t="s">
        <v>3052</v>
      </c>
      <c r="Z968" s="72" t="s">
        <v>30</v>
      </c>
      <c r="AA968" s="147" t="s">
        <v>2920</v>
      </c>
    </row>
    <row r="969" spans="1:27" ht="18.600000000000001" customHeight="1">
      <c r="A969" s="140" t="str">
        <f>IF(priority(Main[[#This Row],[Comments]])&lt;&gt;0, priority(Main[[#This Row],[Comments]]),"")</f>
        <v/>
      </c>
      <c r="B969" s="90" t="s">
        <v>1799</v>
      </c>
      <c r="C969" s="72" t="s">
        <v>183</v>
      </c>
      <c r="D969" s="73" t="s">
        <v>834</v>
      </c>
      <c r="E969" s="74"/>
      <c r="F969" s="74">
        <v>40389</v>
      </c>
      <c r="G969" s="75" t="str">
        <f>IF(stdProdLT(Main[[#This Row],[Comments]])=0.1,"N/A",IF(stdProdLT(Main[[#This Row],[Comments]])=0,"",stdProdLT(Main[[#This Row],[Comments]])))</f>
        <v/>
      </c>
      <c r="H969" s="76" t="str">
        <f>IF(AND(Main[[#This Row],[In Stock Date]]&lt;&gt;"",Main[[#This Row],[Revised Due Date]]&lt;&gt;""),Main[[#This Row],[In Stock Date]]-Main[[#This Row],[Revised Due Date]],"")</f>
        <v/>
      </c>
      <c r="I969" s="72" t="s">
        <v>4</v>
      </c>
      <c r="J969" s="72" t="s">
        <v>4</v>
      </c>
      <c r="K969" s="72" t="s">
        <v>4</v>
      </c>
      <c r="L969" s="74"/>
      <c r="M969" s="77" t="str">
        <f>IF(Main[[#This Row],[Tech Start Date]]&lt;1/1/1990,"",IF(Main[[#This Row],[Class]]="C",WORKDAY(Main[[#This Row],[Tech Start Date]],9),IF(Main[[#This Row],[Class]]="B", WORKDAY(Main[[#This Row],[Tech Start Date]],6),IF(Main[[#This Row],[Class]]="A",WORKDAY(Main[[#This Row],[Tech Start Date]],2),""))))</f>
        <v/>
      </c>
      <c r="N969" s="77" t="str">
        <f>IF(Main[[#This Row],[Tech Start Date]]&lt;1/1/1990,"",IF(Main[[#This Row],[Class]]="C",WORKDAY(Main[[#This Row],[Tech Start Date]],19),IF(Main[[#This Row],[Class]]="B", WORKDAY(Main[[#This Row],[Tech Start Date]],12),IF(Main[[#This Row],[Class]]="A",WORKDAY(Main[[#This Row],[Tech Start Date]],4),""))))</f>
        <v/>
      </c>
      <c r="O969" s="77" t="str">
        <f>IF(Main[[#This Row],[Tech Start Date]]&lt;1/1/1990,"",IF(Main[[#This Row],[Class]]="C",WORKDAY(Main[[#This Row],[Tech Start Date]],23),IF(Main[[#This Row],[Class]]="B", WORKDAY(Main[[#This Row],[Tech Start Date]],15),IF(Main[[#This Row],[Class]]="A",WORKDAY(Main[[#This Row],[Tech Start Date]],5),""))))</f>
        <v/>
      </c>
      <c r="P969" s="77" t="str">
        <f>IF(Main[[#This Row],[Tech Start Date]]&lt;1/1/1990,"",IF(Main[[#This Row],[Class]]="C",WORKDAY(Main[[#This Row],[Tech Start Date]],28),IF(Main[[#This Row],[Class]]="B", WORKDAY(Main[[#This Row],[Tech Start Date]],19),IF(Main[[#This Row],[Class]]="A",WORKDAY(Main[[#This Row],[Tech Start Date]],9),""))))</f>
        <v/>
      </c>
      <c r="Q969" s="74">
        <v>40298</v>
      </c>
      <c r="R969" s="74"/>
      <c r="S969" s="72" t="s">
        <v>11</v>
      </c>
      <c r="T969" s="80" t="s">
        <v>4</v>
      </c>
      <c r="U969" s="72" t="s">
        <v>14</v>
      </c>
      <c r="V969" s="72" t="s">
        <v>1932</v>
      </c>
      <c r="W969" s="72" t="s">
        <v>1938</v>
      </c>
      <c r="X969" s="72" t="s">
        <v>2908</v>
      </c>
      <c r="Y969" s="72" t="s">
        <v>3030</v>
      </c>
      <c r="Z969" s="72" t="s">
        <v>4</v>
      </c>
      <c r="AA969" s="147" t="s">
        <v>2908</v>
      </c>
    </row>
    <row r="970" spans="1:27" ht="18.600000000000001" customHeight="1">
      <c r="A970" s="140" t="str">
        <f>IF(priority(Main[[#This Row],[Comments]])&lt;&gt;0, priority(Main[[#This Row],[Comments]]),"")</f>
        <v/>
      </c>
      <c r="B970" s="90" t="s">
        <v>1800</v>
      </c>
      <c r="C970" s="72" t="s">
        <v>835</v>
      </c>
      <c r="D970" s="73" t="s">
        <v>836</v>
      </c>
      <c r="E970" s="74"/>
      <c r="F970" s="74"/>
      <c r="G970" s="75" t="str">
        <f>IF(stdProdLT(Main[[#This Row],[Comments]])=0.1,"N/A",IF(stdProdLT(Main[[#This Row],[Comments]])=0,"",stdProdLT(Main[[#This Row],[Comments]])))</f>
        <v/>
      </c>
      <c r="H970" s="76" t="str">
        <f>IF(AND(Main[[#This Row],[In Stock Date]]&lt;&gt;"",Main[[#This Row],[Revised Due Date]]&lt;&gt;""),Main[[#This Row],[In Stock Date]]-Main[[#This Row],[Revised Due Date]],"")</f>
        <v/>
      </c>
      <c r="I970" s="72" t="s">
        <v>4</v>
      </c>
      <c r="J970" s="72" t="s">
        <v>4</v>
      </c>
      <c r="K970" s="72" t="s">
        <v>4</v>
      </c>
      <c r="L970" s="74"/>
      <c r="M970" s="77" t="str">
        <f>IF(Main[[#This Row],[Tech Start Date]]&lt;1/1/1990,"",IF(Main[[#This Row],[Class]]="C",WORKDAY(Main[[#This Row],[Tech Start Date]],9),IF(Main[[#This Row],[Class]]="B", WORKDAY(Main[[#This Row],[Tech Start Date]],6),IF(Main[[#This Row],[Class]]="A",WORKDAY(Main[[#This Row],[Tech Start Date]],2),""))))</f>
        <v/>
      </c>
      <c r="N970" s="77" t="str">
        <f>IF(Main[[#This Row],[Tech Start Date]]&lt;1/1/1990,"",IF(Main[[#This Row],[Class]]="C",WORKDAY(Main[[#This Row],[Tech Start Date]],19),IF(Main[[#This Row],[Class]]="B", WORKDAY(Main[[#This Row],[Tech Start Date]],12),IF(Main[[#This Row],[Class]]="A",WORKDAY(Main[[#This Row],[Tech Start Date]],4),""))))</f>
        <v/>
      </c>
      <c r="O970" s="77" t="str">
        <f>IF(Main[[#This Row],[Tech Start Date]]&lt;1/1/1990,"",IF(Main[[#This Row],[Class]]="C",WORKDAY(Main[[#This Row],[Tech Start Date]],23),IF(Main[[#This Row],[Class]]="B", WORKDAY(Main[[#This Row],[Tech Start Date]],15),IF(Main[[#This Row],[Class]]="A",WORKDAY(Main[[#This Row],[Tech Start Date]],5),""))))</f>
        <v/>
      </c>
      <c r="P970" s="77" t="str">
        <f>IF(Main[[#This Row],[Tech Start Date]]&lt;1/1/1990,"",IF(Main[[#This Row],[Class]]="C",WORKDAY(Main[[#This Row],[Tech Start Date]],28),IF(Main[[#This Row],[Class]]="B", WORKDAY(Main[[#This Row],[Tech Start Date]],19),IF(Main[[#This Row],[Class]]="A",WORKDAY(Main[[#This Row],[Tech Start Date]],9),""))))</f>
        <v/>
      </c>
      <c r="Q970" s="74"/>
      <c r="R970" s="74"/>
      <c r="S970" s="72" t="s">
        <v>11</v>
      </c>
      <c r="T970" s="80" t="s">
        <v>4</v>
      </c>
      <c r="U970" s="72" t="s">
        <v>14</v>
      </c>
      <c r="V970" s="72" t="s">
        <v>1935</v>
      </c>
      <c r="W970" s="72" t="s">
        <v>1943</v>
      </c>
      <c r="X970" s="72" t="s">
        <v>2952</v>
      </c>
      <c r="Y970" s="72" t="s">
        <v>3099</v>
      </c>
      <c r="Z970" s="72" t="s">
        <v>4</v>
      </c>
      <c r="AA970" s="147" t="s">
        <v>3629</v>
      </c>
    </row>
    <row r="971" spans="1:27" ht="18.600000000000001" customHeight="1">
      <c r="A971" s="140" t="str">
        <f>IF(priority(Main[[#This Row],[Comments]])&lt;&gt;0, priority(Main[[#This Row],[Comments]]),"")</f>
        <v/>
      </c>
      <c r="B971" s="90" t="s">
        <v>1802</v>
      </c>
      <c r="C971" s="72" t="s">
        <v>4</v>
      </c>
      <c r="D971" s="73" t="s">
        <v>839</v>
      </c>
      <c r="E971" s="74"/>
      <c r="F971" s="74"/>
      <c r="G971" s="75" t="str">
        <f>IF(stdProdLT(Main[[#This Row],[Comments]])=0.1,"N/A",IF(stdProdLT(Main[[#This Row],[Comments]])=0,"",stdProdLT(Main[[#This Row],[Comments]])))</f>
        <v/>
      </c>
      <c r="H971" s="76" t="str">
        <f>IF(AND(Main[[#This Row],[In Stock Date]]&lt;&gt;"",Main[[#This Row],[Revised Due Date]]&lt;&gt;""),Main[[#This Row],[In Stock Date]]-Main[[#This Row],[Revised Due Date]],"")</f>
        <v/>
      </c>
      <c r="I971" s="72" t="s">
        <v>4</v>
      </c>
      <c r="J971" s="72" t="s">
        <v>4</v>
      </c>
      <c r="K971" s="81" t="s">
        <v>4</v>
      </c>
      <c r="L971" s="74"/>
      <c r="M971" s="77" t="str">
        <f>IF(Main[[#This Row],[Tech Start Date]]&lt;1/1/1990,"",IF(Main[[#This Row],[Class]]="C",WORKDAY(Main[[#This Row],[Tech Start Date]],9),IF(Main[[#This Row],[Class]]="B", WORKDAY(Main[[#This Row],[Tech Start Date]],6),IF(Main[[#This Row],[Class]]="A",WORKDAY(Main[[#This Row],[Tech Start Date]],2),""))))</f>
        <v/>
      </c>
      <c r="N971" s="77" t="str">
        <f>IF(Main[[#This Row],[Tech Start Date]]&lt;1/1/1990,"",IF(Main[[#This Row],[Class]]="C",WORKDAY(Main[[#This Row],[Tech Start Date]],19),IF(Main[[#This Row],[Class]]="B", WORKDAY(Main[[#This Row],[Tech Start Date]],12),IF(Main[[#This Row],[Class]]="A",WORKDAY(Main[[#This Row],[Tech Start Date]],4),""))))</f>
        <v/>
      </c>
      <c r="O971" s="77" t="str">
        <f>IF(Main[[#This Row],[Tech Start Date]]&lt;1/1/1990,"",IF(Main[[#This Row],[Class]]="C",WORKDAY(Main[[#This Row],[Tech Start Date]],23),IF(Main[[#This Row],[Class]]="B", WORKDAY(Main[[#This Row],[Tech Start Date]],15),IF(Main[[#This Row],[Class]]="A",WORKDAY(Main[[#This Row],[Tech Start Date]],5),""))))</f>
        <v/>
      </c>
      <c r="P971" s="77" t="str">
        <f>IF(Main[[#This Row],[Tech Start Date]]&lt;1/1/1990,"",IF(Main[[#This Row],[Class]]="C",WORKDAY(Main[[#This Row],[Tech Start Date]],28),IF(Main[[#This Row],[Class]]="B", WORKDAY(Main[[#This Row],[Tech Start Date]],19),IF(Main[[#This Row],[Class]]="A",WORKDAY(Main[[#This Row],[Tech Start Date]],9),""))))</f>
        <v/>
      </c>
      <c r="Q971" s="74"/>
      <c r="R971" s="74"/>
      <c r="S971" s="72" t="s">
        <v>11</v>
      </c>
      <c r="T971" s="80" t="s">
        <v>4</v>
      </c>
      <c r="U971" s="72" t="s">
        <v>12</v>
      </c>
      <c r="V971" s="72" t="s">
        <v>1933</v>
      </c>
      <c r="W971" s="72" t="s">
        <v>1937</v>
      </c>
      <c r="X971" s="72" t="s">
        <v>981</v>
      </c>
      <c r="Y971" s="72" t="s">
        <v>3172</v>
      </c>
      <c r="Z971" s="72" t="s">
        <v>4</v>
      </c>
      <c r="AA971" s="147" t="s">
        <v>981</v>
      </c>
    </row>
    <row r="972" spans="1:27" ht="18.600000000000001" customHeight="1">
      <c r="A972" s="140" t="str">
        <f>IF(priority(Main[[#This Row],[Comments]])&lt;&gt;0, priority(Main[[#This Row],[Comments]]),"")</f>
        <v/>
      </c>
      <c r="B972" s="90" t="s">
        <v>1804</v>
      </c>
      <c r="C972" s="72" t="s">
        <v>841</v>
      </c>
      <c r="D972" s="73" t="s">
        <v>842</v>
      </c>
      <c r="E972" s="74"/>
      <c r="F972" s="74"/>
      <c r="G972" s="75" t="str">
        <f>IF(stdProdLT(Main[[#This Row],[Comments]])=0.1,"N/A",IF(stdProdLT(Main[[#This Row],[Comments]])=0,"",stdProdLT(Main[[#This Row],[Comments]])))</f>
        <v/>
      </c>
      <c r="H972" s="76" t="str">
        <f>IF(AND(Main[[#This Row],[In Stock Date]]&lt;&gt;"",Main[[#This Row],[Revised Due Date]]&lt;&gt;""),Main[[#This Row],[In Stock Date]]-Main[[#This Row],[Revised Due Date]],"")</f>
        <v/>
      </c>
      <c r="I972" s="72" t="s">
        <v>4</v>
      </c>
      <c r="J972" s="72" t="s">
        <v>4</v>
      </c>
      <c r="K972" s="72" t="s">
        <v>4</v>
      </c>
      <c r="L972" s="74"/>
      <c r="M972" s="77" t="str">
        <f>IF(Main[[#This Row],[Tech Start Date]]&lt;1/1/1990,"",IF(Main[[#This Row],[Class]]="C",WORKDAY(Main[[#This Row],[Tech Start Date]],9),IF(Main[[#This Row],[Class]]="B", WORKDAY(Main[[#This Row],[Tech Start Date]],6),IF(Main[[#This Row],[Class]]="A",WORKDAY(Main[[#This Row],[Tech Start Date]],2),""))))</f>
        <v/>
      </c>
      <c r="N972" s="77" t="str">
        <f>IF(Main[[#This Row],[Tech Start Date]]&lt;1/1/1990,"",IF(Main[[#This Row],[Class]]="C",WORKDAY(Main[[#This Row],[Tech Start Date]],19),IF(Main[[#This Row],[Class]]="B", WORKDAY(Main[[#This Row],[Tech Start Date]],12),IF(Main[[#This Row],[Class]]="A",WORKDAY(Main[[#This Row],[Tech Start Date]],4),""))))</f>
        <v/>
      </c>
      <c r="O972" s="77" t="str">
        <f>IF(Main[[#This Row],[Tech Start Date]]&lt;1/1/1990,"",IF(Main[[#This Row],[Class]]="C",WORKDAY(Main[[#This Row],[Tech Start Date]],23),IF(Main[[#This Row],[Class]]="B", WORKDAY(Main[[#This Row],[Tech Start Date]],15),IF(Main[[#This Row],[Class]]="A",WORKDAY(Main[[#This Row],[Tech Start Date]],5),""))))</f>
        <v/>
      </c>
      <c r="P972" s="77" t="str">
        <f>IF(Main[[#This Row],[Tech Start Date]]&lt;1/1/1990,"",IF(Main[[#This Row],[Class]]="C",WORKDAY(Main[[#This Row],[Tech Start Date]],28),IF(Main[[#This Row],[Class]]="B", WORKDAY(Main[[#This Row],[Tech Start Date]],19),IF(Main[[#This Row],[Class]]="A",WORKDAY(Main[[#This Row],[Tech Start Date]],9),""))))</f>
        <v/>
      </c>
      <c r="Q972" s="74"/>
      <c r="R972" s="74"/>
      <c r="S972" s="72" t="s">
        <v>11</v>
      </c>
      <c r="T972" s="80" t="s">
        <v>4</v>
      </c>
      <c r="U972" s="72" t="s">
        <v>14</v>
      </c>
      <c r="V972" s="72" t="s">
        <v>1933</v>
      </c>
      <c r="W972" s="72" t="s">
        <v>1940</v>
      </c>
      <c r="X972" s="72" t="s">
        <v>2931</v>
      </c>
      <c r="Y972" s="72" t="s">
        <v>3065</v>
      </c>
      <c r="Z972" s="72" t="s">
        <v>4</v>
      </c>
      <c r="AA972" s="147" t="s">
        <v>2931</v>
      </c>
    </row>
    <row r="973" spans="1:27" ht="18.600000000000001" customHeight="1">
      <c r="A973" s="140" t="str">
        <f>IF(priority(Main[[#This Row],[Comments]])&lt;&gt;0, priority(Main[[#This Row],[Comments]]),"")</f>
        <v/>
      </c>
      <c r="B973" s="90" t="s">
        <v>1805</v>
      </c>
      <c r="C973" s="72" t="s">
        <v>93</v>
      </c>
      <c r="D973" s="73" t="s">
        <v>843</v>
      </c>
      <c r="E973" s="74"/>
      <c r="F973" s="74">
        <v>40299</v>
      </c>
      <c r="G973" s="75" t="str">
        <f>IF(stdProdLT(Main[[#This Row],[Comments]])=0.1,"N/A",IF(stdProdLT(Main[[#This Row],[Comments]])=0,"",stdProdLT(Main[[#This Row],[Comments]])))</f>
        <v/>
      </c>
      <c r="H973" s="76" t="str">
        <f>IF(AND(Main[[#This Row],[In Stock Date]]&lt;&gt;"",Main[[#This Row],[Revised Due Date]]&lt;&gt;""),Main[[#This Row],[In Stock Date]]-Main[[#This Row],[Revised Due Date]],"")</f>
        <v/>
      </c>
      <c r="I973" s="72" t="s">
        <v>4</v>
      </c>
      <c r="J973" s="72" t="s">
        <v>4</v>
      </c>
      <c r="K973" s="72" t="s">
        <v>4</v>
      </c>
      <c r="L973" s="74"/>
      <c r="M973" s="77" t="str">
        <f>IF(Main[[#This Row],[Tech Start Date]]&lt;1/1/1990,"",IF(Main[[#This Row],[Class]]="C",WORKDAY(Main[[#This Row],[Tech Start Date]],9),IF(Main[[#This Row],[Class]]="B", WORKDAY(Main[[#This Row],[Tech Start Date]],6),IF(Main[[#This Row],[Class]]="A",WORKDAY(Main[[#This Row],[Tech Start Date]],2),""))))</f>
        <v/>
      </c>
      <c r="N973" s="77" t="str">
        <f>IF(Main[[#This Row],[Tech Start Date]]&lt;1/1/1990,"",IF(Main[[#This Row],[Class]]="C",WORKDAY(Main[[#This Row],[Tech Start Date]],19),IF(Main[[#This Row],[Class]]="B", WORKDAY(Main[[#This Row],[Tech Start Date]],12),IF(Main[[#This Row],[Class]]="A",WORKDAY(Main[[#This Row],[Tech Start Date]],4),""))))</f>
        <v/>
      </c>
      <c r="O973" s="77" t="str">
        <f>IF(Main[[#This Row],[Tech Start Date]]&lt;1/1/1990,"",IF(Main[[#This Row],[Class]]="C",WORKDAY(Main[[#This Row],[Tech Start Date]],23),IF(Main[[#This Row],[Class]]="B", WORKDAY(Main[[#This Row],[Tech Start Date]],15),IF(Main[[#This Row],[Class]]="A",WORKDAY(Main[[#This Row],[Tech Start Date]],5),""))))</f>
        <v/>
      </c>
      <c r="P973" s="77" t="str">
        <f>IF(Main[[#This Row],[Tech Start Date]]&lt;1/1/1990,"",IF(Main[[#This Row],[Class]]="C",WORKDAY(Main[[#This Row],[Tech Start Date]],28),IF(Main[[#This Row],[Class]]="B", WORKDAY(Main[[#This Row],[Tech Start Date]],19),IF(Main[[#This Row],[Class]]="A",WORKDAY(Main[[#This Row],[Tech Start Date]],9),""))))</f>
        <v/>
      </c>
      <c r="Q973" s="74">
        <v>40171</v>
      </c>
      <c r="R973" s="74"/>
      <c r="S973" s="72" t="s">
        <v>11</v>
      </c>
      <c r="T973" s="80" t="s">
        <v>4</v>
      </c>
      <c r="U973" s="72" t="s">
        <v>14</v>
      </c>
      <c r="V973" s="72" t="s">
        <v>1935</v>
      </c>
      <c r="W973" s="72" t="s">
        <v>1938</v>
      </c>
      <c r="X973" s="72" t="s">
        <v>535</v>
      </c>
      <c r="Y973" s="72" t="s">
        <v>3140</v>
      </c>
      <c r="Z973" s="72" t="s">
        <v>4</v>
      </c>
      <c r="AA973" s="147" t="s">
        <v>3604</v>
      </c>
    </row>
    <row r="974" spans="1:27" ht="18.600000000000001" customHeight="1">
      <c r="A974" s="140" t="str">
        <f>IF(priority(Main[[#This Row],[Comments]])&lt;&gt;0, priority(Main[[#This Row],[Comments]]),"")</f>
        <v/>
      </c>
      <c r="B974" s="90" t="s">
        <v>1806</v>
      </c>
      <c r="C974" s="72" t="s">
        <v>4</v>
      </c>
      <c r="D974" s="73" t="s">
        <v>844</v>
      </c>
      <c r="E974" s="74">
        <v>40682.311319444445</v>
      </c>
      <c r="F974" s="74"/>
      <c r="G974" s="75" t="str">
        <f>IF(stdProdLT(Main[[#This Row],[Comments]])=0.1,"N/A",IF(stdProdLT(Main[[#This Row],[Comments]])=0,"",stdProdLT(Main[[#This Row],[Comments]])))</f>
        <v/>
      </c>
      <c r="H974" s="76" t="str">
        <f>IF(AND(Main[[#This Row],[In Stock Date]]&lt;&gt;"",Main[[#This Row],[Revised Due Date]]&lt;&gt;""),Main[[#This Row],[In Stock Date]]-Main[[#This Row],[Revised Due Date]],"")</f>
        <v/>
      </c>
      <c r="I974" s="72" t="s">
        <v>4</v>
      </c>
      <c r="J974" s="72" t="s">
        <v>4</v>
      </c>
      <c r="K974" s="72" t="s">
        <v>4</v>
      </c>
      <c r="L974" s="74"/>
      <c r="M974" s="77" t="str">
        <f>IF(Main[[#This Row],[Tech Start Date]]&lt;1/1/1990,"",IF(Main[[#This Row],[Class]]="C",WORKDAY(Main[[#This Row],[Tech Start Date]],9),IF(Main[[#This Row],[Class]]="B", WORKDAY(Main[[#This Row],[Tech Start Date]],6),IF(Main[[#This Row],[Class]]="A",WORKDAY(Main[[#This Row],[Tech Start Date]],2),""))))</f>
        <v/>
      </c>
      <c r="N974" s="77" t="str">
        <f>IF(Main[[#This Row],[Tech Start Date]]&lt;1/1/1990,"",IF(Main[[#This Row],[Class]]="C",WORKDAY(Main[[#This Row],[Tech Start Date]],19),IF(Main[[#This Row],[Class]]="B", WORKDAY(Main[[#This Row],[Tech Start Date]],12),IF(Main[[#This Row],[Class]]="A",WORKDAY(Main[[#This Row],[Tech Start Date]],4),""))))</f>
        <v/>
      </c>
      <c r="O974" s="77" t="str">
        <f>IF(Main[[#This Row],[Tech Start Date]]&lt;1/1/1990,"",IF(Main[[#This Row],[Class]]="C",WORKDAY(Main[[#This Row],[Tech Start Date]],23),IF(Main[[#This Row],[Class]]="B", WORKDAY(Main[[#This Row],[Tech Start Date]],15),IF(Main[[#This Row],[Class]]="A",WORKDAY(Main[[#This Row],[Tech Start Date]],5),""))))</f>
        <v/>
      </c>
      <c r="P974" s="77" t="str">
        <f>IF(Main[[#This Row],[Tech Start Date]]&lt;1/1/1990,"",IF(Main[[#This Row],[Class]]="C",WORKDAY(Main[[#This Row],[Tech Start Date]],28),IF(Main[[#This Row],[Class]]="B", WORKDAY(Main[[#This Row],[Tech Start Date]],19),IF(Main[[#This Row],[Class]]="A",WORKDAY(Main[[#This Row],[Tech Start Date]],9),""))))</f>
        <v/>
      </c>
      <c r="Q974" s="74">
        <v>40724</v>
      </c>
      <c r="R974" s="74"/>
      <c r="S974" s="72" t="s">
        <v>6</v>
      </c>
      <c r="T974" s="80" t="s">
        <v>4</v>
      </c>
      <c r="U974" s="72" t="s">
        <v>7</v>
      </c>
      <c r="V974" s="72" t="s">
        <v>1932</v>
      </c>
      <c r="W974" s="72" t="s">
        <v>4</v>
      </c>
      <c r="X974" s="72" t="s">
        <v>2906</v>
      </c>
      <c r="Y974" s="72" t="s">
        <v>3025</v>
      </c>
      <c r="Z974" s="72" t="s">
        <v>4</v>
      </c>
      <c r="AA974" s="147" t="s">
        <v>2906</v>
      </c>
    </row>
    <row r="975" spans="1:27" ht="18.600000000000001" customHeight="1">
      <c r="A975" s="140" t="str">
        <f>IF(priority(Main[[#This Row],[Comments]])&lt;&gt;0, priority(Main[[#This Row],[Comments]]),"")</f>
        <v/>
      </c>
      <c r="B975" s="90" t="s">
        <v>1807</v>
      </c>
      <c r="C975" s="72" t="s">
        <v>4</v>
      </c>
      <c r="D975" s="73" t="s">
        <v>845</v>
      </c>
      <c r="E975" s="74"/>
      <c r="F975" s="74"/>
      <c r="G975" s="75" t="str">
        <f>IF(stdProdLT(Main[[#This Row],[Comments]])=0.1,"N/A",IF(stdProdLT(Main[[#This Row],[Comments]])=0,"",stdProdLT(Main[[#This Row],[Comments]])))</f>
        <v/>
      </c>
      <c r="H975" s="76" t="str">
        <f>IF(AND(Main[[#This Row],[In Stock Date]]&lt;&gt;"",Main[[#This Row],[Revised Due Date]]&lt;&gt;""),Main[[#This Row],[In Stock Date]]-Main[[#This Row],[Revised Due Date]],"")</f>
        <v/>
      </c>
      <c r="I975" s="72" t="s">
        <v>4</v>
      </c>
      <c r="J975" s="72" t="s">
        <v>4</v>
      </c>
      <c r="K975" s="72" t="s">
        <v>4</v>
      </c>
      <c r="L975" s="74"/>
      <c r="M975" s="77" t="str">
        <f>IF(Main[[#This Row],[Tech Start Date]]&lt;1/1/1990,"",IF(Main[[#This Row],[Class]]="C",WORKDAY(Main[[#This Row],[Tech Start Date]],9),IF(Main[[#This Row],[Class]]="B", WORKDAY(Main[[#This Row],[Tech Start Date]],6),IF(Main[[#This Row],[Class]]="A",WORKDAY(Main[[#This Row],[Tech Start Date]],2),""))))</f>
        <v/>
      </c>
      <c r="N975" s="77" t="str">
        <f>IF(Main[[#This Row],[Tech Start Date]]&lt;1/1/1990,"",IF(Main[[#This Row],[Class]]="C",WORKDAY(Main[[#This Row],[Tech Start Date]],19),IF(Main[[#This Row],[Class]]="B", WORKDAY(Main[[#This Row],[Tech Start Date]],12),IF(Main[[#This Row],[Class]]="A",WORKDAY(Main[[#This Row],[Tech Start Date]],4),""))))</f>
        <v/>
      </c>
      <c r="O975" s="77" t="str">
        <f>IF(Main[[#This Row],[Tech Start Date]]&lt;1/1/1990,"",IF(Main[[#This Row],[Class]]="C",WORKDAY(Main[[#This Row],[Tech Start Date]],23),IF(Main[[#This Row],[Class]]="B", WORKDAY(Main[[#This Row],[Tech Start Date]],15),IF(Main[[#This Row],[Class]]="A",WORKDAY(Main[[#This Row],[Tech Start Date]],5),""))))</f>
        <v/>
      </c>
      <c r="P975" s="77" t="str">
        <f>IF(Main[[#This Row],[Tech Start Date]]&lt;1/1/1990,"",IF(Main[[#This Row],[Class]]="C",WORKDAY(Main[[#This Row],[Tech Start Date]],28),IF(Main[[#This Row],[Class]]="B", WORKDAY(Main[[#This Row],[Tech Start Date]],19),IF(Main[[#This Row],[Class]]="A",WORKDAY(Main[[#This Row],[Tech Start Date]],9),""))))</f>
        <v/>
      </c>
      <c r="Q975" s="74"/>
      <c r="R975" s="74"/>
      <c r="S975" s="72" t="s">
        <v>6</v>
      </c>
      <c r="T975" s="80" t="s">
        <v>4</v>
      </c>
      <c r="U975" s="72" t="s">
        <v>14</v>
      </c>
      <c r="V975" s="72" t="s">
        <v>1935</v>
      </c>
      <c r="W975" s="72" t="s">
        <v>1936</v>
      </c>
      <c r="X975" s="72" t="s">
        <v>50</v>
      </c>
      <c r="Y975" s="72" t="s">
        <v>4</v>
      </c>
      <c r="Z975" s="72" t="s">
        <v>4</v>
      </c>
      <c r="AA975" s="147" t="s">
        <v>4</v>
      </c>
    </row>
    <row r="976" spans="1:27" ht="18.600000000000001" customHeight="1">
      <c r="A976" s="140" t="str">
        <f>IF(priority(Main[[#This Row],[Comments]])&lt;&gt;0, priority(Main[[#This Row],[Comments]]),"")</f>
        <v/>
      </c>
      <c r="B976" s="90" t="s">
        <v>1808</v>
      </c>
      <c r="C976" s="72" t="s">
        <v>4</v>
      </c>
      <c r="D976" s="73" t="s">
        <v>846</v>
      </c>
      <c r="E976" s="74">
        <v>40686.396180555559</v>
      </c>
      <c r="F976" s="74"/>
      <c r="G976" s="75" t="str">
        <f>IF(stdProdLT(Main[[#This Row],[Comments]])=0.1,"N/A",IF(stdProdLT(Main[[#This Row],[Comments]])=0,"",stdProdLT(Main[[#This Row],[Comments]])))</f>
        <v/>
      </c>
      <c r="H976" s="76" t="str">
        <f>IF(AND(Main[[#This Row],[In Stock Date]]&lt;&gt;"",Main[[#This Row],[Revised Due Date]]&lt;&gt;""),Main[[#This Row],[In Stock Date]]-Main[[#This Row],[Revised Due Date]],"")</f>
        <v/>
      </c>
      <c r="I976" s="72" t="s">
        <v>4</v>
      </c>
      <c r="J976" s="72" t="s">
        <v>4</v>
      </c>
      <c r="K976" s="72" t="s">
        <v>4</v>
      </c>
      <c r="L976" s="74"/>
      <c r="M976" s="77" t="str">
        <f>IF(Main[[#This Row],[Tech Start Date]]&lt;1/1/1990,"",IF(Main[[#This Row],[Class]]="C",WORKDAY(Main[[#This Row],[Tech Start Date]],9),IF(Main[[#This Row],[Class]]="B", WORKDAY(Main[[#This Row],[Tech Start Date]],6),IF(Main[[#This Row],[Class]]="A",WORKDAY(Main[[#This Row],[Tech Start Date]],2),""))))</f>
        <v/>
      </c>
      <c r="N976" s="77" t="str">
        <f>IF(Main[[#This Row],[Tech Start Date]]&lt;1/1/1990,"",IF(Main[[#This Row],[Class]]="C",WORKDAY(Main[[#This Row],[Tech Start Date]],19),IF(Main[[#This Row],[Class]]="B", WORKDAY(Main[[#This Row],[Tech Start Date]],12),IF(Main[[#This Row],[Class]]="A",WORKDAY(Main[[#This Row],[Tech Start Date]],4),""))))</f>
        <v/>
      </c>
      <c r="O976" s="77" t="str">
        <f>IF(Main[[#This Row],[Tech Start Date]]&lt;1/1/1990,"",IF(Main[[#This Row],[Class]]="C",WORKDAY(Main[[#This Row],[Tech Start Date]],23),IF(Main[[#This Row],[Class]]="B", WORKDAY(Main[[#This Row],[Tech Start Date]],15),IF(Main[[#This Row],[Class]]="A",WORKDAY(Main[[#This Row],[Tech Start Date]],5),""))))</f>
        <v/>
      </c>
      <c r="P976" s="77" t="str">
        <f>IF(Main[[#This Row],[Tech Start Date]]&lt;1/1/1990,"",IF(Main[[#This Row],[Class]]="C",WORKDAY(Main[[#This Row],[Tech Start Date]],28),IF(Main[[#This Row],[Class]]="B", WORKDAY(Main[[#This Row],[Tech Start Date]],19),IF(Main[[#This Row],[Class]]="A",WORKDAY(Main[[#This Row],[Tech Start Date]],9),""))))</f>
        <v/>
      </c>
      <c r="Q976" s="74">
        <v>40704</v>
      </c>
      <c r="R976" s="74"/>
      <c r="S976" s="72" t="s">
        <v>6</v>
      </c>
      <c r="T976" s="80" t="s">
        <v>4</v>
      </c>
      <c r="U976" s="72" t="s">
        <v>7</v>
      </c>
      <c r="V976" s="72" t="s">
        <v>1932</v>
      </c>
      <c r="W976" s="72" t="s">
        <v>1936</v>
      </c>
      <c r="X976" s="72" t="s">
        <v>2950</v>
      </c>
      <c r="Y976" s="72" t="s">
        <v>3087</v>
      </c>
      <c r="Z976" s="72" t="s">
        <v>4</v>
      </c>
      <c r="AA976" s="147" t="s">
        <v>2950</v>
      </c>
    </row>
    <row r="977" spans="1:27" ht="18.600000000000001" customHeight="1">
      <c r="A977" s="140" t="str">
        <f>IF(priority(Main[[#This Row],[Comments]])&lt;&gt;0, priority(Main[[#This Row],[Comments]]),"")</f>
        <v/>
      </c>
      <c r="B977" s="90" t="s">
        <v>1166</v>
      </c>
      <c r="C977" s="72" t="s">
        <v>4</v>
      </c>
      <c r="D977" s="73" t="s">
        <v>97</v>
      </c>
      <c r="E977" s="74">
        <v>40667.587465277778</v>
      </c>
      <c r="F977" s="74"/>
      <c r="G977" s="75" t="str">
        <f>IF(stdProdLT(Main[[#This Row],[Comments]])=0.1,"N/A",IF(stdProdLT(Main[[#This Row],[Comments]])=0,"",stdProdLT(Main[[#This Row],[Comments]])))</f>
        <v/>
      </c>
      <c r="H977" s="76" t="str">
        <f>IF(AND(Main[[#This Row],[In Stock Date]]&lt;&gt;"",Main[[#This Row],[Revised Due Date]]&lt;&gt;""),Main[[#This Row],[In Stock Date]]-Main[[#This Row],[Revised Due Date]],"")</f>
        <v/>
      </c>
      <c r="I977" s="72" t="s">
        <v>4</v>
      </c>
      <c r="J977" s="72" t="s">
        <v>4</v>
      </c>
      <c r="K977" s="72" t="s">
        <v>4</v>
      </c>
      <c r="L977" s="74"/>
      <c r="M977" s="77" t="str">
        <f>IF(Main[[#This Row],[Tech Start Date]]&lt;1/1/1990,"",IF(Main[[#This Row],[Class]]="C",WORKDAY(Main[[#This Row],[Tech Start Date]],9),IF(Main[[#This Row],[Class]]="B", WORKDAY(Main[[#This Row],[Tech Start Date]],6),IF(Main[[#This Row],[Class]]="A",WORKDAY(Main[[#This Row],[Tech Start Date]],2),""))))</f>
        <v/>
      </c>
      <c r="N977" s="77" t="str">
        <f>IF(Main[[#This Row],[Tech Start Date]]&lt;1/1/1990,"",IF(Main[[#This Row],[Class]]="C",WORKDAY(Main[[#This Row],[Tech Start Date]],19),IF(Main[[#This Row],[Class]]="B", WORKDAY(Main[[#This Row],[Tech Start Date]],12),IF(Main[[#This Row],[Class]]="A",WORKDAY(Main[[#This Row],[Tech Start Date]],4),""))))</f>
        <v/>
      </c>
      <c r="O977" s="77" t="str">
        <f>IF(Main[[#This Row],[Tech Start Date]]&lt;1/1/1990,"",IF(Main[[#This Row],[Class]]="C",WORKDAY(Main[[#This Row],[Tech Start Date]],23),IF(Main[[#This Row],[Class]]="B", WORKDAY(Main[[#This Row],[Tech Start Date]],15),IF(Main[[#This Row],[Class]]="A",WORKDAY(Main[[#This Row],[Tech Start Date]],5),""))))</f>
        <v/>
      </c>
      <c r="P977" s="77" t="str">
        <f>IF(Main[[#This Row],[Tech Start Date]]&lt;1/1/1990,"",IF(Main[[#This Row],[Class]]="C",WORKDAY(Main[[#This Row],[Tech Start Date]],28),IF(Main[[#This Row],[Class]]="B", WORKDAY(Main[[#This Row],[Tech Start Date]],19),IF(Main[[#This Row],[Class]]="A",WORKDAY(Main[[#This Row],[Tech Start Date]],9),""))))</f>
        <v/>
      </c>
      <c r="Q977" s="74">
        <v>40858</v>
      </c>
      <c r="R977" s="74"/>
      <c r="S977" s="72" t="s">
        <v>17</v>
      </c>
      <c r="T977" s="80" t="s">
        <v>4</v>
      </c>
      <c r="U977" s="72" t="s">
        <v>7</v>
      </c>
      <c r="V977" s="72" t="s">
        <v>1932</v>
      </c>
      <c r="W977" s="72" t="s">
        <v>1937</v>
      </c>
      <c r="X977" s="72" t="s">
        <v>50</v>
      </c>
      <c r="Y977" s="72" t="s">
        <v>3046</v>
      </c>
      <c r="Z977" s="72" t="s">
        <v>4</v>
      </c>
      <c r="AA977" s="147" t="s">
        <v>2912</v>
      </c>
    </row>
    <row r="978" spans="1:27" ht="18.600000000000001" customHeight="1">
      <c r="A978" s="140" t="str">
        <f>IF(priority(Main[[#This Row],[Comments]])&lt;&gt;0, priority(Main[[#This Row],[Comments]]),"")</f>
        <v/>
      </c>
      <c r="B978" s="90" t="s">
        <v>1809</v>
      </c>
      <c r="C978" s="72" t="s">
        <v>4</v>
      </c>
      <c r="D978" s="73" t="s">
        <v>97</v>
      </c>
      <c r="E978" s="74"/>
      <c r="F978" s="74"/>
      <c r="G978" s="75" t="str">
        <f>IF(stdProdLT(Main[[#This Row],[Comments]])=0.1,"N/A",IF(stdProdLT(Main[[#This Row],[Comments]])=0,"",stdProdLT(Main[[#This Row],[Comments]])))</f>
        <v/>
      </c>
      <c r="H978" s="76" t="str">
        <f>IF(AND(Main[[#This Row],[In Stock Date]]&lt;&gt;"",Main[[#This Row],[Revised Due Date]]&lt;&gt;""),Main[[#This Row],[In Stock Date]]-Main[[#This Row],[Revised Due Date]],"")</f>
        <v/>
      </c>
      <c r="I978" s="72" t="s">
        <v>4</v>
      </c>
      <c r="J978" s="72" t="s">
        <v>4</v>
      </c>
      <c r="K978" s="81" t="s">
        <v>4</v>
      </c>
      <c r="L978" s="74"/>
      <c r="M978" s="77" t="str">
        <f>IF(Main[[#This Row],[Tech Start Date]]&lt;1/1/1990,"",IF(Main[[#This Row],[Class]]="C",WORKDAY(Main[[#This Row],[Tech Start Date]],9),IF(Main[[#This Row],[Class]]="B", WORKDAY(Main[[#This Row],[Tech Start Date]],6),IF(Main[[#This Row],[Class]]="A",WORKDAY(Main[[#This Row],[Tech Start Date]],2),""))))</f>
        <v/>
      </c>
      <c r="N978" s="77" t="str">
        <f>IF(Main[[#This Row],[Tech Start Date]]&lt;1/1/1990,"",IF(Main[[#This Row],[Class]]="C",WORKDAY(Main[[#This Row],[Tech Start Date]],19),IF(Main[[#This Row],[Class]]="B", WORKDAY(Main[[#This Row],[Tech Start Date]],12),IF(Main[[#This Row],[Class]]="A",WORKDAY(Main[[#This Row],[Tech Start Date]],4),""))))</f>
        <v/>
      </c>
      <c r="O978" s="77" t="str">
        <f>IF(Main[[#This Row],[Tech Start Date]]&lt;1/1/1990,"",IF(Main[[#This Row],[Class]]="C",WORKDAY(Main[[#This Row],[Tech Start Date]],23),IF(Main[[#This Row],[Class]]="B", WORKDAY(Main[[#This Row],[Tech Start Date]],15),IF(Main[[#This Row],[Class]]="A",WORKDAY(Main[[#This Row],[Tech Start Date]],5),""))))</f>
        <v/>
      </c>
      <c r="P978" s="77" t="str">
        <f>IF(Main[[#This Row],[Tech Start Date]]&lt;1/1/1990,"",IF(Main[[#This Row],[Class]]="C",WORKDAY(Main[[#This Row],[Tech Start Date]],28),IF(Main[[#This Row],[Class]]="B", WORKDAY(Main[[#This Row],[Tech Start Date]],19),IF(Main[[#This Row],[Class]]="A",WORKDAY(Main[[#This Row],[Tech Start Date]],9),""))))</f>
        <v/>
      </c>
      <c r="Q978" s="74">
        <v>40858</v>
      </c>
      <c r="R978" s="74"/>
      <c r="S978" s="72" t="s">
        <v>17</v>
      </c>
      <c r="T978" s="80" t="s">
        <v>4</v>
      </c>
      <c r="U978" s="72" t="s">
        <v>14</v>
      </c>
      <c r="V978" s="72" t="s">
        <v>1932</v>
      </c>
      <c r="W978" s="72" t="s">
        <v>1937</v>
      </c>
      <c r="X978" s="72" t="s">
        <v>50</v>
      </c>
      <c r="Y978" s="72" t="s">
        <v>3046</v>
      </c>
      <c r="Z978" s="72" t="s">
        <v>4</v>
      </c>
      <c r="AA978" s="147" t="s">
        <v>2912</v>
      </c>
    </row>
    <row r="979" spans="1:27" ht="18.600000000000001" customHeight="1">
      <c r="A979" s="140" t="str">
        <f>IF(priority(Main[[#This Row],[Comments]])&lt;&gt;0, priority(Main[[#This Row],[Comments]]),"")</f>
        <v/>
      </c>
      <c r="B979" s="90" t="s">
        <v>1744</v>
      </c>
      <c r="C979" s="72" t="s">
        <v>4</v>
      </c>
      <c r="D979" s="73" t="s">
        <v>793</v>
      </c>
      <c r="E979" s="74">
        <v>40584.407268518517</v>
      </c>
      <c r="F979" s="74"/>
      <c r="G979" s="75" t="str">
        <f>IF(stdProdLT(Main[[#This Row],[Comments]])=0.1,"N/A",IF(stdProdLT(Main[[#This Row],[Comments]])=0,"",stdProdLT(Main[[#This Row],[Comments]])))</f>
        <v/>
      </c>
      <c r="H979" s="76" t="str">
        <f>IF(AND(Main[[#This Row],[In Stock Date]]&lt;&gt;"",Main[[#This Row],[Revised Due Date]]&lt;&gt;""),Main[[#This Row],[In Stock Date]]-Main[[#This Row],[Revised Due Date]],"")</f>
        <v/>
      </c>
      <c r="I979" s="72" t="s">
        <v>4</v>
      </c>
      <c r="J979" s="72" t="s">
        <v>4</v>
      </c>
      <c r="K979" s="72" t="s">
        <v>4</v>
      </c>
      <c r="L979" s="74"/>
      <c r="M979" s="77" t="str">
        <f>IF(Main[[#This Row],[Tech Start Date]]&lt;1/1/1990,"",IF(Main[[#This Row],[Class]]="C",WORKDAY(Main[[#This Row],[Tech Start Date]],9),IF(Main[[#This Row],[Class]]="B", WORKDAY(Main[[#This Row],[Tech Start Date]],6),IF(Main[[#This Row],[Class]]="A",WORKDAY(Main[[#This Row],[Tech Start Date]],2),""))))</f>
        <v/>
      </c>
      <c r="N979" s="77" t="str">
        <f>IF(Main[[#This Row],[Tech Start Date]]&lt;1/1/1990,"",IF(Main[[#This Row],[Class]]="C",WORKDAY(Main[[#This Row],[Tech Start Date]],19),IF(Main[[#This Row],[Class]]="B", WORKDAY(Main[[#This Row],[Tech Start Date]],12),IF(Main[[#This Row],[Class]]="A",WORKDAY(Main[[#This Row],[Tech Start Date]],4),""))))</f>
        <v/>
      </c>
      <c r="O979" s="77" t="str">
        <f>IF(Main[[#This Row],[Tech Start Date]]&lt;1/1/1990,"",IF(Main[[#This Row],[Class]]="C",WORKDAY(Main[[#This Row],[Tech Start Date]],23),IF(Main[[#This Row],[Class]]="B", WORKDAY(Main[[#This Row],[Tech Start Date]],15),IF(Main[[#This Row],[Class]]="A",WORKDAY(Main[[#This Row],[Tech Start Date]],5),""))))</f>
        <v/>
      </c>
      <c r="P979" s="77" t="str">
        <f>IF(Main[[#This Row],[Tech Start Date]]&lt;1/1/1990,"",IF(Main[[#This Row],[Class]]="C",WORKDAY(Main[[#This Row],[Tech Start Date]],28),IF(Main[[#This Row],[Class]]="B", WORKDAY(Main[[#This Row],[Tech Start Date]],19),IF(Main[[#This Row],[Class]]="A",WORKDAY(Main[[#This Row],[Tech Start Date]],9),""))))</f>
        <v/>
      </c>
      <c r="Q979" s="74">
        <v>40602</v>
      </c>
      <c r="R979" s="74"/>
      <c r="S979" s="72" t="s">
        <v>17</v>
      </c>
      <c r="T979" s="80" t="s">
        <v>4</v>
      </c>
      <c r="U979" s="72" t="s">
        <v>7</v>
      </c>
      <c r="V979" s="72" t="s">
        <v>1932</v>
      </c>
      <c r="W979" s="72" t="s">
        <v>1940</v>
      </c>
      <c r="X979" s="72" t="s">
        <v>2912</v>
      </c>
      <c r="Y979" s="72" t="s">
        <v>3037</v>
      </c>
      <c r="Z979" s="72" t="s">
        <v>4</v>
      </c>
      <c r="AA979" s="147" t="s">
        <v>2912</v>
      </c>
    </row>
    <row r="980" spans="1:27" ht="18.600000000000001" customHeight="1">
      <c r="A980" s="140" t="str">
        <f>IF(priority(Main[[#This Row],[Comments]])&lt;&gt;0, priority(Main[[#This Row],[Comments]]),"")</f>
        <v/>
      </c>
      <c r="B980" s="90" t="s">
        <v>1803</v>
      </c>
      <c r="C980" s="72" t="s">
        <v>4</v>
      </c>
      <c r="D980" s="73" t="s">
        <v>840</v>
      </c>
      <c r="E980" s="74"/>
      <c r="F980" s="74"/>
      <c r="G980" s="75" t="str">
        <f>IF(stdProdLT(Main[[#This Row],[Comments]])=0.1,"N/A",IF(stdProdLT(Main[[#This Row],[Comments]])=0,"",stdProdLT(Main[[#This Row],[Comments]])))</f>
        <v/>
      </c>
      <c r="H980" s="76" t="str">
        <f>IF(AND(Main[[#This Row],[In Stock Date]]&lt;&gt;"",Main[[#This Row],[Revised Due Date]]&lt;&gt;""),Main[[#This Row],[In Stock Date]]-Main[[#This Row],[Revised Due Date]],"")</f>
        <v/>
      </c>
      <c r="I980" s="72" t="s">
        <v>4</v>
      </c>
      <c r="J980" s="72" t="s">
        <v>4</v>
      </c>
      <c r="K980" s="72" t="s">
        <v>4</v>
      </c>
      <c r="L980" s="74"/>
      <c r="M980" s="77" t="str">
        <f>IF(Main[[#This Row],[Tech Start Date]]&lt;1/1/1990,"",IF(Main[[#This Row],[Class]]="C",WORKDAY(Main[[#This Row],[Tech Start Date]],9),IF(Main[[#This Row],[Class]]="B", WORKDAY(Main[[#This Row],[Tech Start Date]],6),IF(Main[[#This Row],[Class]]="A",WORKDAY(Main[[#This Row],[Tech Start Date]],2),""))))</f>
        <v/>
      </c>
      <c r="N980" s="77" t="str">
        <f>IF(Main[[#This Row],[Tech Start Date]]&lt;1/1/1990,"",IF(Main[[#This Row],[Class]]="C",WORKDAY(Main[[#This Row],[Tech Start Date]],19),IF(Main[[#This Row],[Class]]="B", WORKDAY(Main[[#This Row],[Tech Start Date]],12),IF(Main[[#This Row],[Class]]="A",WORKDAY(Main[[#This Row],[Tech Start Date]],4),""))))</f>
        <v/>
      </c>
      <c r="O980" s="77" t="str">
        <f>IF(Main[[#This Row],[Tech Start Date]]&lt;1/1/1990,"",IF(Main[[#This Row],[Class]]="C",WORKDAY(Main[[#This Row],[Tech Start Date]],23),IF(Main[[#This Row],[Class]]="B", WORKDAY(Main[[#This Row],[Tech Start Date]],15),IF(Main[[#This Row],[Class]]="A",WORKDAY(Main[[#This Row],[Tech Start Date]],5),""))))</f>
        <v/>
      </c>
      <c r="P980" s="77" t="str">
        <f>IF(Main[[#This Row],[Tech Start Date]]&lt;1/1/1990,"",IF(Main[[#This Row],[Class]]="C",WORKDAY(Main[[#This Row],[Tech Start Date]],28),IF(Main[[#This Row],[Class]]="B", WORKDAY(Main[[#This Row],[Tech Start Date]],19),IF(Main[[#This Row],[Class]]="A",WORKDAY(Main[[#This Row],[Tech Start Date]],9),""))))</f>
        <v/>
      </c>
      <c r="Q980" s="74"/>
      <c r="R980" s="74"/>
      <c r="S980" s="72" t="s">
        <v>23</v>
      </c>
      <c r="T980" s="80" t="s">
        <v>4</v>
      </c>
      <c r="U980" s="72" t="s">
        <v>14</v>
      </c>
      <c r="V980" s="72" t="s">
        <v>1932</v>
      </c>
      <c r="W980" s="72" t="s">
        <v>1936</v>
      </c>
      <c r="X980" s="72" t="s">
        <v>310</v>
      </c>
      <c r="Y980" s="72" t="s">
        <v>4</v>
      </c>
      <c r="Z980" s="72" t="s">
        <v>4</v>
      </c>
      <c r="AA980" s="147" t="s">
        <v>3630</v>
      </c>
    </row>
    <row r="981" spans="1:27" ht="18.600000000000001" customHeight="1">
      <c r="A981" s="140" t="str">
        <f>IF(priority(Main[[#This Row],[Comments]])&lt;&gt;0, priority(Main[[#This Row],[Comments]]),"")</f>
        <v/>
      </c>
      <c r="B981" s="90" t="s">
        <v>1822</v>
      </c>
      <c r="C981" s="72" t="s">
        <v>95</v>
      </c>
      <c r="D981" s="73" t="s">
        <v>862</v>
      </c>
      <c r="E981" s="74">
        <v>40060.34884259259</v>
      </c>
      <c r="F981" s="74">
        <v>40195</v>
      </c>
      <c r="G981" s="75" t="str">
        <f>IF(stdProdLT(Main[[#This Row],[Comments]])=0.1,"N/A",IF(stdProdLT(Main[[#This Row],[Comments]])=0,"",stdProdLT(Main[[#This Row],[Comments]])))</f>
        <v/>
      </c>
      <c r="H981" s="76">
        <f>IF(AND(Main[[#This Row],[In Stock Date]]&lt;&gt;"",Main[[#This Row],[Revised Due Date]]&lt;&gt;""),Main[[#This Row],[In Stock Date]]-Main[[#This Row],[Revised Due Date]],"")</f>
        <v>17</v>
      </c>
      <c r="I981" s="72" t="s">
        <v>863</v>
      </c>
      <c r="J981" s="72" t="s">
        <v>4</v>
      </c>
      <c r="K981" s="72" t="s">
        <v>4</v>
      </c>
      <c r="L981" s="74"/>
      <c r="M981" s="77" t="str">
        <f>IF(Main[[#This Row],[Tech Start Date]]&lt;1/1/1990,"",IF(Main[[#This Row],[Class]]="C",WORKDAY(Main[[#This Row],[Tech Start Date]],9),IF(Main[[#This Row],[Class]]="B", WORKDAY(Main[[#This Row],[Tech Start Date]],6),IF(Main[[#This Row],[Class]]="A",WORKDAY(Main[[#This Row],[Tech Start Date]],2),""))))</f>
        <v/>
      </c>
      <c r="N981" s="77" t="str">
        <f>IF(Main[[#This Row],[Tech Start Date]]&lt;1/1/1990,"",IF(Main[[#This Row],[Class]]="C",WORKDAY(Main[[#This Row],[Tech Start Date]],19),IF(Main[[#This Row],[Class]]="B", WORKDAY(Main[[#This Row],[Tech Start Date]],12),IF(Main[[#This Row],[Class]]="A",WORKDAY(Main[[#This Row],[Tech Start Date]],4),""))))</f>
        <v/>
      </c>
      <c r="O981" s="77" t="str">
        <f>IF(Main[[#This Row],[Tech Start Date]]&lt;1/1/1990,"",IF(Main[[#This Row],[Class]]="C",WORKDAY(Main[[#This Row],[Tech Start Date]],23),IF(Main[[#This Row],[Class]]="B", WORKDAY(Main[[#This Row],[Tech Start Date]],15),IF(Main[[#This Row],[Class]]="A",WORKDAY(Main[[#This Row],[Tech Start Date]],5),""))))</f>
        <v/>
      </c>
      <c r="P981" s="77" t="str">
        <f>IF(Main[[#This Row],[Tech Start Date]]&lt;1/1/1990,"",IF(Main[[#This Row],[Class]]="C",WORKDAY(Main[[#This Row],[Tech Start Date]],28),IF(Main[[#This Row],[Class]]="B", WORKDAY(Main[[#This Row],[Tech Start Date]],19),IF(Main[[#This Row],[Class]]="A",WORKDAY(Main[[#This Row],[Tech Start Date]],9),""))))</f>
        <v/>
      </c>
      <c r="Q981" s="74">
        <v>40080</v>
      </c>
      <c r="R981" s="74">
        <v>40178</v>
      </c>
      <c r="S981" s="72" t="s">
        <v>17</v>
      </c>
      <c r="T981" s="80" t="s">
        <v>4</v>
      </c>
      <c r="U981" s="72" t="s">
        <v>29</v>
      </c>
      <c r="V981" s="72" t="s">
        <v>1935</v>
      </c>
      <c r="W981" s="72" t="s">
        <v>1940</v>
      </c>
      <c r="X981" s="72" t="s">
        <v>2960</v>
      </c>
      <c r="Y981" s="72" t="s">
        <v>4</v>
      </c>
      <c r="Z981" s="72" t="s">
        <v>81</v>
      </c>
      <c r="AA981" s="147" t="s">
        <v>3594</v>
      </c>
    </row>
    <row r="982" spans="1:27" ht="18.600000000000001" customHeight="1">
      <c r="A982" s="140" t="str">
        <f>IF(priority(Main[[#This Row],[Comments]])&lt;&gt;0, priority(Main[[#This Row],[Comments]]),"")</f>
        <v/>
      </c>
      <c r="B982" s="90" t="s">
        <v>3269</v>
      </c>
      <c r="C982" s="72" t="s">
        <v>4</v>
      </c>
      <c r="D982" s="73" t="s">
        <v>3378</v>
      </c>
      <c r="E982" s="74">
        <v>40919.388969907406</v>
      </c>
      <c r="F982" s="74"/>
      <c r="G982" s="75" t="str">
        <f>IF(stdProdLT(Main[[#This Row],[Comments]])=0.1,"N/A",IF(stdProdLT(Main[[#This Row],[Comments]])=0,"",stdProdLT(Main[[#This Row],[Comments]])))</f>
        <v/>
      </c>
      <c r="H982" s="76" t="str">
        <f>IF(AND(Main[[#This Row],[In Stock Date]]&lt;&gt;"",Main[[#This Row],[Revised Due Date]]&lt;&gt;""),Main[[#This Row],[In Stock Date]]-Main[[#This Row],[Revised Due Date]],"")</f>
        <v/>
      </c>
      <c r="I982" s="72" t="s">
        <v>30</v>
      </c>
      <c r="J982" s="72" t="s">
        <v>28</v>
      </c>
      <c r="K982" s="72" t="s">
        <v>1941</v>
      </c>
      <c r="L982" s="74"/>
      <c r="M982" s="77" t="str">
        <f>IF(Main[[#This Row],[Tech Start Date]]&lt;1/1/1990,"",IF(Main[[#This Row],[Class]]="C",WORKDAY(Main[[#This Row],[Tech Start Date]],9),IF(Main[[#This Row],[Class]]="B", WORKDAY(Main[[#This Row],[Tech Start Date]],6),IF(Main[[#This Row],[Class]]="A",WORKDAY(Main[[#This Row],[Tech Start Date]],2),""))))</f>
        <v/>
      </c>
      <c r="N982" s="77" t="str">
        <f>IF(Main[[#This Row],[Tech Start Date]]&lt;1/1/1990,"",IF(Main[[#This Row],[Class]]="C",WORKDAY(Main[[#This Row],[Tech Start Date]],19),IF(Main[[#This Row],[Class]]="B", WORKDAY(Main[[#This Row],[Tech Start Date]],12),IF(Main[[#This Row],[Class]]="A",WORKDAY(Main[[#This Row],[Tech Start Date]],4),""))))</f>
        <v/>
      </c>
      <c r="O982" s="77" t="str">
        <f>IF(Main[[#This Row],[Tech Start Date]]&lt;1/1/1990,"",IF(Main[[#This Row],[Class]]="C",WORKDAY(Main[[#This Row],[Tech Start Date]],23),IF(Main[[#This Row],[Class]]="B", WORKDAY(Main[[#This Row],[Tech Start Date]],15),IF(Main[[#This Row],[Class]]="A",WORKDAY(Main[[#This Row],[Tech Start Date]],5),""))))</f>
        <v/>
      </c>
      <c r="P982" s="77" t="str">
        <f>IF(Main[[#This Row],[Tech Start Date]]&lt;1/1/1990,"",IF(Main[[#This Row],[Class]]="C",WORKDAY(Main[[#This Row],[Tech Start Date]],28),IF(Main[[#This Row],[Class]]="B", WORKDAY(Main[[#This Row],[Tech Start Date]],19),IF(Main[[#This Row],[Class]]="A",WORKDAY(Main[[#This Row],[Tech Start Date]],9),""))))</f>
        <v/>
      </c>
      <c r="Q982" s="74">
        <v>40928</v>
      </c>
      <c r="R982" s="74"/>
      <c r="S982" s="72" t="s">
        <v>6</v>
      </c>
      <c r="T982" s="80" t="s">
        <v>4</v>
      </c>
      <c r="U982" s="72" t="s">
        <v>29</v>
      </c>
      <c r="V982" s="72" t="s">
        <v>1935</v>
      </c>
      <c r="W982" s="72" t="s">
        <v>1936</v>
      </c>
      <c r="X982" s="72" t="s">
        <v>2987</v>
      </c>
      <c r="Y982" s="72" t="s">
        <v>3170</v>
      </c>
      <c r="Z982" s="72" t="s">
        <v>30</v>
      </c>
      <c r="AA982" s="147" t="s">
        <v>2987</v>
      </c>
    </row>
    <row r="983" spans="1:27" ht="18.600000000000001" customHeight="1">
      <c r="A983" s="140" t="str">
        <f>IF(priority(Main[[#This Row],[Comments]])&lt;&gt;0, priority(Main[[#This Row],[Comments]]),"")</f>
        <v/>
      </c>
      <c r="B983" s="90" t="s">
        <v>2154</v>
      </c>
      <c r="C983" s="72" t="s">
        <v>963</v>
      </c>
      <c r="D983" s="73" t="s">
        <v>2155</v>
      </c>
      <c r="E983" s="74"/>
      <c r="F983" s="74">
        <v>40871</v>
      </c>
      <c r="G983" s="75" t="str">
        <f>IF(stdProdLT(Main[[#This Row],[Comments]])=0.1,"N/A",IF(stdProdLT(Main[[#This Row],[Comments]])=0,"",stdProdLT(Main[[#This Row],[Comments]])))</f>
        <v/>
      </c>
      <c r="H983" s="76" t="str">
        <f>IF(AND(Main[[#This Row],[In Stock Date]]&lt;&gt;"",Main[[#This Row],[Revised Due Date]]&lt;&gt;""),Main[[#This Row],[In Stock Date]]-Main[[#This Row],[Revised Due Date]],"")</f>
        <v/>
      </c>
      <c r="I983" s="72" t="s">
        <v>403</v>
      </c>
      <c r="J983" s="72" t="s">
        <v>51</v>
      </c>
      <c r="K983" s="72" t="s">
        <v>1941</v>
      </c>
      <c r="L983" s="74"/>
      <c r="M983" s="77" t="str">
        <f>IF(Main[[#This Row],[Tech Start Date]]&lt;1/1/1990,"",IF(Main[[#This Row],[Class]]="C",WORKDAY(Main[[#This Row],[Tech Start Date]],9),IF(Main[[#This Row],[Class]]="B", WORKDAY(Main[[#This Row],[Tech Start Date]],6),IF(Main[[#This Row],[Class]]="A",WORKDAY(Main[[#This Row],[Tech Start Date]],2),""))))</f>
        <v/>
      </c>
      <c r="N983" s="77" t="str">
        <f>IF(Main[[#This Row],[Tech Start Date]]&lt;1/1/1990,"",IF(Main[[#This Row],[Class]]="C",WORKDAY(Main[[#This Row],[Tech Start Date]],19),IF(Main[[#This Row],[Class]]="B", WORKDAY(Main[[#This Row],[Tech Start Date]],12),IF(Main[[#This Row],[Class]]="A",WORKDAY(Main[[#This Row],[Tech Start Date]],4),""))))</f>
        <v/>
      </c>
      <c r="O983" s="77" t="str">
        <f>IF(Main[[#This Row],[Tech Start Date]]&lt;1/1/1990,"",IF(Main[[#This Row],[Class]]="C",WORKDAY(Main[[#This Row],[Tech Start Date]],23),IF(Main[[#This Row],[Class]]="B", WORKDAY(Main[[#This Row],[Tech Start Date]],15),IF(Main[[#This Row],[Class]]="A",WORKDAY(Main[[#This Row],[Tech Start Date]],5),""))))</f>
        <v/>
      </c>
      <c r="P983" s="77" t="str">
        <f>IF(Main[[#This Row],[Tech Start Date]]&lt;1/1/1990,"",IF(Main[[#This Row],[Class]]="C",WORKDAY(Main[[#This Row],[Tech Start Date]],28),IF(Main[[#This Row],[Class]]="B", WORKDAY(Main[[#This Row],[Tech Start Date]],19),IF(Main[[#This Row],[Class]]="A",WORKDAY(Main[[#This Row],[Tech Start Date]],9),""))))</f>
        <v/>
      </c>
      <c r="Q983" s="74"/>
      <c r="R983" s="74"/>
      <c r="S983" s="72" t="s">
        <v>11</v>
      </c>
      <c r="T983" s="80" t="s">
        <v>4</v>
      </c>
      <c r="U983" s="72" t="s">
        <v>14</v>
      </c>
      <c r="V983" s="72" t="s">
        <v>1932</v>
      </c>
      <c r="W983" s="72" t="s">
        <v>1938</v>
      </c>
      <c r="X983" s="72" t="s">
        <v>50</v>
      </c>
      <c r="Y983" s="72" t="s">
        <v>3048</v>
      </c>
      <c r="Z983" s="72" t="s">
        <v>310</v>
      </c>
      <c r="AA983" s="147" t="s">
        <v>50</v>
      </c>
    </row>
    <row r="984" spans="1:27" ht="18.600000000000001" customHeight="1">
      <c r="A984" s="140" t="str">
        <f>IF(priority(Main[[#This Row],[Comments]])&lt;&gt;0, priority(Main[[#This Row],[Comments]]),"")</f>
        <v/>
      </c>
      <c r="B984" s="90" t="s">
        <v>2156</v>
      </c>
      <c r="C984" s="72" t="s">
        <v>963</v>
      </c>
      <c r="D984" s="73" t="s">
        <v>2157</v>
      </c>
      <c r="E984" s="74"/>
      <c r="F984" s="74">
        <v>40871</v>
      </c>
      <c r="G984" s="75" t="str">
        <f>IF(stdProdLT(Main[[#This Row],[Comments]])=0.1,"N/A",IF(stdProdLT(Main[[#This Row],[Comments]])=0,"",stdProdLT(Main[[#This Row],[Comments]])))</f>
        <v/>
      </c>
      <c r="H984" s="76" t="str">
        <f>IF(AND(Main[[#This Row],[In Stock Date]]&lt;&gt;"",Main[[#This Row],[Revised Due Date]]&lt;&gt;""),Main[[#This Row],[In Stock Date]]-Main[[#This Row],[Revised Due Date]],"")</f>
        <v/>
      </c>
      <c r="I984" s="72" t="s">
        <v>4</v>
      </c>
      <c r="J984" s="72" t="s">
        <v>4</v>
      </c>
      <c r="K984" s="72" t="s">
        <v>4</v>
      </c>
      <c r="L984" s="74"/>
      <c r="M984" s="77" t="str">
        <f>IF(Main[[#This Row],[Tech Start Date]]&lt;1/1/1990,"",IF(Main[[#This Row],[Class]]="C",WORKDAY(Main[[#This Row],[Tech Start Date]],9),IF(Main[[#This Row],[Class]]="B", WORKDAY(Main[[#This Row],[Tech Start Date]],6),IF(Main[[#This Row],[Class]]="A",WORKDAY(Main[[#This Row],[Tech Start Date]],2),""))))</f>
        <v/>
      </c>
      <c r="N984" s="77" t="str">
        <f>IF(Main[[#This Row],[Tech Start Date]]&lt;1/1/1990,"",IF(Main[[#This Row],[Class]]="C",WORKDAY(Main[[#This Row],[Tech Start Date]],19),IF(Main[[#This Row],[Class]]="B", WORKDAY(Main[[#This Row],[Tech Start Date]],12),IF(Main[[#This Row],[Class]]="A",WORKDAY(Main[[#This Row],[Tech Start Date]],4),""))))</f>
        <v/>
      </c>
      <c r="O984" s="77" t="str">
        <f>IF(Main[[#This Row],[Tech Start Date]]&lt;1/1/1990,"",IF(Main[[#This Row],[Class]]="C",WORKDAY(Main[[#This Row],[Tech Start Date]],23),IF(Main[[#This Row],[Class]]="B", WORKDAY(Main[[#This Row],[Tech Start Date]],15),IF(Main[[#This Row],[Class]]="A",WORKDAY(Main[[#This Row],[Tech Start Date]],5),""))))</f>
        <v/>
      </c>
      <c r="P984" s="77" t="str">
        <f>IF(Main[[#This Row],[Tech Start Date]]&lt;1/1/1990,"",IF(Main[[#This Row],[Class]]="C",WORKDAY(Main[[#This Row],[Tech Start Date]],28),IF(Main[[#This Row],[Class]]="B", WORKDAY(Main[[#This Row],[Tech Start Date]],19),IF(Main[[#This Row],[Class]]="A",WORKDAY(Main[[#This Row],[Tech Start Date]],9),""))))</f>
        <v/>
      </c>
      <c r="Q984" s="74"/>
      <c r="R984" s="74"/>
      <c r="S984" s="72" t="s">
        <v>11</v>
      </c>
      <c r="T984" s="80" t="s">
        <v>4</v>
      </c>
      <c r="U984" s="72" t="s">
        <v>14</v>
      </c>
      <c r="V984" s="72" t="s">
        <v>1935</v>
      </c>
      <c r="W984" s="72" t="s">
        <v>1940</v>
      </c>
      <c r="X984" s="72" t="s">
        <v>50</v>
      </c>
      <c r="Y984" s="72" t="s">
        <v>3048</v>
      </c>
      <c r="Z984" s="72" t="s">
        <v>4</v>
      </c>
      <c r="AA984" s="147" t="s">
        <v>50</v>
      </c>
    </row>
    <row r="985" spans="1:27" ht="18.600000000000001" customHeight="1">
      <c r="A985" s="140" t="str">
        <f>IF(priority(Main[[#This Row],[Comments]])&lt;&gt;0, priority(Main[[#This Row],[Comments]]),"")</f>
        <v/>
      </c>
      <c r="B985" s="90" t="s">
        <v>3747</v>
      </c>
      <c r="C985" s="72" t="s">
        <v>4</v>
      </c>
      <c r="D985" s="73" t="s">
        <v>3748</v>
      </c>
      <c r="E985" s="74"/>
      <c r="F985" s="74"/>
      <c r="G985" s="75" t="str">
        <f>IF(stdProdLT(Main[[#This Row],[Comments]])=0.1,"N/A",IF(stdProdLT(Main[[#This Row],[Comments]])=0,"",stdProdLT(Main[[#This Row],[Comments]])))</f>
        <v/>
      </c>
      <c r="H985" s="76" t="str">
        <f>IF(AND(Main[[#This Row],[In Stock Date]]&lt;&gt;"",Main[[#This Row],[Revised Due Date]]&lt;&gt;""),Main[[#This Row],[In Stock Date]]-Main[[#This Row],[Revised Due Date]],"")</f>
        <v/>
      </c>
      <c r="I985" s="72" t="s">
        <v>4</v>
      </c>
      <c r="J985" s="72" t="s">
        <v>4</v>
      </c>
      <c r="K985" s="72" t="s">
        <v>4</v>
      </c>
      <c r="L985" s="74"/>
      <c r="M985" s="77" t="str">
        <f>IF(Main[[#This Row],[Tech Start Date]]&lt;1/1/1990,"",IF(Main[[#This Row],[Class]]="C",WORKDAY(Main[[#This Row],[Tech Start Date]],9),IF(Main[[#This Row],[Class]]="B", WORKDAY(Main[[#This Row],[Tech Start Date]],6),IF(Main[[#This Row],[Class]]="A",WORKDAY(Main[[#This Row],[Tech Start Date]],2),""))))</f>
        <v/>
      </c>
      <c r="N985" s="77" t="str">
        <f>IF(Main[[#This Row],[Tech Start Date]]&lt;1/1/1990,"",IF(Main[[#This Row],[Class]]="C",WORKDAY(Main[[#This Row],[Tech Start Date]],19),IF(Main[[#This Row],[Class]]="B", WORKDAY(Main[[#This Row],[Tech Start Date]],12),IF(Main[[#This Row],[Class]]="A",WORKDAY(Main[[#This Row],[Tech Start Date]],4),""))))</f>
        <v/>
      </c>
      <c r="O985" s="77" t="str">
        <f>IF(Main[[#This Row],[Tech Start Date]]&lt;1/1/1990,"",IF(Main[[#This Row],[Class]]="C",WORKDAY(Main[[#This Row],[Tech Start Date]],23),IF(Main[[#This Row],[Class]]="B", WORKDAY(Main[[#This Row],[Tech Start Date]],15),IF(Main[[#This Row],[Class]]="A",WORKDAY(Main[[#This Row],[Tech Start Date]],5),""))))</f>
        <v/>
      </c>
      <c r="P985" s="77" t="str">
        <f>IF(Main[[#This Row],[Tech Start Date]]&lt;1/1/1990,"",IF(Main[[#This Row],[Class]]="C",WORKDAY(Main[[#This Row],[Tech Start Date]],28),IF(Main[[#This Row],[Class]]="B", WORKDAY(Main[[#This Row],[Tech Start Date]],19),IF(Main[[#This Row],[Class]]="A",WORKDAY(Main[[#This Row],[Tech Start Date]],9),""))))</f>
        <v/>
      </c>
      <c r="Q985" s="74"/>
      <c r="R985" s="74"/>
      <c r="S985" s="72" t="s">
        <v>6</v>
      </c>
      <c r="T985" s="80" t="s">
        <v>4</v>
      </c>
      <c r="U985" s="72" t="s">
        <v>14</v>
      </c>
      <c r="V985" s="72" t="s">
        <v>2312</v>
      </c>
      <c r="W985" s="72" t="s">
        <v>1936</v>
      </c>
      <c r="X985" s="72" t="s">
        <v>2925</v>
      </c>
      <c r="Y985" s="72" t="s">
        <v>3058</v>
      </c>
      <c r="Z985" s="72" t="s">
        <v>4</v>
      </c>
      <c r="AA985" s="147" t="s">
        <v>2925</v>
      </c>
    </row>
    <row r="986" spans="1:27" ht="18.600000000000001" customHeight="1">
      <c r="A986" s="140" t="str">
        <f>IF(priority(Main[[#This Row],[Comments]])&lt;&gt;0, priority(Main[[#This Row],[Comments]]),"")</f>
        <v/>
      </c>
      <c r="B986" s="90" t="s">
        <v>2549</v>
      </c>
      <c r="C986" s="72" t="s">
        <v>47</v>
      </c>
      <c r="D986" s="73" t="s">
        <v>3704</v>
      </c>
      <c r="E986" s="74">
        <v>40857.653622685182</v>
      </c>
      <c r="F986" s="74"/>
      <c r="G986" s="75" t="str">
        <f>IF(stdProdLT(Main[[#This Row],[Comments]])=0.1,"N/A",IF(stdProdLT(Main[[#This Row],[Comments]])=0,"",stdProdLT(Main[[#This Row],[Comments]])))</f>
        <v/>
      </c>
      <c r="H986" s="76" t="str">
        <f>IF(AND(Main[[#This Row],[In Stock Date]]&lt;&gt;"",Main[[#This Row],[Revised Due Date]]&lt;&gt;""),Main[[#This Row],[In Stock Date]]-Main[[#This Row],[Revised Due Date]],"")</f>
        <v/>
      </c>
      <c r="I986" s="72" t="s">
        <v>4</v>
      </c>
      <c r="J986" s="72" t="s">
        <v>4</v>
      </c>
      <c r="K986" s="72" t="s">
        <v>4</v>
      </c>
      <c r="L986" s="74"/>
      <c r="M986" s="77" t="str">
        <f>IF(Main[[#This Row],[Tech Start Date]]&lt;1/1/1990,"",IF(Main[[#This Row],[Class]]="C",WORKDAY(Main[[#This Row],[Tech Start Date]],9),IF(Main[[#This Row],[Class]]="B", WORKDAY(Main[[#This Row],[Tech Start Date]],6),IF(Main[[#This Row],[Class]]="A",WORKDAY(Main[[#This Row],[Tech Start Date]],2),""))))</f>
        <v/>
      </c>
      <c r="N986" s="77" t="str">
        <f>IF(Main[[#This Row],[Tech Start Date]]&lt;1/1/1990,"",IF(Main[[#This Row],[Class]]="C",WORKDAY(Main[[#This Row],[Tech Start Date]],19),IF(Main[[#This Row],[Class]]="B", WORKDAY(Main[[#This Row],[Tech Start Date]],12),IF(Main[[#This Row],[Class]]="A",WORKDAY(Main[[#This Row],[Tech Start Date]],4),""))))</f>
        <v/>
      </c>
      <c r="O986" s="77" t="str">
        <f>IF(Main[[#This Row],[Tech Start Date]]&lt;1/1/1990,"",IF(Main[[#This Row],[Class]]="C",WORKDAY(Main[[#This Row],[Tech Start Date]],23),IF(Main[[#This Row],[Class]]="B", WORKDAY(Main[[#This Row],[Tech Start Date]],15),IF(Main[[#This Row],[Class]]="A",WORKDAY(Main[[#This Row],[Tech Start Date]],5),""))))</f>
        <v/>
      </c>
      <c r="P986" s="77" t="str">
        <f>IF(Main[[#This Row],[Tech Start Date]]&lt;1/1/1990,"",IF(Main[[#This Row],[Class]]="C",WORKDAY(Main[[#This Row],[Tech Start Date]],28),IF(Main[[#This Row],[Class]]="B", WORKDAY(Main[[#This Row],[Tech Start Date]],19),IF(Main[[#This Row],[Class]]="A",WORKDAY(Main[[#This Row],[Tech Start Date]],9),""))))</f>
        <v/>
      </c>
      <c r="Q986" s="74">
        <v>40892</v>
      </c>
      <c r="R986" s="74"/>
      <c r="S986" s="72" t="s">
        <v>6</v>
      </c>
      <c r="T986" s="80" t="s">
        <v>4</v>
      </c>
      <c r="U986" s="72" t="s">
        <v>29</v>
      </c>
      <c r="V986" s="72" t="s">
        <v>2312</v>
      </c>
      <c r="W986" s="72" t="s">
        <v>4</v>
      </c>
      <c r="X986" s="72" t="s">
        <v>2949</v>
      </c>
      <c r="Y986" s="72" t="s">
        <v>3097</v>
      </c>
      <c r="Z986" s="72" t="s">
        <v>4</v>
      </c>
      <c r="AA986" s="147" t="s">
        <v>2949</v>
      </c>
    </row>
    <row r="987" spans="1:27" ht="18.600000000000001" customHeight="1">
      <c r="A987" s="140" t="str">
        <f>IF(priority(Main[[#This Row],[Comments]])&lt;&gt;0, priority(Main[[#This Row],[Comments]]),"")</f>
        <v/>
      </c>
      <c r="B987" s="90" t="s">
        <v>3379</v>
      </c>
      <c r="C987" s="72" t="s">
        <v>3380</v>
      </c>
      <c r="D987" s="73" t="s">
        <v>3503</v>
      </c>
      <c r="E987" s="74">
        <v>40934.707789351851</v>
      </c>
      <c r="F987" s="74">
        <v>41065</v>
      </c>
      <c r="G987" s="75">
        <f>IF(stdProdLT(Main[[#This Row],[Comments]])=0.1,"N/A",IF(stdProdLT(Main[[#This Row],[Comments]])=0,"",stdProdLT(Main[[#This Row],[Comments]])))</f>
        <v>84</v>
      </c>
      <c r="H987" s="76" t="str">
        <f>IF(AND(Main[[#This Row],[In Stock Date]]&lt;&gt;"",Main[[#This Row],[Revised Due Date]]&lt;&gt;""),Main[[#This Row],[In Stock Date]]-Main[[#This Row],[Revised Due Date]],"")</f>
        <v/>
      </c>
      <c r="I987" s="72" t="s">
        <v>4</v>
      </c>
      <c r="J987" s="72" t="s">
        <v>4</v>
      </c>
      <c r="K987" s="72" t="s">
        <v>4</v>
      </c>
      <c r="L987" s="74"/>
      <c r="M987" s="77" t="str">
        <f>IF(Main[[#This Row],[Tech Start Date]]&lt;1/1/1990,"",IF(Main[[#This Row],[Class]]="C",WORKDAY(Main[[#This Row],[Tech Start Date]],9),IF(Main[[#This Row],[Class]]="B", WORKDAY(Main[[#This Row],[Tech Start Date]],6),IF(Main[[#This Row],[Class]]="A",WORKDAY(Main[[#This Row],[Tech Start Date]],2),""))))</f>
        <v/>
      </c>
      <c r="N987" s="77" t="str">
        <f>IF(Main[[#This Row],[Tech Start Date]]&lt;1/1/1990,"",IF(Main[[#This Row],[Class]]="C",WORKDAY(Main[[#This Row],[Tech Start Date]],19),IF(Main[[#This Row],[Class]]="B", WORKDAY(Main[[#This Row],[Tech Start Date]],12),IF(Main[[#This Row],[Class]]="A",WORKDAY(Main[[#This Row],[Tech Start Date]],4),""))))</f>
        <v/>
      </c>
      <c r="O987" s="77" t="str">
        <f>IF(Main[[#This Row],[Tech Start Date]]&lt;1/1/1990,"",IF(Main[[#This Row],[Class]]="C",WORKDAY(Main[[#This Row],[Tech Start Date]],23),IF(Main[[#This Row],[Class]]="B", WORKDAY(Main[[#This Row],[Tech Start Date]],15),IF(Main[[#This Row],[Class]]="A",WORKDAY(Main[[#This Row],[Tech Start Date]],5),""))))</f>
        <v/>
      </c>
      <c r="P987" s="77" t="str">
        <f>IF(Main[[#This Row],[Tech Start Date]]&lt;1/1/1990,"",IF(Main[[#This Row],[Class]]="C",WORKDAY(Main[[#This Row],[Tech Start Date]],28),IF(Main[[#This Row],[Class]]="B", WORKDAY(Main[[#This Row],[Tech Start Date]],19),IF(Main[[#This Row],[Class]]="A",WORKDAY(Main[[#This Row],[Tech Start Date]],9),""))))</f>
        <v/>
      </c>
      <c r="Q987" s="74">
        <v>40945</v>
      </c>
      <c r="R987" s="74"/>
      <c r="S987" s="72" t="s">
        <v>11</v>
      </c>
      <c r="T987" s="80" t="s">
        <v>3381</v>
      </c>
      <c r="U987" s="72" t="s">
        <v>7</v>
      </c>
      <c r="V987" s="72" t="s">
        <v>1932</v>
      </c>
      <c r="W987" s="72" t="s">
        <v>1940</v>
      </c>
      <c r="X987" s="72" t="s">
        <v>2913</v>
      </c>
      <c r="Y987" s="72" t="s">
        <v>3038</v>
      </c>
      <c r="Z987" s="72" t="s">
        <v>4</v>
      </c>
      <c r="AA987" s="147" t="s">
        <v>2913</v>
      </c>
    </row>
    <row r="988" spans="1:27" ht="18.600000000000001" customHeight="1">
      <c r="A988" s="140" t="str">
        <f>IF(priority(Main[[#This Row],[Comments]])&lt;&gt;0, priority(Main[[#This Row],[Comments]]),"")</f>
        <v/>
      </c>
      <c r="B988" s="90" t="s">
        <v>2140</v>
      </c>
      <c r="C988" s="72" t="s">
        <v>4</v>
      </c>
      <c r="D988" s="73" t="s">
        <v>2141</v>
      </c>
      <c r="E988" s="74"/>
      <c r="F988" s="74"/>
      <c r="G988" s="75" t="str">
        <f>IF(stdProdLT(Main[[#This Row],[Comments]])=0.1,"N/A",IF(stdProdLT(Main[[#This Row],[Comments]])=0,"",stdProdLT(Main[[#This Row],[Comments]])))</f>
        <v/>
      </c>
      <c r="H988" s="76" t="str">
        <f>IF(AND(Main[[#This Row],[In Stock Date]]&lt;&gt;"",Main[[#This Row],[Revised Due Date]]&lt;&gt;""),Main[[#This Row],[In Stock Date]]-Main[[#This Row],[Revised Due Date]],"")</f>
        <v/>
      </c>
      <c r="I988" s="72" t="s">
        <v>69</v>
      </c>
      <c r="J988" s="72" t="s">
        <v>70</v>
      </c>
      <c r="K988" s="81" t="s">
        <v>1941</v>
      </c>
      <c r="L988" s="74"/>
      <c r="M988" s="77" t="str">
        <f>IF(Main[[#This Row],[Tech Start Date]]&lt;1/1/1990,"",IF(Main[[#This Row],[Class]]="C",WORKDAY(Main[[#This Row],[Tech Start Date]],9),IF(Main[[#This Row],[Class]]="B", WORKDAY(Main[[#This Row],[Tech Start Date]],6),IF(Main[[#This Row],[Class]]="A",WORKDAY(Main[[#This Row],[Tech Start Date]],2),""))))</f>
        <v/>
      </c>
      <c r="N988" s="77" t="str">
        <f>IF(Main[[#This Row],[Tech Start Date]]&lt;1/1/1990,"",IF(Main[[#This Row],[Class]]="C",WORKDAY(Main[[#This Row],[Tech Start Date]],19),IF(Main[[#This Row],[Class]]="B", WORKDAY(Main[[#This Row],[Tech Start Date]],12),IF(Main[[#This Row],[Class]]="A",WORKDAY(Main[[#This Row],[Tech Start Date]],4),""))))</f>
        <v/>
      </c>
      <c r="O988" s="77" t="str">
        <f>IF(Main[[#This Row],[Tech Start Date]]&lt;1/1/1990,"",IF(Main[[#This Row],[Class]]="C",WORKDAY(Main[[#This Row],[Tech Start Date]],23),IF(Main[[#This Row],[Class]]="B", WORKDAY(Main[[#This Row],[Tech Start Date]],15),IF(Main[[#This Row],[Class]]="A",WORKDAY(Main[[#This Row],[Tech Start Date]],5),""))))</f>
        <v/>
      </c>
      <c r="P988" s="77" t="str">
        <f>IF(Main[[#This Row],[Tech Start Date]]&lt;1/1/1990,"",IF(Main[[#This Row],[Class]]="C",WORKDAY(Main[[#This Row],[Tech Start Date]],28),IF(Main[[#This Row],[Class]]="B", WORKDAY(Main[[#This Row],[Tech Start Date]],19),IF(Main[[#This Row],[Class]]="A",WORKDAY(Main[[#This Row],[Tech Start Date]],9),""))))</f>
        <v/>
      </c>
      <c r="Q988" s="74">
        <v>40816</v>
      </c>
      <c r="R988" s="74"/>
      <c r="S988" s="72" t="s">
        <v>6</v>
      </c>
      <c r="T988" s="80" t="s">
        <v>4</v>
      </c>
      <c r="U988" s="72" t="s">
        <v>14</v>
      </c>
      <c r="V988" s="72" t="s">
        <v>1935</v>
      </c>
      <c r="W988" s="72" t="s">
        <v>1936</v>
      </c>
      <c r="X988" s="72" t="s">
        <v>310</v>
      </c>
      <c r="Y988" s="72" t="s">
        <v>3200</v>
      </c>
      <c r="Z988" s="72" t="s">
        <v>30</v>
      </c>
      <c r="AA988" s="147" t="s">
        <v>3574</v>
      </c>
    </row>
    <row r="989" spans="1:27" ht="18.600000000000001" customHeight="1">
      <c r="A989" s="140" t="str">
        <f>IF(priority(Main[[#This Row],[Comments]])&lt;&gt;0, priority(Main[[#This Row],[Comments]]),"")</f>
        <v/>
      </c>
      <c r="B989" s="90" t="s">
        <v>2208</v>
      </c>
      <c r="C989" s="72" t="s">
        <v>4</v>
      </c>
      <c r="D989" s="73" t="s">
        <v>2209</v>
      </c>
      <c r="E989" s="74">
        <v>40784.630833333336</v>
      </c>
      <c r="F989" s="74">
        <v>41153</v>
      </c>
      <c r="G989" s="75" t="str">
        <f>IF(stdProdLT(Main[[#This Row],[Comments]])=0.1,"N/A",IF(stdProdLT(Main[[#This Row],[Comments]])=0,"",stdProdLT(Main[[#This Row],[Comments]])))</f>
        <v/>
      </c>
      <c r="H989" s="76" t="str">
        <f>IF(AND(Main[[#This Row],[In Stock Date]]&lt;&gt;"",Main[[#This Row],[Revised Due Date]]&lt;&gt;""),Main[[#This Row],[In Stock Date]]-Main[[#This Row],[Revised Due Date]],"")</f>
        <v/>
      </c>
      <c r="I989" s="72" t="s">
        <v>4</v>
      </c>
      <c r="J989" s="72" t="s">
        <v>4</v>
      </c>
      <c r="K989" s="81" t="s">
        <v>4</v>
      </c>
      <c r="L989" s="74"/>
      <c r="M989" s="77" t="str">
        <f>IF(Main[[#This Row],[Tech Start Date]]&lt;1/1/1990,"",IF(Main[[#This Row],[Class]]="C",WORKDAY(Main[[#This Row],[Tech Start Date]],9),IF(Main[[#This Row],[Class]]="B", WORKDAY(Main[[#This Row],[Tech Start Date]],6),IF(Main[[#This Row],[Class]]="A",WORKDAY(Main[[#This Row],[Tech Start Date]],2),""))))</f>
        <v/>
      </c>
      <c r="N989" s="77" t="str">
        <f>IF(Main[[#This Row],[Tech Start Date]]&lt;1/1/1990,"",IF(Main[[#This Row],[Class]]="C",WORKDAY(Main[[#This Row],[Tech Start Date]],19),IF(Main[[#This Row],[Class]]="B", WORKDAY(Main[[#This Row],[Tech Start Date]],12),IF(Main[[#This Row],[Class]]="A",WORKDAY(Main[[#This Row],[Tech Start Date]],4),""))))</f>
        <v/>
      </c>
      <c r="O989" s="77" t="str">
        <f>IF(Main[[#This Row],[Tech Start Date]]&lt;1/1/1990,"",IF(Main[[#This Row],[Class]]="C",WORKDAY(Main[[#This Row],[Tech Start Date]],23),IF(Main[[#This Row],[Class]]="B", WORKDAY(Main[[#This Row],[Tech Start Date]],15),IF(Main[[#This Row],[Class]]="A",WORKDAY(Main[[#This Row],[Tech Start Date]],5),""))))</f>
        <v/>
      </c>
      <c r="P989" s="77" t="str">
        <f>IF(Main[[#This Row],[Tech Start Date]]&lt;1/1/1990,"",IF(Main[[#This Row],[Class]]="C",WORKDAY(Main[[#This Row],[Tech Start Date]],28),IF(Main[[#This Row],[Class]]="B", WORKDAY(Main[[#This Row],[Tech Start Date]],19),IF(Main[[#This Row],[Class]]="A",WORKDAY(Main[[#This Row],[Tech Start Date]],9),""))))</f>
        <v/>
      </c>
      <c r="Q989" s="74"/>
      <c r="R989" s="74"/>
      <c r="S989" s="72" t="s">
        <v>17</v>
      </c>
      <c r="T989" s="80" t="s">
        <v>4</v>
      </c>
      <c r="U989" s="72" t="s">
        <v>7</v>
      </c>
      <c r="V989" s="72" t="s">
        <v>1935</v>
      </c>
      <c r="W989" s="72" t="s">
        <v>1937</v>
      </c>
      <c r="X989" s="72" t="s">
        <v>2969</v>
      </c>
      <c r="Y989" s="72" t="s">
        <v>3128</v>
      </c>
      <c r="Z989" s="72" t="s">
        <v>4</v>
      </c>
      <c r="AA989" s="147" t="s">
        <v>2969</v>
      </c>
    </row>
    <row r="990" spans="1:27" ht="18.600000000000001" customHeight="1">
      <c r="A990" s="140" t="str">
        <f>IF(priority(Main[[#This Row],[Comments]])&lt;&gt;0, priority(Main[[#This Row],[Comments]]),"")</f>
        <v/>
      </c>
      <c r="B990" s="90" t="s">
        <v>2081</v>
      </c>
      <c r="C990" s="72" t="s">
        <v>4</v>
      </c>
      <c r="D990" s="73" t="s">
        <v>2082</v>
      </c>
      <c r="E990" s="74">
        <v>40758.348310185182</v>
      </c>
      <c r="F990" s="74"/>
      <c r="G990" s="75" t="str">
        <f>IF(stdProdLT(Main[[#This Row],[Comments]])=0.1,"N/A",IF(stdProdLT(Main[[#This Row],[Comments]])=0,"",stdProdLT(Main[[#This Row],[Comments]])))</f>
        <v/>
      </c>
      <c r="H990" s="76" t="str">
        <f>IF(AND(Main[[#This Row],[In Stock Date]]&lt;&gt;"",Main[[#This Row],[Revised Due Date]]&lt;&gt;""),Main[[#This Row],[In Stock Date]]-Main[[#This Row],[Revised Due Date]],"")</f>
        <v/>
      </c>
      <c r="I990" s="72" t="s">
        <v>420</v>
      </c>
      <c r="J990" s="72" t="s">
        <v>28</v>
      </c>
      <c r="K990" s="72" t="s">
        <v>1939</v>
      </c>
      <c r="L990" s="74"/>
      <c r="M990" s="77" t="str">
        <f>IF(Main[[#This Row],[Tech Start Date]]&lt;1/1/1990,"",IF(Main[[#This Row],[Class]]="C",WORKDAY(Main[[#This Row],[Tech Start Date]],9),IF(Main[[#This Row],[Class]]="B", WORKDAY(Main[[#This Row],[Tech Start Date]],6),IF(Main[[#This Row],[Class]]="A",WORKDAY(Main[[#This Row],[Tech Start Date]],2),""))))</f>
        <v/>
      </c>
      <c r="N990" s="77" t="str">
        <f>IF(Main[[#This Row],[Tech Start Date]]&lt;1/1/1990,"",IF(Main[[#This Row],[Class]]="C",WORKDAY(Main[[#This Row],[Tech Start Date]],19),IF(Main[[#This Row],[Class]]="B", WORKDAY(Main[[#This Row],[Tech Start Date]],12),IF(Main[[#This Row],[Class]]="A",WORKDAY(Main[[#This Row],[Tech Start Date]],4),""))))</f>
        <v/>
      </c>
      <c r="O990" s="77" t="str">
        <f>IF(Main[[#This Row],[Tech Start Date]]&lt;1/1/1990,"",IF(Main[[#This Row],[Class]]="C",WORKDAY(Main[[#This Row],[Tech Start Date]],23),IF(Main[[#This Row],[Class]]="B", WORKDAY(Main[[#This Row],[Tech Start Date]],15),IF(Main[[#This Row],[Class]]="A",WORKDAY(Main[[#This Row],[Tech Start Date]],5),""))))</f>
        <v/>
      </c>
      <c r="P990" s="77" t="str">
        <f>IF(Main[[#This Row],[Tech Start Date]]&lt;1/1/1990,"",IF(Main[[#This Row],[Class]]="C",WORKDAY(Main[[#This Row],[Tech Start Date]],28),IF(Main[[#This Row],[Class]]="B", WORKDAY(Main[[#This Row],[Tech Start Date]],19),IF(Main[[#This Row],[Class]]="A",WORKDAY(Main[[#This Row],[Tech Start Date]],9),""))))</f>
        <v/>
      </c>
      <c r="Q990" s="74"/>
      <c r="R990" s="74"/>
      <c r="S990" s="72" t="s">
        <v>6</v>
      </c>
      <c r="T990" s="80" t="s">
        <v>4</v>
      </c>
      <c r="U990" s="72" t="s">
        <v>29</v>
      </c>
      <c r="V990" s="72" t="s">
        <v>1935</v>
      </c>
      <c r="W990" s="72" t="s">
        <v>1934</v>
      </c>
      <c r="X990" s="72" t="s">
        <v>2950</v>
      </c>
      <c r="Y990" s="72" t="s">
        <v>3087</v>
      </c>
      <c r="Z990" s="72" t="s">
        <v>420</v>
      </c>
      <c r="AA990" s="147" t="s">
        <v>2950</v>
      </c>
    </row>
    <row r="991" spans="1:27" ht="18.600000000000001" customHeight="1">
      <c r="A991" s="140" t="str">
        <f>IF(priority(Main[[#This Row],[Comments]])&lt;&gt;0, priority(Main[[#This Row],[Comments]]),"")</f>
        <v/>
      </c>
      <c r="B991" s="90" t="s">
        <v>2225</v>
      </c>
      <c r="C991" s="72" t="s">
        <v>4</v>
      </c>
      <c r="D991" s="73" t="s">
        <v>2226</v>
      </c>
      <c r="E991" s="74">
        <v>40784.953148148146</v>
      </c>
      <c r="F991" s="74"/>
      <c r="G991" s="75" t="str">
        <f>IF(stdProdLT(Main[[#This Row],[Comments]])=0.1,"N/A",IF(stdProdLT(Main[[#This Row],[Comments]])=0,"",stdProdLT(Main[[#This Row],[Comments]])))</f>
        <v/>
      </c>
      <c r="H991" s="76" t="str">
        <f>IF(AND(Main[[#This Row],[In Stock Date]]&lt;&gt;"",Main[[#This Row],[Revised Due Date]]&lt;&gt;""),Main[[#This Row],[In Stock Date]]-Main[[#This Row],[Revised Due Date]],"")</f>
        <v/>
      </c>
      <c r="I991" s="72" t="s">
        <v>494</v>
      </c>
      <c r="J991" s="72" t="s">
        <v>70</v>
      </c>
      <c r="K991" s="72" t="s">
        <v>1941</v>
      </c>
      <c r="L991" s="74"/>
      <c r="M991" s="77" t="str">
        <f>IF(Main[[#This Row],[Tech Start Date]]&lt;1/1/1990,"",IF(Main[[#This Row],[Class]]="C",WORKDAY(Main[[#This Row],[Tech Start Date]],9),IF(Main[[#This Row],[Class]]="B", WORKDAY(Main[[#This Row],[Tech Start Date]],6),IF(Main[[#This Row],[Class]]="A",WORKDAY(Main[[#This Row],[Tech Start Date]],2),""))))</f>
        <v/>
      </c>
      <c r="N991" s="77" t="str">
        <f>IF(Main[[#This Row],[Tech Start Date]]&lt;1/1/1990,"",IF(Main[[#This Row],[Class]]="C",WORKDAY(Main[[#This Row],[Tech Start Date]],19),IF(Main[[#This Row],[Class]]="B", WORKDAY(Main[[#This Row],[Tech Start Date]],12),IF(Main[[#This Row],[Class]]="A",WORKDAY(Main[[#This Row],[Tech Start Date]],4),""))))</f>
        <v/>
      </c>
      <c r="O991" s="77" t="str">
        <f>IF(Main[[#This Row],[Tech Start Date]]&lt;1/1/1990,"",IF(Main[[#This Row],[Class]]="C",WORKDAY(Main[[#This Row],[Tech Start Date]],23),IF(Main[[#This Row],[Class]]="B", WORKDAY(Main[[#This Row],[Tech Start Date]],15),IF(Main[[#This Row],[Class]]="A",WORKDAY(Main[[#This Row],[Tech Start Date]],5),""))))</f>
        <v/>
      </c>
      <c r="P991" s="77" t="str">
        <f>IF(Main[[#This Row],[Tech Start Date]]&lt;1/1/1990,"",IF(Main[[#This Row],[Class]]="C",WORKDAY(Main[[#This Row],[Tech Start Date]],28),IF(Main[[#This Row],[Class]]="B", WORKDAY(Main[[#This Row],[Tech Start Date]],19),IF(Main[[#This Row],[Class]]="A",WORKDAY(Main[[#This Row],[Tech Start Date]],9),""))))</f>
        <v/>
      </c>
      <c r="Q991" s="74">
        <v>40847</v>
      </c>
      <c r="R991" s="74"/>
      <c r="S991" s="72" t="s">
        <v>6</v>
      </c>
      <c r="T991" s="80" t="s">
        <v>4</v>
      </c>
      <c r="U991" s="72" t="s">
        <v>29</v>
      </c>
      <c r="V991" s="72" t="s">
        <v>1935</v>
      </c>
      <c r="W991" s="72" t="s">
        <v>1936</v>
      </c>
      <c r="X991" s="72" t="s">
        <v>30</v>
      </c>
      <c r="Y991" s="72" t="s">
        <v>3201</v>
      </c>
      <c r="Z991" s="72" t="s">
        <v>30</v>
      </c>
      <c r="AA991" s="147" t="s">
        <v>3631</v>
      </c>
    </row>
    <row r="992" spans="1:27" ht="18.600000000000001" customHeight="1">
      <c r="A992" s="140" t="str">
        <f>IF(priority(Main[[#This Row],[Comments]])&lt;&gt;0, priority(Main[[#This Row],[Comments]]),"")</f>
        <v/>
      </c>
      <c r="B992" s="90" t="s">
        <v>2002</v>
      </c>
      <c r="C992" s="72" t="s">
        <v>4</v>
      </c>
      <c r="D992" s="73" t="s">
        <v>2038</v>
      </c>
      <c r="E992" s="74">
        <v>40737.35056712963</v>
      </c>
      <c r="F992" s="74"/>
      <c r="G992" s="75" t="str">
        <f>IF(stdProdLT(Main[[#This Row],[Comments]])=0.1,"N/A",IF(stdProdLT(Main[[#This Row],[Comments]])=0,"",stdProdLT(Main[[#This Row],[Comments]])))</f>
        <v/>
      </c>
      <c r="H992" s="76" t="str">
        <f>IF(AND(Main[[#This Row],[In Stock Date]]&lt;&gt;"",Main[[#This Row],[Revised Due Date]]&lt;&gt;""),Main[[#This Row],[In Stock Date]]-Main[[#This Row],[Revised Due Date]],"")</f>
        <v/>
      </c>
      <c r="I992" s="72" t="s">
        <v>2035</v>
      </c>
      <c r="J992" s="72" t="s">
        <v>28</v>
      </c>
      <c r="K992" s="72" t="s">
        <v>4</v>
      </c>
      <c r="L992" s="74"/>
      <c r="M992" s="77" t="str">
        <f>IF(Main[[#This Row],[Tech Start Date]]&lt;1/1/1990,"",IF(Main[[#This Row],[Class]]="C",WORKDAY(Main[[#This Row],[Tech Start Date]],9),IF(Main[[#This Row],[Class]]="B", WORKDAY(Main[[#This Row],[Tech Start Date]],6),IF(Main[[#This Row],[Class]]="A",WORKDAY(Main[[#This Row],[Tech Start Date]],2),""))))</f>
        <v/>
      </c>
      <c r="N992" s="77" t="str">
        <f>IF(Main[[#This Row],[Tech Start Date]]&lt;1/1/1990,"",IF(Main[[#This Row],[Class]]="C",WORKDAY(Main[[#This Row],[Tech Start Date]],19),IF(Main[[#This Row],[Class]]="B", WORKDAY(Main[[#This Row],[Tech Start Date]],12),IF(Main[[#This Row],[Class]]="A",WORKDAY(Main[[#This Row],[Tech Start Date]],4),""))))</f>
        <v/>
      </c>
      <c r="O992" s="77" t="str">
        <f>IF(Main[[#This Row],[Tech Start Date]]&lt;1/1/1990,"",IF(Main[[#This Row],[Class]]="C",WORKDAY(Main[[#This Row],[Tech Start Date]],23),IF(Main[[#This Row],[Class]]="B", WORKDAY(Main[[#This Row],[Tech Start Date]],15),IF(Main[[#This Row],[Class]]="A",WORKDAY(Main[[#This Row],[Tech Start Date]],5),""))))</f>
        <v/>
      </c>
      <c r="P992" s="77" t="str">
        <f>IF(Main[[#This Row],[Tech Start Date]]&lt;1/1/1990,"",IF(Main[[#This Row],[Class]]="C",WORKDAY(Main[[#This Row],[Tech Start Date]],28),IF(Main[[#This Row],[Class]]="B", WORKDAY(Main[[#This Row],[Tech Start Date]],19),IF(Main[[#This Row],[Class]]="A",WORKDAY(Main[[#This Row],[Tech Start Date]],9),""))))</f>
        <v/>
      </c>
      <c r="Q992" s="74"/>
      <c r="R992" s="74"/>
      <c r="S992" s="72" t="s">
        <v>17</v>
      </c>
      <c r="T992" s="80" t="s">
        <v>4</v>
      </c>
      <c r="U992" s="72" t="s">
        <v>7</v>
      </c>
      <c r="V992" s="72" t="s">
        <v>1947</v>
      </c>
      <c r="W992" s="72" t="s">
        <v>1936</v>
      </c>
      <c r="X992" s="72" t="s">
        <v>933</v>
      </c>
      <c r="Y992" s="72" t="s">
        <v>3202</v>
      </c>
      <c r="Z992" s="72" t="s">
        <v>2237</v>
      </c>
      <c r="AA992" s="147" t="s">
        <v>3632</v>
      </c>
    </row>
    <row r="993" spans="1:27" ht="18.600000000000001" customHeight="1">
      <c r="A993" s="140" t="str">
        <f>IF(priority(Main[[#This Row],[Comments]])&lt;&gt;0, priority(Main[[#This Row],[Comments]]),"")</f>
        <v/>
      </c>
      <c r="B993" s="90" t="s">
        <v>1090</v>
      </c>
      <c r="C993" s="72" t="s">
        <v>4</v>
      </c>
      <c r="D993" s="73" t="s">
        <v>2188</v>
      </c>
      <c r="E993" s="74">
        <v>40696.780057870368</v>
      </c>
      <c r="F993" s="74"/>
      <c r="G993" s="75" t="str">
        <f>IF(stdProdLT(Main[[#This Row],[Comments]])=0.1,"N/A",IF(stdProdLT(Main[[#This Row],[Comments]])=0,"",stdProdLT(Main[[#This Row],[Comments]])))</f>
        <v/>
      </c>
      <c r="H993" s="76" t="str">
        <f>IF(AND(Main[[#This Row],[In Stock Date]]&lt;&gt;"",Main[[#This Row],[Revised Due Date]]&lt;&gt;""),Main[[#This Row],[In Stock Date]]-Main[[#This Row],[Revised Due Date]],"")</f>
        <v/>
      </c>
      <c r="I993" s="72" t="s">
        <v>494</v>
      </c>
      <c r="J993" s="72" t="s">
        <v>52</v>
      </c>
      <c r="K993" s="72" t="s">
        <v>1941</v>
      </c>
      <c r="L993" s="74"/>
      <c r="M993" s="77" t="str">
        <f>IF(Main[[#This Row],[Tech Start Date]]&lt;1/1/1990,"",IF(Main[[#This Row],[Class]]="C",WORKDAY(Main[[#This Row],[Tech Start Date]],9),IF(Main[[#This Row],[Class]]="B", WORKDAY(Main[[#This Row],[Tech Start Date]],6),IF(Main[[#This Row],[Class]]="A",WORKDAY(Main[[#This Row],[Tech Start Date]],2),""))))</f>
        <v/>
      </c>
      <c r="N993" s="77" t="str">
        <f>IF(Main[[#This Row],[Tech Start Date]]&lt;1/1/1990,"",IF(Main[[#This Row],[Class]]="C",WORKDAY(Main[[#This Row],[Tech Start Date]],19),IF(Main[[#This Row],[Class]]="B", WORKDAY(Main[[#This Row],[Tech Start Date]],12),IF(Main[[#This Row],[Class]]="A",WORKDAY(Main[[#This Row],[Tech Start Date]],4),""))))</f>
        <v/>
      </c>
      <c r="O993" s="77" t="str">
        <f>IF(Main[[#This Row],[Tech Start Date]]&lt;1/1/1990,"",IF(Main[[#This Row],[Class]]="C",WORKDAY(Main[[#This Row],[Tech Start Date]],23),IF(Main[[#This Row],[Class]]="B", WORKDAY(Main[[#This Row],[Tech Start Date]],15),IF(Main[[#This Row],[Class]]="A",WORKDAY(Main[[#This Row],[Tech Start Date]],5),""))))</f>
        <v/>
      </c>
      <c r="P993" s="77" t="str">
        <f>IF(Main[[#This Row],[Tech Start Date]]&lt;1/1/1990,"",IF(Main[[#This Row],[Class]]="C",WORKDAY(Main[[#This Row],[Tech Start Date]],28),IF(Main[[#This Row],[Class]]="B", WORKDAY(Main[[#This Row],[Tech Start Date]],19),IF(Main[[#This Row],[Class]]="A",WORKDAY(Main[[#This Row],[Tech Start Date]],9),""))))</f>
        <v/>
      </c>
      <c r="Q993" s="74">
        <v>40753</v>
      </c>
      <c r="R993" s="74"/>
      <c r="S993" s="72" t="s">
        <v>6</v>
      </c>
      <c r="T993" s="80" t="s">
        <v>4</v>
      </c>
      <c r="U993" s="72" t="s">
        <v>29</v>
      </c>
      <c r="V993" s="72" t="s">
        <v>1942</v>
      </c>
      <c r="W993" s="72" t="s">
        <v>1936</v>
      </c>
      <c r="X993" s="72" t="s">
        <v>30</v>
      </c>
      <c r="Y993" s="72" t="s">
        <v>3044</v>
      </c>
      <c r="Z993" s="72" t="s">
        <v>44</v>
      </c>
      <c r="AA993" s="147" t="s">
        <v>30</v>
      </c>
    </row>
    <row r="994" spans="1:27" ht="18.600000000000001" customHeight="1">
      <c r="A994" s="140" t="str">
        <f>IF(priority(Main[[#This Row],[Comments]])&lt;&gt;0, priority(Main[[#This Row],[Comments]]),"")</f>
        <v/>
      </c>
      <c r="B994" s="90" t="s">
        <v>1830</v>
      </c>
      <c r="C994" s="72" t="s">
        <v>67</v>
      </c>
      <c r="D994" s="73" t="s">
        <v>872</v>
      </c>
      <c r="E994" s="74">
        <v>39981.506990740738</v>
      </c>
      <c r="F994" s="74"/>
      <c r="G994" s="75" t="str">
        <f>IF(stdProdLT(Main[[#This Row],[Comments]])=0.1,"N/A",IF(stdProdLT(Main[[#This Row],[Comments]])=0,"",stdProdLT(Main[[#This Row],[Comments]])))</f>
        <v/>
      </c>
      <c r="H994" s="76" t="str">
        <f>IF(AND(Main[[#This Row],[In Stock Date]]&lt;&gt;"",Main[[#This Row],[Revised Due Date]]&lt;&gt;""),Main[[#This Row],[In Stock Date]]-Main[[#This Row],[Revised Due Date]],"")</f>
        <v/>
      </c>
      <c r="I994" s="72" t="s">
        <v>863</v>
      </c>
      <c r="J994" s="72" t="s">
        <v>4</v>
      </c>
      <c r="K994" s="72" t="s">
        <v>1945</v>
      </c>
      <c r="L994" s="74"/>
      <c r="M994" s="77" t="str">
        <f>IF(Main[[#This Row],[Tech Start Date]]&lt;1/1/1990,"",IF(Main[[#This Row],[Class]]="C",WORKDAY(Main[[#This Row],[Tech Start Date]],9),IF(Main[[#This Row],[Class]]="B", WORKDAY(Main[[#This Row],[Tech Start Date]],6),IF(Main[[#This Row],[Class]]="A",WORKDAY(Main[[#This Row],[Tech Start Date]],2),""))))</f>
        <v/>
      </c>
      <c r="N994" s="77" t="str">
        <f>IF(Main[[#This Row],[Tech Start Date]]&lt;1/1/1990,"",IF(Main[[#This Row],[Class]]="C",WORKDAY(Main[[#This Row],[Tech Start Date]],19),IF(Main[[#This Row],[Class]]="B", WORKDAY(Main[[#This Row],[Tech Start Date]],12),IF(Main[[#This Row],[Class]]="A",WORKDAY(Main[[#This Row],[Tech Start Date]],4),""))))</f>
        <v/>
      </c>
      <c r="O994" s="77" t="str">
        <f>IF(Main[[#This Row],[Tech Start Date]]&lt;1/1/1990,"",IF(Main[[#This Row],[Class]]="C",WORKDAY(Main[[#This Row],[Tech Start Date]],23),IF(Main[[#This Row],[Class]]="B", WORKDAY(Main[[#This Row],[Tech Start Date]],15),IF(Main[[#This Row],[Class]]="A",WORKDAY(Main[[#This Row],[Tech Start Date]],5),""))))</f>
        <v/>
      </c>
      <c r="P994" s="77" t="str">
        <f>IF(Main[[#This Row],[Tech Start Date]]&lt;1/1/1990,"",IF(Main[[#This Row],[Class]]="C",WORKDAY(Main[[#This Row],[Tech Start Date]],28),IF(Main[[#This Row],[Class]]="B", WORKDAY(Main[[#This Row],[Tech Start Date]],19),IF(Main[[#This Row],[Class]]="A",WORKDAY(Main[[#This Row],[Tech Start Date]],9),""))))</f>
        <v/>
      </c>
      <c r="Q994" s="74">
        <v>40142</v>
      </c>
      <c r="R994" s="74">
        <v>40259</v>
      </c>
      <c r="S994" s="72" t="s">
        <v>17</v>
      </c>
      <c r="T994" s="80" t="s">
        <v>4</v>
      </c>
      <c r="U994" s="72" t="s">
        <v>29</v>
      </c>
      <c r="V994" s="72" t="s">
        <v>1942</v>
      </c>
      <c r="W994" s="72" t="s">
        <v>1937</v>
      </c>
      <c r="X994" s="72" t="s">
        <v>2904</v>
      </c>
      <c r="Y994" s="72" t="s">
        <v>3115</v>
      </c>
      <c r="Z994" s="72" t="s">
        <v>81</v>
      </c>
      <c r="AA994" s="147" t="s">
        <v>3597</v>
      </c>
    </row>
    <row r="995" spans="1:27" ht="18.600000000000001" customHeight="1">
      <c r="A995" s="140" t="str">
        <f>IF(priority(Main[[#This Row],[Comments]])&lt;&gt;0, priority(Main[[#This Row],[Comments]]),"")</f>
        <v/>
      </c>
      <c r="B995" s="90" t="s">
        <v>2281</v>
      </c>
      <c r="C995" s="72" t="s">
        <v>4</v>
      </c>
      <c r="D995" s="73" t="s">
        <v>2282</v>
      </c>
      <c r="E995" s="74">
        <v>40806.34847222222</v>
      </c>
      <c r="F995" s="74"/>
      <c r="G995" s="75" t="str">
        <f>IF(stdProdLT(Main[[#This Row],[Comments]])=0.1,"N/A",IF(stdProdLT(Main[[#This Row],[Comments]])=0,"",stdProdLT(Main[[#This Row],[Comments]])))</f>
        <v/>
      </c>
      <c r="H995" s="76" t="str">
        <f>IF(AND(Main[[#This Row],[In Stock Date]]&lt;&gt;"",Main[[#This Row],[Revised Due Date]]&lt;&gt;""),Main[[#This Row],[In Stock Date]]-Main[[#This Row],[Revised Due Date]],"")</f>
        <v/>
      </c>
      <c r="I995" s="72" t="s">
        <v>4</v>
      </c>
      <c r="J995" s="72" t="s">
        <v>4</v>
      </c>
      <c r="K995" s="72" t="s">
        <v>4</v>
      </c>
      <c r="L995" s="74"/>
      <c r="M995" s="77" t="str">
        <f>IF(Main[[#This Row],[Tech Start Date]]&lt;1/1/1990,"",IF(Main[[#This Row],[Class]]="C",WORKDAY(Main[[#This Row],[Tech Start Date]],9),IF(Main[[#This Row],[Class]]="B", WORKDAY(Main[[#This Row],[Tech Start Date]],6),IF(Main[[#This Row],[Class]]="A",WORKDAY(Main[[#This Row],[Tech Start Date]],2),""))))</f>
        <v/>
      </c>
      <c r="N995" s="77" t="str">
        <f>IF(Main[[#This Row],[Tech Start Date]]&lt;1/1/1990,"",IF(Main[[#This Row],[Class]]="C",WORKDAY(Main[[#This Row],[Tech Start Date]],19),IF(Main[[#This Row],[Class]]="B", WORKDAY(Main[[#This Row],[Tech Start Date]],12),IF(Main[[#This Row],[Class]]="A",WORKDAY(Main[[#This Row],[Tech Start Date]],4),""))))</f>
        <v/>
      </c>
      <c r="O995" s="77" t="str">
        <f>IF(Main[[#This Row],[Tech Start Date]]&lt;1/1/1990,"",IF(Main[[#This Row],[Class]]="C",WORKDAY(Main[[#This Row],[Tech Start Date]],23),IF(Main[[#This Row],[Class]]="B", WORKDAY(Main[[#This Row],[Tech Start Date]],15),IF(Main[[#This Row],[Class]]="A",WORKDAY(Main[[#This Row],[Tech Start Date]],5),""))))</f>
        <v/>
      </c>
      <c r="P995" s="77" t="str">
        <f>IF(Main[[#This Row],[Tech Start Date]]&lt;1/1/1990,"",IF(Main[[#This Row],[Class]]="C",WORKDAY(Main[[#This Row],[Tech Start Date]],28),IF(Main[[#This Row],[Class]]="B", WORKDAY(Main[[#This Row],[Tech Start Date]],19),IF(Main[[#This Row],[Class]]="A",WORKDAY(Main[[#This Row],[Tech Start Date]],9),""))))</f>
        <v/>
      </c>
      <c r="Q995" s="74">
        <v>40820</v>
      </c>
      <c r="R995" s="74"/>
      <c r="S995" s="72" t="s">
        <v>6</v>
      </c>
      <c r="T995" s="80" t="s">
        <v>4</v>
      </c>
      <c r="U995" s="72" t="s">
        <v>7</v>
      </c>
      <c r="V995" s="72" t="s">
        <v>1932</v>
      </c>
      <c r="W995" s="72" t="s">
        <v>4</v>
      </c>
      <c r="X995" s="72" t="s">
        <v>2935</v>
      </c>
      <c r="Y995" s="72" t="s">
        <v>3073</v>
      </c>
      <c r="Z995" s="72" t="s">
        <v>4</v>
      </c>
      <c r="AA995" s="147" t="s">
        <v>2935</v>
      </c>
    </row>
    <row r="996" spans="1:27" ht="18.600000000000001" customHeight="1">
      <c r="A996" s="140" t="str">
        <f>IF(priority(Main[[#This Row],[Comments]])&lt;&gt;0, priority(Main[[#This Row],[Comments]]),"")</f>
        <v/>
      </c>
      <c r="B996" s="90" t="s">
        <v>2146</v>
      </c>
      <c r="C996" s="72" t="s">
        <v>4</v>
      </c>
      <c r="D996" s="73" t="s">
        <v>2147</v>
      </c>
      <c r="E996" s="74">
        <v>40764.689583333333</v>
      </c>
      <c r="F996" s="74"/>
      <c r="G996" s="75" t="str">
        <f>IF(stdProdLT(Main[[#This Row],[Comments]])=0.1,"N/A",IF(stdProdLT(Main[[#This Row],[Comments]])=0,"",stdProdLT(Main[[#This Row],[Comments]])))</f>
        <v/>
      </c>
      <c r="H996" s="76" t="str">
        <f>IF(AND(Main[[#This Row],[In Stock Date]]&lt;&gt;"",Main[[#This Row],[Revised Due Date]]&lt;&gt;""),Main[[#This Row],[In Stock Date]]-Main[[#This Row],[Revised Due Date]],"")</f>
        <v/>
      </c>
      <c r="I996" s="72" t="s">
        <v>888</v>
      </c>
      <c r="J996" s="72" t="s">
        <v>4</v>
      </c>
      <c r="K996" s="81" t="s">
        <v>4</v>
      </c>
      <c r="L996" s="74"/>
      <c r="M996" s="77" t="str">
        <f>IF(Main[[#This Row],[Tech Start Date]]&lt;1/1/1990,"",IF(Main[[#This Row],[Class]]="C",WORKDAY(Main[[#This Row],[Tech Start Date]],9),IF(Main[[#This Row],[Class]]="B", WORKDAY(Main[[#This Row],[Tech Start Date]],6),IF(Main[[#This Row],[Class]]="A",WORKDAY(Main[[#This Row],[Tech Start Date]],2),""))))</f>
        <v/>
      </c>
      <c r="N996" s="77" t="str">
        <f>IF(Main[[#This Row],[Tech Start Date]]&lt;1/1/1990,"",IF(Main[[#This Row],[Class]]="C",WORKDAY(Main[[#This Row],[Tech Start Date]],19),IF(Main[[#This Row],[Class]]="B", WORKDAY(Main[[#This Row],[Tech Start Date]],12),IF(Main[[#This Row],[Class]]="A",WORKDAY(Main[[#This Row],[Tech Start Date]],4),""))))</f>
        <v/>
      </c>
      <c r="O996" s="77" t="str">
        <f>IF(Main[[#This Row],[Tech Start Date]]&lt;1/1/1990,"",IF(Main[[#This Row],[Class]]="C",WORKDAY(Main[[#This Row],[Tech Start Date]],23),IF(Main[[#This Row],[Class]]="B", WORKDAY(Main[[#This Row],[Tech Start Date]],15),IF(Main[[#This Row],[Class]]="A",WORKDAY(Main[[#This Row],[Tech Start Date]],5),""))))</f>
        <v/>
      </c>
      <c r="P996" s="77" t="str">
        <f>IF(Main[[#This Row],[Tech Start Date]]&lt;1/1/1990,"",IF(Main[[#This Row],[Class]]="C",WORKDAY(Main[[#This Row],[Tech Start Date]],28),IF(Main[[#This Row],[Class]]="B", WORKDAY(Main[[#This Row],[Tech Start Date]],19),IF(Main[[#This Row],[Class]]="A",WORKDAY(Main[[#This Row],[Tech Start Date]],9),""))))</f>
        <v/>
      </c>
      <c r="Q996" s="74"/>
      <c r="R996" s="74"/>
      <c r="S996" s="72" t="s">
        <v>6</v>
      </c>
      <c r="T996" s="80" t="s">
        <v>4</v>
      </c>
      <c r="U996" s="72" t="s">
        <v>7</v>
      </c>
      <c r="V996" s="72" t="s">
        <v>1932</v>
      </c>
      <c r="W996" s="72" t="s">
        <v>1934</v>
      </c>
      <c r="X996" s="72" t="s">
        <v>310</v>
      </c>
      <c r="Y996" s="72" t="s">
        <v>4</v>
      </c>
      <c r="Z996" s="72" t="s">
        <v>888</v>
      </c>
      <c r="AA996" s="147" t="s">
        <v>4</v>
      </c>
    </row>
    <row r="997" spans="1:27" ht="18.600000000000001" customHeight="1">
      <c r="A997" s="140" t="str">
        <f>IF(priority(Main[[#This Row],[Comments]])&lt;&gt;0, priority(Main[[#This Row],[Comments]]),"")</f>
        <v/>
      </c>
      <c r="B997" s="90" t="s">
        <v>2724</v>
      </c>
      <c r="C997" s="72" t="s">
        <v>4</v>
      </c>
      <c r="D997" s="73" t="s">
        <v>2725</v>
      </c>
      <c r="E997" s="74">
        <v>40882.142546296294</v>
      </c>
      <c r="F997" s="74"/>
      <c r="G997" s="75" t="str">
        <f>IF(stdProdLT(Main[[#This Row],[Comments]])=0.1,"N/A",IF(stdProdLT(Main[[#This Row],[Comments]])=0,"",stdProdLT(Main[[#This Row],[Comments]])))</f>
        <v/>
      </c>
      <c r="H997" s="76" t="str">
        <f>IF(AND(Main[[#This Row],[In Stock Date]]&lt;&gt;"",Main[[#This Row],[Revised Due Date]]&lt;&gt;""),Main[[#This Row],[In Stock Date]]-Main[[#This Row],[Revised Due Date]],"")</f>
        <v/>
      </c>
      <c r="I997" s="72" t="s">
        <v>69</v>
      </c>
      <c r="J997" s="72" t="s">
        <v>70</v>
      </c>
      <c r="K997" s="72" t="s">
        <v>1941</v>
      </c>
      <c r="L997" s="74"/>
      <c r="M997" s="77" t="str">
        <f>IF(Main[[#This Row],[Tech Start Date]]&lt;1/1/1990,"",IF(Main[[#This Row],[Class]]="C",WORKDAY(Main[[#This Row],[Tech Start Date]],9),IF(Main[[#This Row],[Class]]="B", WORKDAY(Main[[#This Row],[Tech Start Date]],6),IF(Main[[#This Row],[Class]]="A",WORKDAY(Main[[#This Row],[Tech Start Date]],2),""))))</f>
        <v/>
      </c>
      <c r="N997" s="77" t="str">
        <f>IF(Main[[#This Row],[Tech Start Date]]&lt;1/1/1990,"",IF(Main[[#This Row],[Class]]="C",WORKDAY(Main[[#This Row],[Tech Start Date]],19),IF(Main[[#This Row],[Class]]="B", WORKDAY(Main[[#This Row],[Tech Start Date]],12),IF(Main[[#This Row],[Class]]="A",WORKDAY(Main[[#This Row],[Tech Start Date]],4),""))))</f>
        <v/>
      </c>
      <c r="O997" s="77" t="str">
        <f>IF(Main[[#This Row],[Tech Start Date]]&lt;1/1/1990,"",IF(Main[[#This Row],[Class]]="C",WORKDAY(Main[[#This Row],[Tech Start Date]],23),IF(Main[[#This Row],[Class]]="B", WORKDAY(Main[[#This Row],[Tech Start Date]],15),IF(Main[[#This Row],[Class]]="A",WORKDAY(Main[[#This Row],[Tech Start Date]],5),""))))</f>
        <v/>
      </c>
      <c r="P997" s="77" t="str">
        <f>IF(Main[[#This Row],[Tech Start Date]]&lt;1/1/1990,"",IF(Main[[#This Row],[Class]]="C",WORKDAY(Main[[#This Row],[Tech Start Date]],28),IF(Main[[#This Row],[Class]]="B", WORKDAY(Main[[#This Row],[Tech Start Date]],19),IF(Main[[#This Row],[Class]]="A",WORKDAY(Main[[#This Row],[Tech Start Date]],9),""))))</f>
        <v/>
      </c>
      <c r="Q997" s="74">
        <v>40913</v>
      </c>
      <c r="R997" s="74"/>
      <c r="S997" s="72" t="s">
        <v>6</v>
      </c>
      <c r="T997" s="80" t="s">
        <v>4</v>
      </c>
      <c r="U997" s="72" t="s">
        <v>29</v>
      </c>
      <c r="V997" s="72" t="s">
        <v>1935</v>
      </c>
      <c r="W997" s="72" t="s">
        <v>1936</v>
      </c>
      <c r="X997" s="72" t="s">
        <v>2906</v>
      </c>
      <c r="Y997" s="72" t="s">
        <v>3025</v>
      </c>
      <c r="Z997" s="72" t="s">
        <v>30</v>
      </c>
      <c r="AA997" s="147" t="s">
        <v>2906</v>
      </c>
    </row>
    <row r="998" spans="1:27" ht="18.600000000000001" customHeight="1">
      <c r="A998" s="140" t="str">
        <f>IF(priority(Main[[#This Row],[Comments]])&lt;&gt;0, priority(Main[[#This Row],[Comments]]),"")</f>
        <v/>
      </c>
      <c r="B998" s="90" t="s">
        <v>1088</v>
      </c>
      <c r="C998" s="72" t="s">
        <v>4</v>
      </c>
      <c r="D998" s="73" t="s">
        <v>2261</v>
      </c>
      <c r="E998" s="74">
        <v>40659.528229166666</v>
      </c>
      <c r="F998" s="74"/>
      <c r="G998" s="75" t="str">
        <f>IF(stdProdLT(Main[[#This Row],[Comments]])=0.1,"N/A",IF(stdProdLT(Main[[#This Row],[Comments]])=0,"",stdProdLT(Main[[#This Row],[Comments]])))</f>
        <v/>
      </c>
      <c r="H998" s="76" t="str">
        <f>IF(AND(Main[[#This Row],[In Stock Date]]&lt;&gt;"",Main[[#This Row],[Revised Due Date]]&lt;&gt;""),Main[[#This Row],[In Stock Date]]-Main[[#This Row],[Revised Due Date]],"")</f>
        <v/>
      </c>
      <c r="I998" s="72" t="s">
        <v>102</v>
      </c>
      <c r="J998" s="72" t="s">
        <v>51</v>
      </c>
      <c r="K998" s="72" t="s">
        <v>1941</v>
      </c>
      <c r="L998" s="74"/>
      <c r="M998" s="77" t="str">
        <f>IF(Main[[#This Row],[Tech Start Date]]&lt;1/1/1990,"",IF(Main[[#This Row],[Class]]="C",WORKDAY(Main[[#This Row],[Tech Start Date]],9),IF(Main[[#This Row],[Class]]="B", WORKDAY(Main[[#This Row],[Tech Start Date]],6),IF(Main[[#This Row],[Class]]="A",WORKDAY(Main[[#This Row],[Tech Start Date]],2),""))))</f>
        <v/>
      </c>
      <c r="N998" s="77" t="str">
        <f>IF(Main[[#This Row],[Tech Start Date]]&lt;1/1/1990,"",IF(Main[[#This Row],[Class]]="C",WORKDAY(Main[[#This Row],[Tech Start Date]],19),IF(Main[[#This Row],[Class]]="B", WORKDAY(Main[[#This Row],[Tech Start Date]],12),IF(Main[[#This Row],[Class]]="A",WORKDAY(Main[[#This Row],[Tech Start Date]],4),""))))</f>
        <v/>
      </c>
      <c r="O998" s="77" t="str">
        <f>IF(Main[[#This Row],[Tech Start Date]]&lt;1/1/1990,"",IF(Main[[#This Row],[Class]]="C",WORKDAY(Main[[#This Row],[Tech Start Date]],23),IF(Main[[#This Row],[Class]]="B", WORKDAY(Main[[#This Row],[Tech Start Date]],15),IF(Main[[#This Row],[Class]]="A",WORKDAY(Main[[#This Row],[Tech Start Date]],5),""))))</f>
        <v/>
      </c>
      <c r="P998" s="77" t="str">
        <f>IF(Main[[#This Row],[Tech Start Date]]&lt;1/1/1990,"",IF(Main[[#This Row],[Class]]="C",WORKDAY(Main[[#This Row],[Tech Start Date]],28),IF(Main[[#This Row],[Class]]="B", WORKDAY(Main[[#This Row],[Tech Start Date]],19),IF(Main[[#This Row],[Class]]="A",WORKDAY(Main[[#This Row],[Tech Start Date]],9),""))))</f>
        <v/>
      </c>
      <c r="Q998" s="74"/>
      <c r="R998" s="74"/>
      <c r="S998" s="72" t="s">
        <v>6</v>
      </c>
      <c r="T998" s="80" t="s">
        <v>4</v>
      </c>
      <c r="U998" s="72" t="s">
        <v>29</v>
      </c>
      <c r="V998" s="72" t="s">
        <v>1935</v>
      </c>
      <c r="W998" s="72" t="s">
        <v>1936</v>
      </c>
      <c r="X998" s="72" t="s">
        <v>102</v>
      </c>
      <c r="Y998" s="72" t="s">
        <v>3203</v>
      </c>
      <c r="Z998" s="72" t="s">
        <v>310</v>
      </c>
      <c r="AA998" s="147" t="s">
        <v>3633</v>
      </c>
    </row>
    <row r="999" spans="1:27" ht="18.600000000000001" customHeight="1">
      <c r="A999" s="140" t="str">
        <f>IF(priority(Main[[#This Row],[Comments]])&lt;&gt;0, priority(Main[[#This Row],[Comments]]),"")</f>
        <v/>
      </c>
      <c r="B999" s="90" t="s">
        <v>1801</v>
      </c>
      <c r="C999" s="72" t="s">
        <v>837</v>
      </c>
      <c r="D999" s="73" t="s">
        <v>838</v>
      </c>
      <c r="E999" s="74"/>
      <c r="F999" s="74"/>
      <c r="G999" s="75" t="str">
        <f>IF(stdProdLT(Main[[#This Row],[Comments]])=0.1,"N/A",IF(stdProdLT(Main[[#This Row],[Comments]])=0,"",stdProdLT(Main[[#This Row],[Comments]])))</f>
        <v/>
      </c>
      <c r="H999" s="76" t="str">
        <f>IF(AND(Main[[#This Row],[In Stock Date]]&lt;&gt;"",Main[[#This Row],[Revised Due Date]]&lt;&gt;""),Main[[#This Row],[In Stock Date]]-Main[[#This Row],[Revised Due Date]],"")</f>
        <v/>
      </c>
      <c r="I999" s="72" t="s">
        <v>4</v>
      </c>
      <c r="J999" s="72" t="s">
        <v>4</v>
      </c>
      <c r="K999" s="81" t="s">
        <v>4</v>
      </c>
      <c r="L999" s="74"/>
      <c r="M999" s="77" t="str">
        <f>IF(Main[[#This Row],[Tech Start Date]]&lt;1/1/1990,"",IF(Main[[#This Row],[Class]]="C",WORKDAY(Main[[#This Row],[Tech Start Date]],9),IF(Main[[#This Row],[Class]]="B", WORKDAY(Main[[#This Row],[Tech Start Date]],6),IF(Main[[#This Row],[Class]]="A",WORKDAY(Main[[#This Row],[Tech Start Date]],2),""))))</f>
        <v/>
      </c>
      <c r="N999" s="77" t="str">
        <f>IF(Main[[#This Row],[Tech Start Date]]&lt;1/1/1990,"",IF(Main[[#This Row],[Class]]="C",WORKDAY(Main[[#This Row],[Tech Start Date]],19),IF(Main[[#This Row],[Class]]="B", WORKDAY(Main[[#This Row],[Tech Start Date]],12),IF(Main[[#This Row],[Class]]="A",WORKDAY(Main[[#This Row],[Tech Start Date]],4),""))))</f>
        <v/>
      </c>
      <c r="O999" s="77" t="str">
        <f>IF(Main[[#This Row],[Tech Start Date]]&lt;1/1/1990,"",IF(Main[[#This Row],[Class]]="C",WORKDAY(Main[[#This Row],[Tech Start Date]],23),IF(Main[[#This Row],[Class]]="B", WORKDAY(Main[[#This Row],[Tech Start Date]],15),IF(Main[[#This Row],[Class]]="A",WORKDAY(Main[[#This Row],[Tech Start Date]],5),""))))</f>
        <v/>
      </c>
      <c r="P999" s="77" t="str">
        <f>IF(Main[[#This Row],[Tech Start Date]]&lt;1/1/1990,"",IF(Main[[#This Row],[Class]]="C",WORKDAY(Main[[#This Row],[Tech Start Date]],28),IF(Main[[#This Row],[Class]]="B", WORKDAY(Main[[#This Row],[Tech Start Date]],19),IF(Main[[#This Row],[Class]]="A",WORKDAY(Main[[#This Row],[Tech Start Date]],9),""))))</f>
        <v/>
      </c>
      <c r="Q999" s="74"/>
      <c r="R999" s="74"/>
      <c r="S999" s="72" t="s">
        <v>11</v>
      </c>
      <c r="T999" s="80" t="s">
        <v>4</v>
      </c>
      <c r="U999" s="72" t="s">
        <v>14</v>
      </c>
      <c r="V999" s="72" t="s">
        <v>1933</v>
      </c>
      <c r="W999" s="72" t="s">
        <v>1937</v>
      </c>
      <c r="X999" s="72" t="s">
        <v>2973</v>
      </c>
      <c r="Y999" s="72" t="s">
        <v>4</v>
      </c>
      <c r="Z999" s="72" t="s">
        <v>4</v>
      </c>
      <c r="AA999" s="147" t="s">
        <v>3634</v>
      </c>
    </row>
    <row r="1000" spans="1:27" ht="18.600000000000001" customHeight="1">
      <c r="A1000" s="140" t="str">
        <f>IF(priority(Main[[#This Row],[Comments]])&lt;&gt;0, priority(Main[[#This Row],[Comments]]),"")</f>
        <v/>
      </c>
      <c r="B1000" s="90" t="s">
        <v>2152</v>
      </c>
      <c r="C1000" s="72" t="s">
        <v>4</v>
      </c>
      <c r="D1000" s="73" t="s">
        <v>2153</v>
      </c>
      <c r="E1000" s="74">
        <v>40760.662685185183</v>
      </c>
      <c r="F1000" s="74"/>
      <c r="G1000" s="75" t="str">
        <f>IF(stdProdLT(Main[[#This Row],[Comments]])=0.1,"N/A",IF(stdProdLT(Main[[#This Row],[Comments]])=0,"",stdProdLT(Main[[#This Row],[Comments]])))</f>
        <v/>
      </c>
      <c r="H1000" s="76" t="str">
        <f>IF(AND(Main[[#This Row],[In Stock Date]]&lt;&gt;"",Main[[#This Row],[Revised Due Date]]&lt;&gt;""),Main[[#This Row],[In Stock Date]]-Main[[#This Row],[Revised Due Date]],"")</f>
        <v/>
      </c>
      <c r="I1000" s="72" t="s">
        <v>4</v>
      </c>
      <c r="J1000" s="72" t="s">
        <v>4</v>
      </c>
      <c r="K1000" s="72" t="s">
        <v>4</v>
      </c>
      <c r="L1000" s="74"/>
      <c r="M1000" s="77" t="str">
        <f>IF(Main[[#This Row],[Tech Start Date]]&lt;1/1/1990,"",IF(Main[[#This Row],[Class]]="C",WORKDAY(Main[[#This Row],[Tech Start Date]],9),IF(Main[[#This Row],[Class]]="B", WORKDAY(Main[[#This Row],[Tech Start Date]],6),IF(Main[[#This Row],[Class]]="A",WORKDAY(Main[[#This Row],[Tech Start Date]],2),""))))</f>
        <v/>
      </c>
      <c r="N1000" s="77" t="str">
        <f>IF(Main[[#This Row],[Tech Start Date]]&lt;1/1/1990,"",IF(Main[[#This Row],[Class]]="C",WORKDAY(Main[[#This Row],[Tech Start Date]],19),IF(Main[[#This Row],[Class]]="B", WORKDAY(Main[[#This Row],[Tech Start Date]],12),IF(Main[[#This Row],[Class]]="A",WORKDAY(Main[[#This Row],[Tech Start Date]],4),""))))</f>
        <v/>
      </c>
      <c r="O1000" s="77" t="str">
        <f>IF(Main[[#This Row],[Tech Start Date]]&lt;1/1/1990,"",IF(Main[[#This Row],[Class]]="C",WORKDAY(Main[[#This Row],[Tech Start Date]],23),IF(Main[[#This Row],[Class]]="B", WORKDAY(Main[[#This Row],[Tech Start Date]],15),IF(Main[[#This Row],[Class]]="A",WORKDAY(Main[[#This Row],[Tech Start Date]],5),""))))</f>
        <v/>
      </c>
      <c r="P1000" s="77" t="str">
        <f>IF(Main[[#This Row],[Tech Start Date]]&lt;1/1/1990,"",IF(Main[[#This Row],[Class]]="C",WORKDAY(Main[[#This Row],[Tech Start Date]],28),IF(Main[[#This Row],[Class]]="B", WORKDAY(Main[[#This Row],[Tech Start Date]],19),IF(Main[[#This Row],[Class]]="A",WORKDAY(Main[[#This Row],[Tech Start Date]],9),""))))</f>
        <v/>
      </c>
      <c r="Q1000" s="74"/>
      <c r="R1000" s="74"/>
      <c r="S1000" s="72" t="s">
        <v>6</v>
      </c>
      <c r="T1000" s="80" t="s">
        <v>4</v>
      </c>
      <c r="U1000" s="72" t="s">
        <v>7</v>
      </c>
      <c r="V1000" s="72" t="s">
        <v>1932</v>
      </c>
      <c r="W1000" s="72" t="s">
        <v>4</v>
      </c>
      <c r="X1000" s="72" t="s">
        <v>310</v>
      </c>
      <c r="Y1000" s="72" t="s">
        <v>4</v>
      </c>
      <c r="Z1000" s="72" t="s">
        <v>4</v>
      </c>
      <c r="AA1000" s="147" t="s">
        <v>3578</v>
      </c>
    </row>
    <row r="1001" spans="1:27" ht="18.600000000000001" customHeight="1">
      <c r="A1001" s="140" t="str">
        <f>IF(priority(Main[[#This Row],[Comments]])&lt;&gt;0, priority(Main[[#This Row],[Comments]]),"")</f>
        <v/>
      </c>
      <c r="B1001" s="90" t="s">
        <v>2807</v>
      </c>
      <c r="C1001" s="72" t="s">
        <v>2808</v>
      </c>
      <c r="D1001" s="73" t="s">
        <v>2809</v>
      </c>
      <c r="E1001" s="74">
        <v>40883.362615740742</v>
      </c>
      <c r="F1001" s="74"/>
      <c r="G1001" s="75" t="str">
        <f>IF(stdProdLT(Main[[#This Row],[Comments]])=0.1,"N/A",IF(stdProdLT(Main[[#This Row],[Comments]])=0,"",stdProdLT(Main[[#This Row],[Comments]])))</f>
        <v/>
      </c>
      <c r="H1001" s="76" t="str">
        <f>IF(AND(Main[[#This Row],[In Stock Date]]&lt;&gt;"",Main[[#This Row],[Revised Due Date]]&lt;&gt;""),Main[[#This Row],[In Stock Date]]-Main[[#This Row],[Revised Due Date]],"")</f>
        <v/>
      </c>
      <c r="I1001" s="72" t="s">
        <v>4</v>
      </c>
      <c r="J1001" s="72" t="s">
        <v>4</v>
      </c>
      <c r="K1001" s="72" t="s">
        <v>4</v>
      </c>
      <c r="L1001" s="74"/>
      <c r="M1001" s="77" t="str">
        <f>IF(Main[[#This Row],[Tech Start Date]]&lt;1/1/1990,"",IF(Main[[#This Row],[Class]]="C",WORKDAY(Main[[#This Row],[Tech Start Date]],9),IF(Main[[#This Row],[Class]]="B", WORKDAY(Main[[#This Row],[Tech Start Date]],6),IF(Main[[#This Row],[Class]]="A",WORKDAY(Main[[#This Row],[Tech Start Date]],2),""))))</f>
        <v/>
      </c>
      <c r="N1001" s="77" t="str">
        <f>IF(Main[[#This Row],[Tech Start Date]]&lt;1/1/1990,"",IF(Main[[#This Row],[Class]]="C",WORKDAY(Main[[#This Row],[Tech Start Date]],19),IF(Main[[#This Row],[Class]]="B", WORKDAY(Main[[#This Row],[Tech Start Date]],12),IF(Main[[#This Row],[Class]]="A",WORKDAY(Main[[#This Row],[Tech Start Date]],4),""))))</f>
        <v/>
      </c>
      <c r="O1001" s="77" t="str">
        <f>IF(Main[[#This Row],[Tech Start Date]]&lt;1/1/1990,"",IF(Main[[#This Row],[Class]]="C",WORKDAY(Main[[#This Row],[Tech Start Date]],23),IF(Main[[#This Row],[Class]]="B", WORKDAY(Main[[#This Row],[Tech Start Date]],15),IF(Main[[#This Row],[Class]]="A",WORKDAY(Main[[#This Row],[Tech Start Date]],5),""))))</f>
        <v/>
      </c>
      <c r="P1001" s="77" t="str">
        <f>IF(Main[[#This Row],[Tech Start Date]]&lt;1/1/1990,"",IF(Main[[#This Row],[Class]]="C",WORKDAY(Main[[#This Row],[Tech Start Date]],28),IF(Main[[#This Row],[Class]]="B", WORKDAY(Main[[#This Row],[Tech Start Date]],19),IF(Main[[#This Row],[Class]]="A",WORKDAY(Main[[#This Row],[Tech Start Date]],9),""))))</f>
        <v/>
      </c>
      <c r="Q1001" s="74"/>
      <c r="R1001" s="74"/>
      <c r="S1001" s="72" t="s">
        <v>17</v>
      </c>
      <c r="T1001" s="80" t="s">
        <v>4</v>
      </c>
      <c r="U1001" s="72" t="s">
        <v>7</v>
      </c>
      <c r="V1001" s="72" t="s">
        <v>1935</v>
      </c>
      <c r="W1001" s="72" t="s">
        <v>1937</v>
      </c>
      <c r="X1001" s="72" t="s">
        <v>659</v>
      </c>
      <c r="Y1001" s="72" t="s">
        <v>3215</v>
      </c>
      <c r="Z1001" s="72" t="s">
        <v>4</v>
      </c>
      <c r="AA1001" s="147" t="s">
        <v>659</v>
      </c>
    </row>
    <row r="1002" spans="1:27" ht="18.600000000000001" customHeight="1">
      <c r="A1002" s="140" t="str">
        <f>IF(priority(Main[[#This Row],[Comments]])&lt;&gt;0, priority(Main[[#This Row],[Comments]]),"")</f>
        <v/>
      </c>
      <c r="B1002" s="90" t="s">
        <v>1816</v>
      </c>
      <c r="C1002" s="72" t="s">
        <v>4</v>
      </c>
      <c r="D1002" s="73" t="s">
        <v>853</v>
      </c>
      <c r="E1002" s="74"/>
      <c r="F1002" s="74"/>
      <c r="G1002" s="75" t="str">
        <f>IF(stdProdLT(Main[[#This Row],[Comments]])=0.1,"N/A",IF(stdProdLT(Main[[#This Row],[Comments]])=0,"",stdProdLT(Main[[#This Row],[Comments]])))</f>
        <v/>
      </c>
      <c r="H1002" s="76" t="str">
        <f>IF(AND(Main[[#This Row],[In Stock Date]]&lt;&gt;"",Main[[#This Row],[Revised Due Date]]&lt;&gt;""),Main[[#This Row],[In Stock Date]]-Main[[#This Row],[Revised Due Date]],"")</f>
        <v/>
      </c>
      <c r="I1002" s="72" t="s">
        <v>50</v>
      </c>
      <c r="J1002" s="72" t="s">
        <v>28</v>
      </c>
      <c r="K1002" s="72" t="s">
        <v>1941</v>
      </c>
      <c r="L1002" s="74"/>
      <c r="M1002" s="77" t="str">
        <f>IF(Main[[#This Row],[Tech Start Date]]&lt;1/1/1990,"",IF(Main[[#This Row],[Class]]="C",WORKDAY(Main[[#This Row],[Tech Start Date]],9),IF(Main[[#This Row],[Class]]="B", WORKDAY(Main[[#This Row],[Tech Start Date]],6),IF(Main[[#This Row],[Class]]="A",WORKDAY(Main[[#This Row],[Tech Start Date]],2),""))))</f>
        <v/>
      </c>
      <c r="N1002" s="77" t="str">
        <f>IF(Main[[#This Row],[Tech Start Date]]&lt;1/1/1990,"",IF(Main[[#This Row],[Class]]="C",WORKDAY(Main[[#This Row],[Tech Start Date]],19),IF(Main[[#This Row],[Class]]="B", WORKDAY(Main[[#This Row],[Tech Start Date]],12),IF(Main[[#This Row],[Class]]="A",WORKDAY(Main[[#This Row],[Tech Start Date]],4),""))))</f>
        <v/>
      </c>
      <c r="O1002" s="77" t="str">
        <f>IF(Main[[#This Row],[Tech Start Date]]&lt;1/1/1990,"",IF(Main[[#This Row],[Class]]="C",WORKDAY(Main[[#This Row],[Tech Start Date]],23),IF(Main[[#This Row],[Class]]="B", WORKDAY(Main[[#This Row],[Tech Start Date]],15),IF(Main[[#This Row],[Class]]="A",WORKDAY(Main[[#This Row],[Tech Start Date]],5),""))))</f>
        <v/>
      </c>
      <c r="P1002" s="77" t="str">
        <f>IF(Main[[#This Row],[Tech Start Date]]&lt;1/1/1990,"",IF(Main[[#This Row],[Class]]="C",WORKDAY(Main[[#This Row],[Tech Start Date]],28),IF(Main[[#This Row],[Class]]="B", WORKDAY(Main[[#This Row],[Tech Start Date]],19),IF(Main[[#This Row],[Class]]="A",WORKDAY(Main[[#This Row],[Tech Start Date]],9),""))))</f>
        <v/>
      </c>
      <c r="Q1002" s="74"/>
      <c r="R1002" s="74"/>
      <c r="S1002" s="72" t="s">
        <v>6</v>
      </c>
      <c r="T1002" s="80" t="s">
        <v>4</v>
      </c>
      <c r="U1002" s="72" t="s">
        <v>14</v>
      </c>
      <c r="V1002" s="72" t="s">
        <v>1935</v>
      </c>
      <c r="W1002" s="72" t="s">
        <v>1936</v>
      </c>
      <c r="X1002" s="72" t="s">
        <v>2950</v>
      </c>
      <c r="Y1002" s="72" t="s">
        <v>3087</v>
      </c>
      <c r="Z1002" s="72" t="s">
        <v>44</v>
      </c>
      <c r="AA1002" s="147" t="s">
        <v>2950</v>
      </c>
    </row>
    <row r="1003" spans="1:27" ht="18.600000000000001" customHeight="1">
      <c r="A1003" s="140" t="str">
        <f>IF(priority(Main[[#This Row],[Comments]])&lt;&gt;0, priority(Main[[#This Row],[Comments]]),"")</f>
        <v/>
      </c>
      <c r="B1003" s="90" t="s">
        <v>1817</v>
      </c>
      <c r="C1003" s="72" t="s">
        <v>498</v>
      </c>
      <c r="D1003" s="73" t="s">
        <v>854</v>
      </c>
      <c r="E1003" s="74"/>
      <c r="F1003" s="74"/>
      <c r="G1003" s="75" t="str">
        <f>IF(stdProdLT(Main[[#This Row],[Comments]])=0.1,"N/A",IF(stdProdLT(Main[[#This Row],[Comments]])=0,"",stdProdLT(Main[[#This Row],[Comments]])))</f>
        <v/>
      </c>
      <c r="H1003" s="76" t="str">
        <f>IF(AND(Main[[#This Row],[In Stock Date]]&lt;&gt;"",Main[[#This Row],[Revised Due Date]]&lt;&gt;""),Main[[#This Row],[In Stock Date]]-Main[[#This Row],[Revised Due Date]],"")</f>
        <v/>
      </c>
      <c r="I1003" s="72" t="s">
        <v>4</v>
      </c>
      <c r="J1003" s="72" t="s">
        <v>4</v>
      </c>
      <c r="K1003" s="72" t="s">
        <v>4</v>
      </c>
      <c r="L1003" s="74"/>
      <c r="M1003" s="77" t="str">
        <f>IF(Main[[#This Row],[Tech Start Date]]&lt;1/1/1990,"",IF(Main[[#This Row],[Class]]="C",WORKDAY(Main[[#This Row],[Tech Start Date]],9),IF(Main[[#This Row],[Class]]="B", WORKDAY(Main[[#This Row],[Tech Start Date]],6),IF(Main[[#This Row],[Class]]="A",WORKDAY(Main[[#This Row],[Tech Start Date]],2),""))))</f>
        <v/>
      </c>
      <c r="N1003" s="77" t="str">
        <f>IF(Main[[#This Row],[Tech Start Date]]&lt;1/1/1990,"",IF(Main[[#This Row],[Class]]="C",WORKDAY(Main[[#This Row],[Tech Start Date]],19),IF(Main[[#This Row],[Class]]="B", WORKDAY(Main[[#This Row],[Tech Start Date]],12),IF(Main[[#This Row],[Class]]="A",WORKDAY(Main[[#This Row],[Tech Start Date]],4),""))))</f>
        <v/>
      </c>
      <c r="O1003" s="77" t="str">
        <f>IF(Main[[#This Row],[Tech Start Date]]&lt;1/1/1990,"",IF(Main[[#This Row],[Class]]="C",WORKDAY(Main[[#This Row],[Tech Start Date]],23),IF(Main[[#This Row],[Class]]="B", WORKDAY(Main[[#This Row],[Tech Start Date]],15),IF(Main[[#This Row],[Class]]="A",WORKDAY(Main[[#This Row],[Tech Start Date]],5),""))))</f>
        <v/>
      </c>
      <c r="P1003" s="77" t="str">
        <f>IF(Main[[#This Row],[Tech Start Date]]&lt;1/1/1990,"",IF(Main[[#This Row],[Class]]="C",WORKDAY(Main[[#This Row],[Tech Start Date]],28),IF(Main[[#This Row],[Class]]="B", WORKDAY(Main[[#This Row],[Tech Start Date]],19),IF(Main[[#This Row],[Class]]="A",WORKDAY(Main[[#This Row],[Tech Start Date]],9),""))))</f>
        <v/>
      </c>
      <c r="Q1003" s="74">
        <v>40239</v>
      </c>
      <c r="R1003" s="74"/>
      <c r="S1003" s="72" t="s">
        <v>11</v>
      </c>
      <c r="T1003" s="80" t="s">
        <v>4</v>
      </c>
      <c r="U1003" s="72" t="s">
        <v>14</v>
      </c>
      <c r="V1003" s="72" t="s">
        <v>1935</v>
      </c>
      <c r="W1003" s="72" t="s">
        <v>1934</v>
      </c>
      <c r="X1003" s="72" t="s">
        <v>2980</v>
      </c>
      <c r="Y1003" s="72" t="s">
        <v>4</v>
      </c>
      <c r="Z1003" s="72" t="s">
        <v>4</v>
      </c>
      <c r="AA1003" s="147" t="s">
        <v>2980</v>
      </c>
    </row>
    <row r="1004" spans="1:27" ht="18.600000000000001" customHeight="1">
      <c r="A1004" s="140" t="str">
        <f>IF(priority(Main[[#This Row],[Comments]])&lt;&gt;0, priority(Main[[#This Row],[Comments]]),"")</f>
        <v/>
      </c>
      <c r="B1004" s="90" t="s">
        <v>2593</v>
      </c>
      <c r="C1004" s="72" t="s">
        <v>4</v>
      </c>
      <c r="D1004" s="73" t="s">
        <v>2594</v>
      </c>
      <c r="E1004" s="74">
        <v>40861.17015046296</v>
      </c>
      <c r="F1004" s="74"/>
      <c r="G1004" s="75" t="str">
        <f>IF(stdProdLT(Main[[#This Row],[Comments]])=0.1,"N/A",IF(stdProdLT(Main[[#This Row],[Comments]])=0,"",stdProdLT(Main[[#This Row],[Comments]])))</f>
        <v/>
      </c>
      <c r="H1004" s="76" t="str">
        <f>IF(AND(Main[[#This Row],[In Stock Date]]&lt;&gt;"",Main[[#This Row],[Revised Due Date]]&lt;&gt;""),Main[[#This Row],[In Stock Date]]-Main[[#This Row],[Revised Due Date]],"")</f>
        <v/>
      </c>
      <c r="I1004" s="72" t="s">
        <v>69</v>
      </c>
      <c r="J1004" s="72" t="s">
        <v>70</v>
      </c>
      <c r="K1004" s="72" t="s">
        <v>1941</v>
      </c>
      <c r="L1004" s="74"/>
      <c r="M1004" s="77" t="str">
        <f>IF(Main[[#This Row],[Tech Start Date]]&lt;1/1/1990,"",IF(Main[[#This Row],[Class]]="C",WORKDAY(Main[[#This Row],[Tech Start Date]],9),IF(Main[[#This Row],[Class]]="B", WORKDAY(Main[[#This Row],[Tech Start Date]],6),IF(Main[[#This Row],[Class]]="A",WORKDAY(Main[[#This Row],[Tech Start Date]],2),""))))</f>
        <v/>
      </c>
      <c r="N1004" s="77" t="str">
        <f>IF(Main[[#This Row],[Tech Start Date]]&lt;1/1/1990,"",IF(Main[[#This Row],[Class]]="C",WORKDAY(Main[[#This Row],[Tech Start Date]],19),IF(Main[[#This Row],[Class]]="B", WORKDAY(Main[[#This Row],[Tech Start Date]],12),IF(Main[[#This Row],[Class]]="A",WORKDAY(Main[[#This Row],[Tech Start Date]],4),""))))</f>
        <v/>
      </c>
      <c r="O1004" s="77" t="str">
        <f>IF(Main[[#This Row],[Tech Start Date]]&lt;1/1/1990,"",IF(Main[[#This Row],[Class]]="C",WORKDAY(Main[[#This Row],[Tech Start Date]],23),IF(Main[[#This Row],[Class]]="B", WORKDAY(Main[[#This Row],[Tech Start Date]],15),IF(Main[[#This Row],[Class]]="A",WORKDAY(Main[[#This Row],[Tech Start Date]],5),""))))</f>
        <v/>
      </c>
      <c r="P1004" s="77" t="str">
        <f>IF(Main[[#This Row],[Tech Start Date]]&lt;1/1/1990,"",IF(Main[[#This Row],[Class]]="C",WORKDAY(Main[[#This Row],[Tech Start Date]],28),IF(Main[[#This Row],[Class]]="B", WORKDAY(Main[[#This Row],[Tech Start Date]],19),IF(Main[[#This Row],[Class]]="A",WORKDAY(Main[[#This Row],[Tech Start Date]],9),""))))</f>
        <v/>
      </c>
      <c r="Q1004" s="74">
        <v>40891</v>
      </c>
      <c r="R1004" s="74"/>
      <c r="S1004" s="72" t="s">
        <v>6</v>
      </c>
      <c r="T1004" s="80" t="s">
        <v>4</v>
      </c>
      <c r="U1004" s="72" t="s">
        <v>29</v>
      </c>
      <c r="V1004" s="72" t="s">
        <v>1935</v>
      </c>
      <c r="W1004" s="72" t="s">
        <v>1936</v>
      </c>
      <c r="X1004" s="72" t="s">
        <v>2906</v>
      </c>
      <c r="Y1004" s="72" t="s">
        <v>3025</v>
      </c>
      <c r="Z1004" s="72" t="s">
        <v>30</v>
      </c>
      <c r="AA1004" s="147" t="s">
        <v>2906</v>
      </c>
    </row>
    <row r="1005" spans="1:27" ht="18.600000000000001" customHeight="1">
      <c r="A1005" s="140" t="str">
        <f>IF(priority(Main[[#This Row],[Comments]])&lt;&gt;0, priority(Main[[#This Row],[Comments]]),"")</f>
        <v/>
      </c>
      <c r="B1005" s="90" t="s">
        <v>1818</v>
      </c>
      <c r="C1005" s="72" t="s">
        <v>4</v>
      </c>
      <c r="D1005" s="73" t="s">
        <v>855</v>
      </c>
      <c r="E1005" s="74"/>
      <c r="F1005" s="74"/>
      <c r="G1005" s="75" t="str">
        <f>IF(stdProdLT(Main[[#This Row],[Comments]])=0.1,"N/A",IF(stdProdLT(Main[[#This Row],[Comments]])=0,"",stdProdLT(Main[[#This Row],[Comments]])))</f>
        <v/>
      </c>
      <c r="H1005" s="76" t="str">
        <f>IF(AND(Main[[#This Row],[In Stock Date]]&lt;&gt;"",Main[[#This Row],[Revised Due Date]]&lt;&gt;""),Main[[#This Row],[In Stock Date]]-Main[[#This Row],[Revised Due Date]],"")</f>
        <v/>
      </c>
      <c r="I1005" s="72" t="s">
        <v>4</v>
      </c>
      <c r="J1005" s="72" t="s">
        <v>4</v>
      </c>
      <c r="K1005" s="72" t="s">
        <v>4</v>
      </c>
      <c r="L1005" s="74"/>
      <c r="M1005" s="77" t="str">
        <f>IF(Main[[#This Row],[Tech Start Date]]&lt;1/1/1990,"",IF(Main[[#This Row],[Class]]="C",WORKDAY(Main[[#This Row],[Tech Start Date]],9),IF(Main[[#This Row],[Class]]="B", WORKDAY(Main[[#This Row],[Tech Start Date]],6),IF(Main[[#This Row],[Class]]="A",WORKDAY(Main[[#This Row],[Tech Start Date]],2),""))))</f>
        <v/>
      </c>
      <c r="N1005" s="77" t="str">
        <f>IF(Main[[#This Row],[Tech Start Date]]&lt;1/1/1990,"",IF(Main[[#This Row],[Class]]="C",WORKDAY(Main[[#This Row],[Tech Start Date]],19),IF(Main[[#This Row],[Class]]="B", WORKDAY(Main[[#This Row],[Tech Start Date]],12),IF(Main[[#This Row],[Class]]="A",WORKDAY(Main[[#This Row],[Tech Start Date]],4),""))))</f>
        <v/>
      </c>
      <c r="O1005" s="77" t="str">
        <f>IF(Main[[#This Row],[Tech Start Date]]&lt;1/1/1990,"",IF(Main[[#This Row],[Class]]="C",WORKDAY(Main[[#This Row],[Tech Start Date]],23),IF(Main[[#This Row],[Class]]="B", WORKDAY(Main[[#This Row],[Tech Start Date]],15),IF(Main[[#This Row],[Class]]="A",WORKDAY(Main[[#This Row],[Tech Start Date]],5),""))))</f>
        <v/>
      </c>
      <c r="P1005" s="77" t="str">
        <f>IF(Main[[#This Row],[Tech Start Date]]&lt;1/1/1990,"",IF(Main[[#This Row],[Class]]="C",WORKDAY(Main[[#This Row],[Tech Start Date]],28),IF(Main[[#This Row],[Class]]="B", WORKDAY(Main[[#This Row],[Tech Start Date]],19),IF(Main[[#This Row],[Class]]="A",WORKDAY(Main[[#This Row],[Tech Start Date]],9),""))))</f>
        <v/>
      </c>
      <c r="Q1005" s="74">
        <v>40349</v>
      </c>
      <c r="R1005" s="74"/>
      <c r="S1005" s="72" t="s">
        <v>6</v>
      </c>
      <c r="T1005" s="80" t="s">
        <v>4</v>
      </c>
      <c r="U1005" s="72" t="s">
        <v>14</v>
      </c>
      <c r="V1005" s="72" t="s">
        <v>1935</v>
      </c>
      <c r="W1005" s="72" t="s">
        <v>4</v>
      </c>
      <c r="X1005" s="72" t="s">
        <v>2903</v>
      </c>
      <c r="Y1005" s="72" t="s">
        <v>3019</v>
      </c>
      <c r="Z1005" s="72" t="s">
        <v>4</v>
      </c>
      <c r="AA1005" s="147" t="s">
        <v>2903</v>
      </c>
    </row>
    <row r="1006" spans="1:27" ht="18.600000000000001" customHeight="1">
      <c r="A1006" s="140" t="str">
        <f>IF(priority(Main[[#This Row],[Comments]])&lt;&gt;0, priority(Main[[#This Row],[Comments]]),"")</f>
        <v/>
      </c>
      <c r="B1006" s="90" t="s">
        <v>2223</v>
      </c>
      <c r="C1006" s="72" t="s">
        <v>4</v>
      </c>
      <c r="D1006" s="73" t="s">
        <v>2224</v>
      </c>
      <c r="E1006" s="74"/>
      <c r="F1006" s="74"/>
      <c r="G1006" s="75" t="str">
        <f>IF(stdProdLT(Main[[#This Row],[Comments]])=0.1,"N/A",IF(stdProdLT(Main[[#This Row],[Comments]])=0,"",stdProdLT(Main[[#This Row],[Comments]])))</f>
        <v/>
      </c>
      <c r="H1006" s="76" t="str">
        <f>IF(AND(Main[[#This Row],[In Stock Date]]&lt;&gt;"",Main[[#This Row],[Revised Due Date]]&lt;&gt;""),Main[[#This Row],[In Stock Date]]-Main[[#This Row],[Revised Due Date]],"")</f>
        <v/>
      </c>
      <c r="I1006" s="72" t="s">
        <v>4</v>
      </c>
      <c r="J1006" s="72" t="s">
        <v>4</v>
      </c>
      <c r="K1006" s="72" t="s">
        <v>4</v>
      </c>
      <c r="L1006" s="74"/>
      <c r="M1006" s="77" t="str">
        <f>IF(Main[[#This Row],[Tech Start Date]]&lt;1/1/1990,"",IF(Main[[#This Row],[Class]]="C",WORKDAY(Main[[#This Row],[Tech Start Date]],9),IF(Main[[#This Row],[Class]]="B", WORKDAY(Main[[#This Row],[Tech Start Date]],6),IF(Main[[#This Row],[Class]]="A",WORKDAY(Main[[#This Row],[Tech Start Date]],2),""))))</f>
        <v/>
      </c>
      <c r="N1006" s="77" t="str">
        <f>IF(Main[[#This Row],[Tech Start Date]]&lt;1/1/1990,"",IF(Main[[#This Row],[Class]]="C",WORKDAY(Main[[#This Row],[Tech Start Date]],19),IF(Main[[#This Row],[Class]]="B", WORKDAY(Main[[#This Row],[Tech Start Date]],12),IF(Main[[#This Row],[Class]]="A",WORKDAY(Main[[#This Row],[Tech Start Date]],4),""))))</f>
        <v/>
      </c>
      <c r="O1006" s="77" t="str">
        <f>IF(Main[[#This Row],[Tech Start Date]]&lt;1/1/1990,"",IF(Main[[#This Row],[Class]]="C",WORKDAY(Main[[#This Row],[Tech Start Date]],23),IF(Main[[#This Row],[Class]]="B", WORKDAY(Main[[#This Row],[Tech Start Date]],15),IF(Main[[#This Row],[Class]]="A",WORKDAY(Main[[#This Row],[Tech Start Date]],5),""))))</f>
        <v/>
      </c>
      <c r="P1006" s="77" t="str">
        <f>IF(Main[[#This Row],[Tech Start Date]]&lt;1/1/1990,"",IF(Main[[#This Row],[Class]]="C",WORKDAY(Main[[#This Row],[Tech Start Date]],28),IF(Main[[#This Row],[Class]]="B", WORKDAY(Main[[#This Row],[Tech Start Date]],19),IF(Main[[#This Row],[Class]]="A",WORKDAY(Main[[#This Row],[Tech Start Date]],9),""))))</f>
        <v/>
      </c>
      <c r="Q1006" s="74"/>
      <c r="R1006" s="74"/>
      <c r="S1006" s="72" t="s">
        <v>6</v>
      </c>
      <c r="T1006" s="80" t="s">
        <v>4</v>
      </c>
      <c r="U1006" s="72" t="s">
        <v>14</v>
      </c>
      <c r="V1006" s="72" t="s">
        <v>1933</v>
      </c>
      <c r="W1006" s="72" t="s">
        <v>4</v>
      </c>
      <c r="X1006" s="72" t="s">
        <v>310</v>
      </c>
      <c r="Y1006" s="72" t="s">
        <v>4</v>
      </c>
      <c r="Z1006" s="72" t="s">
        <v>4</v>
      </c>
      <c r="AA1006" s="147" t="s">
        <v>4</v>
      </c>
    </row>
    <row r="1007" spans="1:27" ht="18.600000000000001" customHeight="1">
      <c r="A1007" s="140" t="str">
        <f>IF(priority(Main[[#This Row],[Comments]])&lt;&gt;0, priority(Main[[#This Row],[Comments]]),"")</f>
        <v/>
      </c>
      <c r="B1007" s="90" t="s">
        <v>1820</v>
      </c>
      <c r="C1007" s="72" t="s">
        <v>47</v>
      </c>
      <c r="D1007" s="73" t="s">
        <v>860</v>
      </c>
      <c r="E1007" s="74"/>
      <c r="F1007" s="74"/>
      <c r="G1007" s="75" t="str">
        <f>IF(stdProdLT(Main[[#This Row],[Comments]])=0.1,"N/A",IF(stdProdLT(Main[[#This Row],[Comments]])=0,"",stdProdLT(Main[[#This Row],[Comments]])))</f>
        <v/>
      </c>
      <c r="H1007" s="76" t="str">
        <f>IF(AND(Main[[#This Row],[In Stock Date]]&lt;&gt;"",Main[[#This Row],[Revised Due Date]]&lt;&gt;""),Main[[#This Row],[In Stock Date]]-Main[[#This Row],[Revised Due Date]],"")</f>
        <v/>
      </c>
      <c r="I1007" s="72" t="s">
        <v>4</v>
      </c>
      <c r="J1007" s="72" t="s">
        <v>4</v>
      </c>
      <c r="K1007" s="72" t="s">
        <v>4</v>
      </c>
      <c r="L1007" s="74"/>
      <c r="M1007" s="77" t="str">
        <f>IF(Main[[#This Row],[Tech Start Date]]&lt;1/1/1990,"",IF(Main[[#This Row],[Class]]="C",WORKDAY(Main[[#This Row],[Tech Start Date]],9),IF(Main[[#This Row],[Class]]="B", WORKDAY(Main[[#This Row],[Tech Start Date]],6),IF(Main[[#This Row],[Class]]="A",WORKDAY(Main[[#This Row],[Tech Start Date]],2),""))))</f>
        <v/>
      </c>
      <c r="N1007" s="77" t="str">
        <f>IF(Main[[#This Row],[Tech Start Date]]&lt;1/1/1990,"",IF(Main[[#This Row],[Class]]="C",WORKDAY(Main[[#This Row],[Tech Start Date]],19),IF(Main[[#This Row],[Class]]="B", WORKDAY(Main[[#This Row],[Tech Start Date]],12),IF(Main[[#This Row],[Class]]="A",WORKDAY(Main[[#This Row],[Tech Start Date]],4),""))))</f>
        <v/>
      </c>
      <c r="O1007" s="77" t="str">
        <f>IF(Main[[#This Row],[Tech Start Date]]&lt;1/1/1990,"",IF(Main[[#This Row],[Class]]="C",WORKDAY(Main[[#This Row],[Tech Start Date]],23),IF(Main[[#This Row],[Class]]="B", WORKDAY(Main[[#This Row],[Tech Start Date]],15),IF(Main[[#This Row],[Class]]="A",WORKDAY(Main[[#This Row],[Tech Start Date]],5),""))))</f>
        <v/>
      </c>
      <c r="P1007" s="77" t="str">
        <f>IF(Main[[#This Row],[Tech Start Date]]&lt;1/1/1990,"",IF(Main[[#This Row],[Class]]="C",WORKDAY(Main[[#This Row],[Tech Start Date]],28),IF(Main[[#This Row],[Class]]="B", WORKDAY(Main[[#This Row],[Tech Start Date]],19),IF(Main[[#This Row],[Class]]="A",WORKDAY(Main[[#This Row],[Tech Start Date]],9),""))))</f>
        <v/>
      </c>
      <c r="Q1007" s="74"/>
      <c r="R1007" s="74"/>
      <c r="S1007" s="72" t="s">
        <v>17</v>
      </c>
      <c r="T1007" s="80" t="s">
        <v>4</v>
      </c>
      <c r="U1007" s="72" t="s">
        <v>14</v>
      </c>
      <c r="V1007" s="72" t="s">
        <v>1935</v>
      </c>
      <c r="W1007" s="72" t="s">
        <v>1937</v>
      </c>
      <c r="X1007" s="72" t="s">
        <v>2911</v>
      </c>
      <c r="Y1007" s="72" t="s">
        <v>3199</v>
      </c>
      <c r="Z1007" s="72" t="s">
        <v>4</v>
      </c>
      <c r="AA1007" s="147" t="s">
        <v>2911</v>
      </c>
    </row>
    <row r="1008" spans="1:27" ht="18.600000000000001" customHeight="1">
      <c r="A1008" s="140" t="str">
        <f>IF(priority(Main[[#This Row],[Comments]])&lt;&gt;0, priority(Main[[#This Row],[Comments]]),"")</f>
        <v/>
      </c>
      <c r="B1008" s="90" t="s">
        <v>1810</v>
      </c>
      <c r="C1008" s="72" t="s">
        <v>4</v>
      </c>
      <c r="D1008" s="73" t="s">
        <v>847</v>
      </c>
      <c r="E1008" s="74"/>
      <c r="F1008" s="74">
        <v>40574</v>
      </c>
      <c r="G1008" s="75" t="str">
        <f>IF(stdProdLT(Main[[#This Row],[Comments]])=0.1,"N/A",IF(stdProdLT(Main[[#This Row],[Comments]])=0,"",stdProdLT(Main[[#This Row],[Comments]])))</f>
        <v/>
      </c>
      <c r="H1008" s="76" t="str">
        <f>IF(AND(Main[[#This Row],[In Stock Date]]&lt;&gt;"",Main[[#This Row],[Revised Due Date]]&lt;&gt;""),Main[[#This Row],[In Stock Date]]-Main[[#This Row],[Revised Due Date]],"")</f>
        <v/>
      </c>
      <c r="I1008" s="72" t="s">
        <v>4</v>
      </c>
      <c r="J1008" s="72" t="s">
        <v>4</v>
      </c>
      <c r="K1008" s="72" t="s">
        <v>4</v>
      </c>
      <c r="L1008" s="74"/>
      <c r="M1008" s="77" t="str">
        <f>IF(Main[[#This Row],[Tech Start Date]]&lt;1/1/1990,"",IF(Main[[#This Row],[Class]]="C",WORKDAY(Main[[#This Row],[Tech Start Date]],9),IF(Main[[#This Row],[Class]]="B", WORKDAY(Main[[#This Row],[Tech Start Date]],6),IF(Main[[#This Row],[Class]]="A",WORKDAY(Main[[#This Row],[Tech Start Date]],2),""))))</f>
        <v/>
      </c>
      <c r="N1008" s="77" t="str">
        <f>IF(Main[[#This Row],[Tech Start Date]]&lt;1/1/1990,"",IF(Main[[#This Row],[Class]]="C",WORKDAY(Main[[#This Row],[Tech Start Date]],19),IF(Main[[#This Row],[Class]]="B", WORKDAY(Main[[#This Row],[Tech Start Date]],12),IF(Main[[#This Row],[Class]]="A",WORKDAY(Main[[#This Row],[Tech Start Date]],4),""))))</f>
        <v/>
      </c>
      <c r="O1008" s="77" t="str">
        <f>IF(Main[[#This Row],[Tech Start Date]]&lt;1/1/1990,"",IF(Main[[#This Row],[Class]]="C",WORKDAY(Main[[#This Row],[Tech Start Date]],23),IF(Main[[#This Row],[Class]]="B", WORKDAY(Main[[#This Row],[Tech Start Date]],15),IF(Main[[#This Row],[Class]]="A",WORKDAY(Main[[#This Row],[Tech Start Date]],5),""))))</f>
        <v/>
      </c>
      <c r="P1008" s="77" t="str">
        <f>IF(Main[[#This Row],[Tech Start Date]]&lt;1/1/1990,"",IF(Main[[#This Row],[Class]]="C",WORKDAY(Main[[#This Row],[Tech Start Date]],28),IF(Main[[#This Row],[Class]]="B", WORKDAY(Main[[#This Row],[Tech Start Date]],19),IF(Main[[#This Row],[Class]]="A",WORKDAY(Main[[#This Row],[Tech Start Date]],9),""))))</f>
        <v/>
      </c>
      <c r="Q1008" s="74"/>
      <c r="R1008" s="74"/>
      <c r="S1008" s="72" t="s">
        <v>17</v>
      </c>
      <c r="T1008" s="80" t="s">
        <v>4</v>
      </c>
      <c r="U1008" s="72" t="s">
        <v>14</v>
      </c>
      <c r="V1008" s="72" t="s">
        <v>1935</v>
      </c>
      <c r="W1008" s="72" t="s">
        <v>1937</v>
      </c>
      <c r="X1008" s="72" t="s">
        <v>50</v>
      </c>
      <c r="Y1008" s="72" t="s">
        <v>3072</v>
      </c>
      <c r="Z1008" s="72" t="s">
        <v>4</v>
      </c>
      <c r="AA1008" s="147" t="s">
        <v>65</v>
      </c>
    </row>
    <row r="1009" spans="1:27" ht="18.600000000000001" customHeight="1">
      <c r="A1009" s="140" t="str">
        <f>IF(priority(Main[[#This Row],[Comments]])&lt;&gt;0, priority(Main[[#This Row],[Comments]]),"")</f>
        <v/>
      </c>
      <c r="B1009" s="90" t="s">
        <v>1811</v>
      </c>
      <c r="C1009" s="72" t="s">
        <v>93</v>
      </c>
      <c r="D1009" s="73" t="s">
        <v>848</v>
      </c>
      <c r="E1009" s="74"/>
      <c r="F1009" s="74">
        <v>40132</v>
      </c>
      <c r="G1009" s="75" t="str">
        <f>IF(stdProdLT(Main[[#This Row],[Comments]])=0.1,"N/A",IF(stdProdLT(Main[[#This Row],[Comments]])=0,"",stdProdLT(Main[[#This Row],[Comments]])))</f>
        <v/>
      </c>
      <c r="H1009" s="76" t="str">
        <f>IF(AND(Main[[#This Row],[In Stock Date]]&lt;&gt;"",Main[[#This Row],[Revised Due Date]]&lt;&gt;""),Main[[#This Row],[In Stock Date]]-Main[[#This Row],[Revised Due Date]],"")</f>
        <v/>
      </c>
      <c r="I1009" s="72" t="s">
        <v>4</v>
      </c>
      <c r="J1009" s="72" t="s">
        <v>4</v>
      </c>
      <c r="K1009" s="72" t="s">
        <v>4</v>
      </c>
      <c r="L1009" s="74"/>
      <c r="M1009" s="77" t="str">
        <f>IF(Main[[#This Row],[Tech Start Date]]&lt;1/1/1990,"",IF(Main[[#This Row],[Class]]="C",WORKDAY(Main[[#This Row],[Tech Start Date]],9),IF(Main[[#This Row],[Class]]="B", WORKDAY(Main[[#This Row],[Tech Start Date]],6),IF(Main[[#This Row],[Class]]="A",WORKDAY(Main[[#This Row],[Tech Start Date]],2),""))))</f>
        <v/>
      </c>
      <c r="N1009" s="77" t="str">
        <f>IF(Main[[#This Row],[Tech Start Date]]&lt;1/1/1990,"",IF(Main[[#This Row],[Class]]="C",WORKDAY(Main[[#This Row],[Tech Start Date]],19),IF(Main[[#This Row],[Class]]="B", WORKDAY(Main[[#This Row],[Tech Start Date]],12),IF(Main[[#This Row],[Class]]="A",WORKDAY(Main[[#This Row],[Tech Start Date]],4),""))))</f>
        <v/>
      </c>
      <c r="O1009" s="77" t="str">
        <f>IF(Main[[#This Row],[Tech Start Date]]&lt;1/1/1990,"",IF(Main[[#This Row],[Class]]="C",WORKDAY(Main[[#This Row],[Tech Start Date]],23),IF(Main[[#This Row],[Class]]="B", WORKDAY(Main[[#This Row],[Tech Start Date]],15),IF(Main[[#This Row],[Class]]="A",WORKDAY(Main[[#This Row],[Tech Start Date]],5),""))))</f>
        <v/>
      </c>
      <c r="P1009" s="77" t="str">
        <f>IF(Main[[#This Row],[Tech Start Date]]&lt;1/1/1990,"",IF(Main[[#This Row],[Class]]="C",WORKDAY(Main[[#This Row],[Tech Start Date]],28),IF(Main[[#This Row],[Class]]="B", WORKDAY(Main[[#This Row],[Tech Start Date]],19),IF(Main[[#This Row],[Class]]="A",WORKDAY(Main[[#This Row],[Tech Start Date]],9),""))))</f>
        <v/>
      </c>
      <c r="Q1009" s="74">
        <v>40132</v>
      </c>
      <c r="R1009" s="74"/>
      <c r="S1009" s="72" t="s">
        <v>11</v>
      </c>
      <c r="T1009" s="80" t="s">
        <v>4</v>
      </c>
      <c r="U1009" s="72" t="s">
        <v>14</v>
      </c>
      <c r="V1009" s="72" t="s">
        <v>1935</v>
      </c>
      <c r="W1009" s="72" t="s">
        <v>1943</v>
      </c>
      <c r="X1009" s="72" t="s">
        <v>2940</v>
      </c>
      <c r="Y1009" s="72" t="s">
        <v>4</v>
      </c>
      <c r="Z1009" s="72" t="s">
        <v>4</v>
      </c>
      <c r="AA1009" s="147" t="s">
        <v>2940</v>
      </c>
    </row>
    <row r="1010" spans="1:27" ht="18.600000000000001" customHeight="1">
      <c r="A1010" s="140" t="str">
        <f>IF(priority(Main[[#This Row],[Comments]])&lt;&gt;0, priority(Main[[#This Row],[Comments]]),"")</f>
        <v/>
      </c>
      <c r="B1010" s="90" t="s">
        <v>1812</v>
      </c>
      <c r="C1010" s="72" t="s">
        <v>113</v>
      </c>
      <c r="D1010" s="73" t="s">
        <v>849</v>
      </c>
      <c r="E1010" s="74"/>
      <c r="F1010" s="74"/>
      <c r="G1010" s="75" t="str">
        <f>IF(stdProdLT(Main[[#This Row],[Comments]])=0.1,"N/A",IF(stdProdLT(Main[[#This Row],[Comments]])=0,"",stdProdLT(Main[[#This Row],[Comments]])))</f>
        <v/>
      </c>
      <c r="H1010" s="76" t="str">
        <f>IF(AND(Main[[#This Row],[In Stock Date]]&lt;&gt;"",Main[[#This Row],[Revised Due Date]]&lt;&gt;""),Main[[#This Row],[In Stock Date]]-Main[[#This Row],[Revised Due Date]],"")</f>
        <v/>
      </c>
      <c r="I1010" s="72" t="s">
        <v>4</v>
      </c>
      <c r="J1010" s="72" t="s">
        <v>28</v>
      </c>
      <c r="K1010" s="72" t="s">
        <v>1944</v>
      </c>
      <c r="L1010" s="74"/>
      <c r="M1010" s="77" t="str">
        <f>IF(Main[[#This Row],[Tech Start Date]]&lt;1/1/1990,"",IF(Main[[#This Row],[Class]]="C",WORKDAY(Main[[#This Row],[Tech Start Date]],9),IF(Main[[#This Row],[Class]]="B", WORKDAY(Main[[#This Row],[Tech Start Date]],6),IF(Main[[#This Row],[Class]]="A",WORKDAY(Main[[#This Row],[Tech Start Date]],2),""))))</f>
        <v/>
      </c>
      <c r="N1010" s="77" t="str">
        <f>IF(Main[[#This Row],[Tech Start Date]]&lt;1/1/1990,"",IF(Main[[#This Row],[Class]]="C",WORKDAY(Main[[#This Row],[Tech Start Date]],19),IF(Main[[#This Row],[Class]]="B", WORKDAY(Main[[#This Row],[Tech Start Date]],12),IF(Main[[#This Row],[Class]]="A",WORKDAY(Main[[#This Row],[Tech Start Date]],4),""))))</f>
        <v/>
      </c>
      <c r="O1010" s="77" t="str">
        <f>IF(Main[[#This Row],[Tech Start Date]]&lt;1/1/1990,"",IF(Main[[#This Row],[Class]]="C",WORKDAY(Main[[#This Row],[Tech Start Date]],23),IF(Main[[#This Row],[Class]]="B", WORKDAY(Main[[#This Row],[Tech Start Date]],15),IF(Main[[#This Row],[Class]]="A",WORKDAY(Main[[#This Row],[Tech Start Date]],5),""))))</f>
        <v/>
      </c>
      <c r="P1010" s="77" t="str">
        <f>IF(Main[[#This Row],[Tech Start Date]]&lt;1/1/1990,"",IF(Main[[#This Row],[Class]]="C",WORKDAY(Main[[#This Row],[Tech Start Date]],28),IF(Main[[#This Row],[Class]]="B", WORKDAY(Main[[#This Row],[Tech Start Date]],19),IF(Main[[#This Row],[Class]]="A",WORKDAY(Main[[#This Row],[Tech Start Date]],9),""))))</f>
        <v/>
      </c>
      <c r="Q1010" s="74"/>
      <c r="R1010" s="74"/>
      <c r="S1010" s="72" t="s">
        <v>17</v>
      </c>
      <c r="T1010" s="80" t="s">
        <v>4</v>
      </c>
      <c r="U1010" s="72" t="s">
        <v>14</v>
      </c>
      <c r="V1010" s="72" t="s">
        <v>1933</v>
      </c>
      <c r="W1010" s="72" t="s">
        <v>1940</v>
      </c>
      <c r="X1010" s="72" t="s">
        <v>50</v>
      </c>
      <c r="Y1010" s="72" t="s">
        <v>3198</v>
      </c>
      <c r="Z1010" s="72" t="s">
        <v>987</v>
      </c>
      <c r="AA1010" s="147" t="s">
        <v>50</v>
      </c>
    </row>
    <row r="1011" spans="1:27" ht="18.600000000000001" customHeight="1">
      <c r="A1011" s="140" t="str">
        <f>IF(priority(Main[[#This Row],[Comments]])&lt;&gt;0, priority(Main[[#This Row],[Comments]]),"")</f>
        <v/>
      </c>
      <c r="B1011" s="90" t="s">
        <v>1814</v>
      </c>
      <c r="C1011" s="72" t="s">
        <v>4</v>
      </c>
      <c r="D1011" s="73" t="s">
        <v>851</v>
      </c>
      <c r="E1011" s="74"/>
      <c r="F1011" s="74">
        <v>40435</v>
      </c>
      <c r="G1011" s="75" t="str">
        <f>IF(stdProdLT(Main[[#This Row],[Comments]])=0.1,"N/A",IF(stdProdLT(Main[[#This Row],[Comments]])=0,"",stdProdLT(Main[[#This Row],[Comments]])))</f>
        <v/>
      </c>
      <c r="H1011" s="76" t="str">
        <f>IF(AND(Main[[#This Row],[In Stock Date]]&lt;&gt;"",Main[[#This Row],[Revised Due Date]]&lt;&gt;""),Main[[#This Row],[In Stock Date]]-Main[[#This Row],[Revised Due Date]],"")</f>
        <v/>
      </c>
      <c r="I1011" s="72" t="s">
        <v>4</v>
      </c>
      <c r="J1011" s="72" t="s">
        <v>28</v>
      </c>
      <c r="K1011" s="72" t="s">
        <v>4</v>
      </c>
      <c r="L1011" s="74"/>
      <c r="M1011" s="77" t="str">
        <f>IF(Main[[#This Row],[Tech Start Date]]&lt;1/1/1990,"",IF(Main[[#This Row],[Class]]="C",WORKDAY(Main[[#This Row],[Tech Start Date]],9),IF(Main[[#This Row],[Class]]="B", WORKDAY(Main[[#This Row],[Tech Start Date]],6),IF(Main[[#This Row],[Class]]="A",WORKDAY(Main[[#This Row],[Tech Start Date]],2),""))))</f>
        <v/>
      </c>
      <c r="N1011" s="77" t="str">
        <f>IF(Main[[#This Row],[Tech Start Date]]&lt;1/1/1990,"",IF(Main[[#This Row],[Class]]="C",WORKDAY(Main[[#This Row],[Tech Start Date]],19),IF(Main[[#This Row],[Class]]="B", WORKDAY(Main[[#This Row],[Tech Start Date]],12),IF(Main[[#This Row],[Class]]="A",WORKDAY(Main[[#This Row],[Tech Start Date]],4),""))))</f>
        <v/>
      </c>
      <c r="O1011" s="77" t="str">
        <f>IF(Main[[#This Row],[Tech Start Date]]&lt;1/1/1990,"",IF(Main[[#This Row],[Class]]="C",WORKDAY(Main[[#This Row],[Tech Start Date]],23),IF(Main[[#This Row],[Class]]="B", WORKDAY(Main[[#This Row],[Tech Start Date]],15),IF(Main[[#This Row],[Class]]="A",WORKDAY(Main[[#This Row],[Tech Start Date]],5),""))))</f>
        <v/>
      </c>
      <c r="P1011" s="77" t="str">
        <f>IF(Main[[#This Row],[Tech Start Date]]&lt;1/1/1990,"",IF(Main[[#This Row],[Class]]="C",WORKDAY(Main[[#This Row],[Tech Start Date]],28),IF(Main[[#This Row],[Class]]="B", WORKDAY(Main[[#This Row],[Tech Start Date]],19),IF(Main[[#This Row],[Class]]="A",WORKDAY(Main[[#This Row],[Tech Start Date]],9),""))))</f>
        <v/>
      </c>
      <c r="Q1011" s="74"/>
      <c r="R1011" s="74"/>
      <c r="S1011" s="72" t="s">
        <v>11</v>
      </c>
      <c r="T1011" s="80" t="s">
        <v>4</v>
      </c>
      <c r="U1011" s="72" t="s">
        <v>14</v>
      </c>
      <c r="V1011" s="72" t="s">
        <v>1935</v>
      </c>
      <c r="W1011" s="72" t="s">
        <v>1937</v>
      </c>
      <c r="X1011" s="72" t="s">
        <v>2921</v>
      </c>
      <c r="Y1011" s="72" t="s">
        <v>3053</v>
      </c>
      <c r="Z1011" s="72" t="s">
        <v>535</v>
      </c>
      <c r="AA1011" s="147" t="s">
        <v>2918</v>
      </c>
    </row>
    <row r="1012" spans="1:27" ht="18.600000000000001" customHeight="1">
      <c r="A1012" s="140" t="str">
        <f>IF(priority(Main[[#This Row],[Comments]])&lt;&gt;0, priority(Main[[#This Row],[Comments]]),"")</f>
        <v/>
      </c>
      <c r="B1012" s="90" t="s">
        <v>1815</v>
      </c>
      <c r="C1012" s="72" t="s">
        <v>99</v>
      </c>
      <c r="D1012" s="73" t="s">
        <v>852</v>
      </c>
      <c r="E1012" s="74"/>
      <c r="F1012" s="74">
        <v>40435</v>
      </c>
      <c r="G1012" s="75" t="str">
        <f>IF(stdProdLT(Main[[#This Row],[Comments]])=0.1,"N/A",IF(stdProdLT(Main[[#This Row],[Comments]])=0,"",stdProdLT(Main[[#This Row],[Comments]])))</f>
        <v/>
      </c>
      <c r="H1012" s="76" t="str">
        <f>IF(AND(Main[[#This Row],[In Stock Date]]&lt;&gt;"",Main[[#This Row],[Revised Due Date]]&lt;&gt;""),Main[[#This Row],[In Stock Date]]-Main[[#This Row],[Revised Due Date]],"")</f>
        <v/>
      </c>
      <c r="I1012" s="72" t="s">
        <v>4</v>
      </c>
      <c r="J1012" s="72" t="s">
        <v>28</v>
      </c>
      <c r="K1012" s="72" t="s">
        <v>4</v>
      </c>
      <c r="L1012" s="74"/>
      <c r="M1012" s="77" t="str">
        <f>IF(Main[[#This Row],[Tech Start Date]]&lt;1/1/1990,"",IF(Main[[#This Row],[Class]]="C",WORKDAY(Main[[#This Row],[Tech Start Date]],9),IF(Main[[#This Row],[Class]]="B", WORKDAY(Main[[#This Row],[Tech Start Date]],6),IF(Main[[#This Row],[Class]]="A",WORKDAY(Main[[#This Row],[Tech Start Date]],2),""))))</f>
        <v/>
      </c>
      <c r="N1012" s="77" t="str">
        <f>IF(Main[[#This Row],[Tech Start Date]]&lt;1/1/1990,"",IF(Main[[#This Row],[Class]]="C",WORKDAY(Main[[#This Row],[Tech Start Date]],19),IF(Main[[#This Row],[Class]]="B", WORKDAY(Main[[#This Row],[Tech Start Date]],12),IF(Main[[#This Row],[Class]]="A",WORKDAY(Main[[#This Row],[Tech Start Date]],4),""))))</f>
        <v/>
      </c>
      <c r="O1012" s="77" t="str">
        <f>IF(Main[[#This Row],[Tech Start Date]]&lt;1/1/1990,"",IF(Main[[#This Row],[Class]]="C",WORKDAY(Main[[#This Row],[Tech Start Date]],23),IF(Main[[#This Row],[Class]]="B", WORKDAY(Main[[#This Row],[Tech Start Date]],15),IF(Main[[#This Row],[Class]]="A",WORKDAY(Main[[#This Row],[Tech Start Date]],5),""))))</f>
        <v/>
      </c>
      <c r="P1012" s="77" t="str">
        <f>IF(Main[[#This Row],[Tech Start Date]]&lt;1/1/1990,"",IF(Main[[#This Row],[Class]]="C",WORKDAY(Main[[#This Row],[Tech Start Date]],28),IF(Main[[#This Row],[Class]]="B", WORKDAY(Main[[#This Row],[Tech Start Date]],19),IF(Main[[#This Row],[Class]]="A",WORKDAY(Main[[#This Row],[Tech Start Date]],9),""))))</f>
        <v/>
      </c>
      <c r="Q1012" s="74">
        <v>40435</v>
      </c>
      <c r="R1012" s="74"/>
      <c r="S1012" s="72" t="s">
        <v>11</v>
      </c>
      <c r="T1012" s="80" t="s">
        <v>4</v>
      </c>
      <c r="U1012" s="72" t="s">
        <v>14</v>
      </c>
      <c r="V1012" s="72" t="s">
        <v>1935</v>
      </c>
      <c r="W1012" s="72" t="s">
        <v>1937</v>
      </c>
      <c r="X1012" s="72" t="s">
        <v>2921</v>
      </c>
      <c r="Y1012" s="72" t="s">
        <v>3053</v>
      </c>
      <c r="Z1012" s="72" t="s">
        <v>535</v>
      </c>
      <c r="AA1012" s="147" t="s">
        <v>3598</v>
      </c>
    </row>
    <row r="1013" spans="1:27" ht="18.600000000000001" customHeight="1">
      <c r="A1013" s="140" t="str">
        <f>IF(priority(Main[[#This Row],[Comments]])&lt;&gt;0, priority(Main[[#This Row],[Comments]]),"")</f>
        <v/>
      </c>
      <c r="B1013" s="90" t="s">
        <v>2532</v>
      </c>
      <c r="C1013" s="72" t="s">
        <v>47</v>
      </c>
      <c r="D1013" s="73" t="s">
        <v>3504</v>
      </c>
      <c r="E1013" s="74">
        <v>40865.812858796293</v>
      </c>
      <c r="F1013" s="74"/>
      <c r="G1013" s="75" t="str">
        <f>IF(stdProdLT(Main[[#This Row],[Comments]])=0.1,"N/A",IF(stdProdLT(Main[[#This Row],[Comments]])=0,"",stdProdLT(Main[[#This Row],[Comments]])))</f>
        <v/>
      </c>
      <c r="H1013" s="76" t="str">
        <f>IF(AND(Main[[#This Row],[In Stock Date]]&lt;&gt;"",Main[[#This Row],[Revised Due Date]]&lt;&gt;""),Main[[#This Row],[In Stock Date]]-Main[[#This Row],[Revised Due Date]],"")</f>
        <v/>
      </c>
      <c r="I1013" s="72" t="s">
        <v>4</v>
      </c>
      <c r="J1013" s="72" t="s">
        <v>4</v>
      </c>
      <c r="K1013" s="72" t="s">
        <v>4</v>
      </c>
      <c r="L1013" s="74"/>
      <c r="M1013" s="77" t="str">
        <f>IF(Main[[#This Row],[Tech Start Date]]&lt;1/1/1990,"",IF(Main[[#This Row],[Class]]="C",WORKDAY(Main[[#This Row],[Tech Start Date]],9),IF(Main[[#This Row],[Class]]="B", WORKDAY(Main[[#This Row],[Tech Start Date]],6),IF(Main[[#This Row],[Class]]="A",WORKDAY(Main[[#This Row],[Tech Start Date]],2),""))))</f>
        <v/>
      </c>
      <c r="N1013" s="77" t="str">
        <f>IF(Main[[#This Row],[Tech Start Date]]&lt;1/1/1990,"",IF(Main[[#This Row],[Class]]="C",WORKDAY(Main[[#This Row],[Tech Start Date]],19),IF(Main[[#This Row],[Class]]="B", WORKDAY(Main[[#This Row],[Tech Start Date]],12),IF(Main[[#This Row],[Class]]="A",WORKDAY(Main[[#This Row],[Tech Start Date]],4),""))))</f>
        <v/>
      </c>
      <c r="O1013" s="77" t="str">
        <f>IF(Main[[#This Row],[Tech Start Date]]&lt;1/1/1990,"",IF(Main[[#This Row],[Class]]="C",WORKDAY(Main[[#This Row],[Tech Start Date]],23),IF(Main[[#This Row],[Class]]="B", WORKDAY(Main[[#This Row],[Tech Start Date]],15),IF(Main[[#This Row],[Class]]="A",WORKDAY(Main[[#This Row],[Tech Start Date]],5),""))))</f>
        <v/>
      </c>
      <c r="P1013" s="77" t="str">
        <f>IF(Main[[#This Row],[Tech Start Date]]&lt;1/1/1990,"",IF(Main[[#This Row],[Class]]="C",WORKDAY(Main[[#This Row],[Tech Start Date]],28),IF(Main[[#This Row],[Class]]="B", WORKDAY(Main[[#This Row],[Tech Start Date]],19),IF(Main[[#This Row],[Class]]="A",WORKDAY(Main[[#This Row],[Tech Start Date]],9),""))))</f>
        <v/>
      </c>
      <c r="Q1013" s="74">
        <v>40906</v>
      </c>
      <c r="R1013" s="74"/>
      <c r="S1013" s="72" t="s">
        <v>6</v>
      </c>
      <c r="T1013" s="80" t="s">
        <v>4</v>
      </c>
      <c r="U1013" s="72" t="s">
        <v>29</v>
      </c>
      <c r="V1013" s="72" t="s">
        <v>2312</v>
      </c>
      <c r="W1013" s="72" t="s">
        <v>4</v>
      </c>
      <c r="X1013" s="72" t="s">
        <v>2949</v>
      </c>
      <c r="Y1013" s="72" t="s">
        <v>3097</v>
      </c>
      <c r="Z1013" s="72" t="s">
        <v>4</v>
      </c>
      <c r="AA1013" s="147" t="s">
        <v>2949</v>
      </c>
    </row>
    <row r="1014" spans="1:27" ht="18.600000000000001" customHeight="1">
      <c r="A1014" s="140" t="str">
        <f>IF(priority(Main[[#This Row],[Comments]])&lt;&gt;0, priority(Main[[#This Row],[Comments]]),"")</f>
        <v/>
      </c>
      <c r="B1014" s="90" t="s">
        <v>1529</v>
      </c>
      <c r="C1014" s="72" t="s">
        <v>4</v>
      </c>
      <c r="D1014" s="73" t="s">
        <v>595</v>
      </c>
      <c r="E1014" s="74"/>
      <c r="F1014" s="74"/>
      <c r="G1014" s="75" t="str">
        <f>IF(stdProdLT(Main[[#This Row],[Comments]])=0.1,"N/A",IF(stdProdLT(Main[[#This Row],[Comments]])=0,"",stdProdLT(Main[[#This Row],[Comments]])))</f>
        <v/>
      </c>
      <c r="H1014" s="76" t="str">
        <f>IF(AND(Main[[#This Row],[In Stock Date]]&lt;&gt;"",Main[[#This Row],[Revised Due Date]]&lt;&gt;""),Main[[#This Row],[In Stock Date]]-Main[[#This Row],[Revised Due Date]],"")</f>
        <v/>
      </c>
      <c r="I1014" s="72" t="s">
        <v>310</v>
      </c>
      <c r="J1014" s="72" t="s">
        <v>28</v>
      </c>
      <c r="K1014" s="72" t="s">
        <v>4</v>
      </c>
      <c r="L1014" s="74"/>
      <c r="M1014" s="77" t="str">
        <f>IF(Main[[#This Row],[Tech Start Date]]&lt;1/1/1990,"",IF(Main[[#This Row],[Class]]="C",WORKDAY(Main[[#This Row],[Tech Start Date]],9),IF(Main[[#This Row],[Class]]="B", WORKDAY(Main[[#This Row],[Tech Start Date]],6),IF(Main[[#This Row],[Class]]="A",WORKDAY(Main[[#This Row],[Tech Start Date]],2),""))))</f>
        <v/>
      </c>
      <c r="N1014" s="77" t="str">
        <f>IF(Main[[#This Row],[Tech Start Date]]&lt;1/1/1990,"",IF(Main[[#This Row],[Class]]="C",WORKDAY(Main[[#This Row],[Tech Start Date]],19),IF(Main[[#This Row],[Class]]="B", WORKDAY(Main[[#This Row],[Tech Start Date]],12),IF(Main[[#This Row],[Class]]="A",WORKDAY(Main[[#This Row],[Tech Start Date]],4),""))))</f>
        <v/>
      </c>
      <c r="O1014" s="77" t="str">
        <f>IF(Main[[#This Row],[Tech Start Date]]&lt;1/1/1990,"",IF(Main[[#This Row],[Class]]="C",WORKDAY(Main[[#This Row],[Tech Start Date]],23),IF(Main[[#This Row],[Class]]="B", WORKDAY(Main[[#This Row],[Tech Start Date]],15),IF(Main[[#This Row],[Class]]="A",WORKDAY(Main[[#This Row],[Tech Start Date]],5),""))))</f>
        <v/>
      </c>
      <c r="P1014" s="77" t="str">
        <f>IF(Main[[#This Row],[Tech Start Date]]&lt;1/1/1990,"",IF(Main[[#This Row],[Class]]="C",WORKDAY(Main[[#This Row],[Tech Start Date]],28),IF(Main[[#This Row],[Class]]="B", WORKDAY(Main[[#This Row],[Tech Start Date]],19),IF(Main[[#This Row],[Class]]="A",WORKDAY(Main[[#This Row],[Tech Start Date]],9),""))))</f>
        <v/>
      </c>
      <c r="Q1014" s="74"/>
      <c r="R1014" s="74"/>
      <c r="S1014" s="72" t="s">
        <v>6</v>
      </c>
      <c r="T1014" s="80" t="s">
        <v>4</v>
      </c>
      <c r="U1014" s="72" t="s">
        <v>14</v>
      </c>
      <c r="V1014" s="72" t="s">
        <v>1935</v>
      </c>
      <c r="W1014" s="72" t="s">
        <v>1934</v>
      </c>
      <c r="X1014" s="72" t="s">
        <v>310</v>
      </c>
      <c r="Y1014" s="72" t="s">
        <v>3192</v>
      </c>
      <c r="Z1014" s="72" t="s">
        <v>310</v>
      </c>
      <c r="AA1014" s="147" t="s">
        <v>310</v>
      </c>
    </row>
    <row r="1015" spans="1:27" ht="18.600000000000001" customHeight="1">
      <c r="A1015" s="140" t="str">
        <f>IF(priority(Main[[#This Row],[Comments]])&lt;&gt;0, priority(Main[[#This Row],[Comments]]),"")</f>
        <v/>
      </c>
      <c r="B1015" s="90" t="s">
        <v>1772</v>
      </c>
      <c r="C1015" s="72" t="s">
        <v>4</v>
      </c>
      <c r="D1015" s="73" t="s">
        <v>813</v>
      </c>
      <c r="E1015" s="74">
        <v>40584.403622685182</v>
      </c>
      <c r="F1015" s="74">
        <v>40602</v>
      </c>
      <c r="G1015" s="75" t="str">
        <f>IF(stdProdLT(Main[[#This Row],[Comments]])=0.1,"N/A",IF(stdProdLT(Main[[#This Row],[Comments]])=0,"",stdProdLT(Main[[#This Row],[Comments]])))</f>
        <v/>
      </c>
      <c r="H1015" s="76" t="str">
        <f>IF(AND(Main[[#This Row],[In Stock Date]]&lt;&gt;"",Main[[#This Row],[Revised Due Date]]&lt;&gt;""),Main[[#This Row],[In Stock Date]]-Main[[#This Row],[Revised Due Date]],"")</f>
        <v/>
      </c>
      <c r="I1015" s="72" t="s">
        <v>4</v>
      </c>
      <c r="J1015" s="72" t="s">
        <v>28</v>
      </c>
      <c r="K1015" s="72" t="s">
        <v>1944</v>
      </c>
      <c r="L1015" s="74"/>
      <c r="M1015" s="77" t="str">
        <f>IF(Main[[#This Row],[Tech Start Date]]&lt;1/1/1990,"",IF(Main[[#This Row],[Class]]="C",WORKDAY(Main[[#This Row],[Tech Start Date]],9),IF(Main[[#This Row],[Class]]="B", WORKDAY(Main[[#This Row],[Tech Start Date]],6),IF(Main[[#This Row],[Class]]="A",WORKDAY(Main[[#This Row],[Tech Start Date]],2),""))))</f>
        <v/>
      </c>
      <c r="N1015" s="77" t="str">
        <f>IF(Main[[#This Row],[Tech Start Date]]&lt;1/1/1990,"",IF(Main[[#This Row],[Class]]="C",WORKDAY(Main[[#This Row],[Tech Start Date]],19),IF(Main[[#This Row],[Class]]="B", WORKDAY(Main[[#This Row],[Tech Start Date]],12),IF(Main[[#This Row],[Class]]="A",WORKDAY(Main[[#This Row],[Tech Start Date]],4),""))))</f>
        <v/>
      </c>
      <c r="O1015" s="77" t="str">
        <f>IF(Main[[#This Row],[Tech Start Date]]&lt;1/1/1990,"",IF(Main[[#This Row],[Class]]="C",WORKDAY(Main[[#This Row],[Tech Start Date]],23),IF(Main[[#This Row],[Class]]="B", WORKDAY(Main[[#This Row],[Tech Start Date]],15),IF(Main[[#This Row],[Class]]="A",WORKDAY(Main[[#This Row],[Tech Start Date]],5),""))))</f>
        <v/>
      </c>
      <c r="P1015" s="77" t="str">
        <f>IF(Main[[#This Row],[Tech Start Date]]&lt;1/1/1990,"",IF(Main[[#This Row],[Class]]="C",WORKDAY(Main[[#This Row],[Tech Start Date]],28),IF(Main[[#This Row],[Class]]="B", WORKDAY(Main[[#This Row],[Tech Start Date]],19),IF(Main[[#This Row],[Class]]="A",WORKDAY(Main[[#This Row],[Tech Start Date]],9),""))))</f>
        <v/>
      </c>
      <c r="Q1015" s="74">
        <v>40602</v>
      </c>
      <c r="R1015" s="74"/>
      <c r="S1015" s="72" t="s">
        <v>17</v>
      </c>
      <c r="T1015" s="80" t="s">
        <v>4</v>
      </c>
      <c r="U1015" s="72" t="s">
        <v>7</v>
      </c>
      <c r="V1015" s="72" t="s">
        <v>1932</v>
      </c>
      <c r="W1015" s="72" t="s">
        <v>1940</v>
      </c>
      <c r="X1015" s="72" t="s">
        <v>2912</v>
      </c>
      <c r="Y1015" s="72" t="s">
        <v>3037</v>
      </c>
      <c r="Z1015" s="72" t="s">
        <v>129</v>
      </c>
      <c r="AA1015" s="147" t="s">
        <v>2912</v>
      </c>
    </row>
    <row r="1016" spans="1:27" ht="18.600000000000001" customHeight="1">
      <c r="A1016" s="140" t="str">
        <f>IF(priority(Main[[#This Row],[Comments]])&lt;&gt;0, priority(Main[[#This Row],[Comments]]),"")</f>
        <v/>
      </c>
      <c r="B1016" s="90" t="s">
        <v>1749</v>
      </c>
      <c r="C1016" s="72" t="s">
        <v>4</v>
      </c>
      <c r="D1016" s="73" t="s">
        <v>2256</v>
      </c>
      <c r="E1016" s="74"/>
      <c r="F1016" s="74"/>
      <c r="G1016" s="75" t="str">
        <f>IF(stdProdLT(Main[[#This Row],[Comments]])=0.1,"N/A",IF(stdProdLT(Main[[#This Row],[Comments]])=0,"",stdProdLT(Main[[#This Row],[Comments]])))</f>
        <v/>
      </c>
      <c r="H1016" s="76" t="str">
        <f>IF(AND(Main[[#This Row],[In Stock Date]]&lt;&gt;"",Main[[#This Row],[Revised Due Date]]&lt;&gt;""),Main[[#This Row],[In Stock Date]]-Main[[#This Row],[Revised Due Date]],"")</f>
        <v/>
      </c>
      <c r="I1016" s="72" t="s">
        <v>923</v>
      </c>
      <c r="J1016" s="72" t="s">
        <v>21</v>
      </c>
      <c r="K1016" s="72" t="s">
        <v>1941</v>
      </c>
      <c r="L1016" s="74"/>
      <c r="M1016" s="77" t="str">
        <f>IF(Main[[#This Row],[Tech Start Date]]&lt;1/1/1990,"",IF(Main[[#This Row],[Class]]="C",WORKDAY(Main[[#This Row],[Tech Start Date]],9),IF(Main[[#This Row],[Class]]="B", WORKDAY(Main[[#This Row],[Tech Start Date]],6),IF(Main[[#This Row],[Class]]="A",WORKDAY(Main[[#This Row],[Tech Start Date]],2),""))))</f>
        <v/>
      </c>
      <c r="N1016" s="77" t="str">
        <f>IF(Main[[#This Row],[Tech Start Date]]&lt;1/1/1990,"",IF(Main[[#This Row],[Class]]="C",WORKDAY(Main[[#This Row],[Tech Start Date]],19),IF(Main[[#This Row],[Class]]="B", WORKDAY(Main[[#This Row],[Tech Start Date]],12),IF(Main[[#This Row],[Class]]="A",WORKDAY(Main[[#This Row],[Tech Start Date]],4),""))))</f>
        <v/>
      </c>
      <c r="O1016" s="77" t="str">
        <f>IF(Main[[#This Row],[Tech Start Date]]&lt;1/1/1990,"",IF(Main[[#This Row],[Class]]="C",WORKDAY(Main[[#This Row],[Tech Start Date]],23),IF(Main[[#This Row],[Class]]="B", WORKDAY(Main[[#This Row],[Tech Start Date]],15),IF(Main[[#This Row],[Class]]="A",WORKDAY(Main[[#This Row],[Tech Start Date]],5),""))))</f>
        <v/>
      </c>
      <c r="P1016" s="77" t="str">
        <f>IF(Main[[#This Row],[Tech Start Date]]&lt;1/1/1990,"",IF(Main[[#This Row],[Class]]="C",WORKDAY(Main[[#This Row],[Tech Start Date]],28),IF(Main[[#This Row],[Class]]="B", WORKDAY(Main[[#This Row],[Tech Start Date]],19),IF(Main[[#This Row],[Class]]="A",WORKDAY(Main[[#This Row],[Tech Start Date]],9),""))))</f>
        <v/>
      </c>
      <c r="Q1016" s="74"/>
      <c r="R1016" s="74"/>
      <c r="S1016" s="72" t="s">
        <v>23</v>
      </c>
      <c r="T1016" s="80" t="s">
        <v>4</v>
      </c>
      <c r="U1016" s="72" t="s">
        <v>14</v>
      </c>
      <c r="V1016" s="72" t="s">
        <v>1932</v>
      </c>
      <c r="W1016" s="72" t="s">
        <v>1936</v>
      </c>
      <c r="X1016" s="72" t="s">
        <v>403</v>
      </c>
      <c r="Y1016" s="72" t="s">
        <v>4</v>
      </c>
      <c r="Z1016" s="72" t="s">
        <v>923</v>
      </c>
      <c r="AA1016" s="147" t="s">
        <v>3635</v>
      </c>
    </row>
    <row r="1017" spans="1:27" ht="18.600000000000001" customHeight="1">
      <c r="A1017" s="140" t="str">
        <f>IF(priority(Main[[#This Row],[Comments]])&lt;&gt;0, priority(Main[[#This Row],[Comments]]),"")</f>
        <v/>
      </c>
      <c r="B1017" s="90" t="s">
        <v>1415</v>
      </c>
      <c r="C1017" s="72" t="s">
        <v>4</v>
      </c>
      <c r="D1017" s="73" t="s">
        <v>2222</v>
      </c>
      <c r="E1017" s="74"/>
      <c r="F1017" s="74"/>
      <c r="G1017" s="75" t="str">
        <f>IF(stdProdLT(Main[[#This Row],[Comments]])=0.1,"N/A",IF(stdProdLT(Main[[#This Row],[Comments]])=0,"",stdProdLT(Main[[#This Row],[Comments]])))</f>
        <v/>
      </c>
      <c r="H1017" s="76" t="str">
        <f>IF(AND(Main[[#This Row],[In Stock Date]]&lt;&gt;"",Main[[#This Row],[Revised Due Date]]&lt;&gt;""),Main[[#This Row],[In Stock Date]]-Main[[#This Row],[Revised Due Date]],"")</f>
        <v/>
      </c>
      <c r="I1017" s="72" t="s">
        <v>535</v>
      </c>
      <c r="J1017" s="72" t="s">
        <v>52</v>
      </c>
      <c r="K1017" s="72" t="s">
        <v>1941</v>
      </c>
      <c r="L1017" s="74"/>
      <c r="M1017" s="77" t="str">
        <f>IF(Main[[#This Row],[Tech Start Date]]&lt;1/1/1990,"",IF(Main[[#This Row],[Class]]="C",WORKDAY(Main[[#This Row],[Tech Start Date]],9),IF(Main[[#This Row],[Class]]="B", WORKDAY(Main[[#This Row],[Tech Start Date]],6),IF(Main[[#This Row],[Class]]="A",WORKDAY(Main[[#This Row],[Tech Start Date]],2),""))))</f>
        <v/>
      </c>
      <c r="N1017" s="77" t="str">
        <f>IF(Main[[#This Row],[Tech Start Date]]&lt;1/1/1990,"",IF(Main[[#This Row],[Class]]="C",WORKDAY(Main[[#This Row],[Tech Start Date]],19),IF(Main[[#This Row],[Class]]="B", WORKDAY(Main[[#This Row],[Tech Start Date]],12),IF(Main[[#This Row],[Class]]="A",WORKDAY(Main[[#This Row],[Tech Start Date]],4),""))))</f>
        <v/>
      </c>
      <c r="O1017" s="77" t="str">
        <f>IF(Main[[#This Row],[Tech Start Date]]&lt;1/1/1990,"",IF(Main[[#This Row],[Class]]="C",WORKDAY(Main[[#This Row],[Tech Start Date]],23),IF(Main[[#This Row],[Class]]="B", WORKDAY(Main[[#This Row],[Tech Start Date]],15),IF(Main[[#This Row],[Class]]="A",WORKDAY(Main[[#This Row],[Tech Start Date]],5),""))))</f>
        <v/>
      </c>
      <c r="P1017" s="77" t="str">
        <f>IF(Main[[#This Row],[Tech Start Date]]&lt;1/1/1990,"",IF(Main[[#This Row],[Class]]="C",WORKDAY(Main[[#This Row],[Tech Start Date]],28),IF(Main[[#This Row],[Class]]="B", WORKDAY(Main[[#This Row],[Tech Start Date]],19),IF(Main[[#This Row],[Class]]="A",WORKDAY(Main[[#This Row],[Tech Start Date]],9),""))))</f>
        <v/>
      </c>
      <c r="Q1017" s="74">
        <v>40390</v>
      </c>
      <c r="R1017" s="74"/>
      <c r="S1017" s="72" t="s">
        <v>6</v>
      </c>
      <c r="T1017" s="80" t="s">
        <v>4</v>
      </c>
      <c r="U1017" s="72" t="s">
        <v>14</v>
      </c>
      <c r="V1017" s="72" t="s">
        <v>1935</v>
      </c>
      <c r="W1017" s="72" t="s">
        <v>1936</v>
      </c>
      <c r="X1017" s="72" t="s">
        <v>2903</v>
      </c>
      <c r="Y1017" s="72" t="s">
        <v>3019</v>
      </c>
      <c r="Z1017" s="72" t="s">
        <v>44</v>
      </c>
      <c r="AA1017" s="147" t="s">
        <v>2903</v>
      </c>
    </row>
    <row r="1018" spans="1:27" ht="18.600000000000001" customHeight="1">
      <c r="A1018" s="140" t="str">
        <f>IF(priority(Main[[#This Row],[Comments]])&lt;&gt;0, priority(Main[[#This Row],[Comments]]),"")</f>
        <v/>
      </c>
      <c r="B1018" s="90" t="s">
        <v>1664</v>
      </c>
      <c r="C1018" s="72" t="s">
        <v>504</v>
      </c>
      <c r="D1018" s="73" t="s">
        <v>2200</v>
      </c>
      <c r="E1018" s="74">
        <v>40655.401631944442</v>
      </c>
      <c r="F1018" s="74"/>
      <c r="G1018" s="75" t="str">
        <f>IF(stdProdLT(Main[[#This Row],[Comments]])=0.1,"N/A",IF(stdProdLT(Main[[#This Row],[Comments]])=0,"",stdProdLT(Main[[#This Row],[Comments]])))</f>
        <v/>
      </c>
      <c r="H1018" s="76" t="str">
        <f>IF(AND(Main[[#This Row],[In Stock Date]]&lt;&gt;"",Main[[#This Row],[Revised Due Date]]&lt;&gt;""),Main[[#This Row],[In Stock Date]]-Main[[#This Row],[Revised Due Date]],"")</f>
        <v/>
      </c>
      <c r="I1018" s="72" t="s">
        <v>50</v>
      </c>
      <c r="J1018" s="72" t="s">
        <v>52</v>
      </c>
      <c r="K1018" s="72" t="s">
        <v>1941</v>
      </c>
      <c r="L1018" s="74"/>
      <c r="M1018" s="77" t="str">
        <f>IF(Main[[#This Row],[Tech Start Date]]&lt;1/1/1990,"",IF(Main[[#This Row],[Class]]="C",WORKDAY(Main[[#This Row],[Tech Start Date]],9),IF(Main[[#This Row],[Class]]="B", WORKDAY(Main[[#This Row],[Tech Start Date]],6),IF(Main[[#This Row],[Class]]="A",WORKDAY(Main[[#This Row],[Tech Start Date]],2),""))))</f>
        <v/>
      </c>
      <c r="N1018" s="77" t="str">
        <f>IF(Main[[#This Row],[Tech Start Date]]&lt;1/1/1990,"",IF(Main[[#This Row],[Class]]="C",WORKDAY(Main[[#This Row],[Tech Start Date]],19),IF(Main[[#This Row],[Class]]="B", WORKDAY(Main[[#This Row],[Tech Start Date]],12),IF(Main[[#This Row],[Class]]="A",WORKDAY(Main[[#This Row],[Tech Start Date]],4),""))))</f>
        <v/>
      </c>
      <c r="O1018" s="77" t="str">
        <f>IF(Main[[#This Row],[Tech Start Date]]&lt;1/1/1990,"",IF(Main[[#This Row],[Class]]="C",WORKDAY(Main[[#This Row],[Tech Start Date]],23),IF(Main[[#This Row],[Class]]="B", WORKDAY(Main[[#This Row],[Tech Start Date]],15),IF(Main[[#This Row],[Class]]="A",WORKDAY(Main[[#This Row],[Tech Start Date]],5),""))))</f>
        <v/>
      </c>
      <c r="P1018" s="77" t="str">
        <f>IF(Main[[#This Row],[Tech Start Date]]&lt;1/1/1990,"",IF(Main[[#This Row],[Class]]="C",WORKDAY(Main[[#This Row],[Tech Start Date]],28),IF(Main[[#This Row],[Class]]="B", WORKDAY(Main[[#This Row],[Tech Start Date]],19),IF(Main[[#This Row],[Class]]="A",WORKDAY(Main[[#This Row],[Tech Start Date]],9),""))))</f>
        <v/>
      </c>
      <c r="Q1018" s="74"/>
      <c r="R1018" s="74"/>
      <c r="S1018" s="72" t="s">
        <v>6</v>
      </c>
      <c r="T1018" s="80" t="s">
        <v>4</v>
      </c>
      <c r="U1018" s="72" t="s">
        <v>539</v>
      </c>
      <c r="V1018" s="72" t="s">
        <v>1932</v>
      </c>
      <c r="W1018" s="72" t="s">
        <v>1938</v>
      </c>
      <c r="X1018" s="72" t="s">
        <v>403</v>
      </c>
      <c r="Y1018" s="72" t="s">
        <v>4</v>
      </c>
      <c r="Z1018" s="72" t="s">
        <v>129</v>
      </c>
      <c r="AA1018" s="147" t="s">
        <v>3636</v>
      </c>
    </row>
    <row r="1019" spans="1:27" ht="18.600000000000001" customHeight="1">
      <c r="A1019" s="140" t="str">
        <f>IF(priority(Main[[#This Row],[Comments]])&lt;&gt;0, priority(Main[[#This Row],[Comments]]),"")</f>
        <v/>
      </c>
      <c r="B1019" s="90" t="s">
        <v>1881</v>
      </c>
      <c r="C1019" s="72" t="s">
        <v>4</v>
      </c>
      <c r="D1019" s="73" t="s">
        <v>2719</v>
      </c>
      <c r="E1019" s="74">
        <v>40501.677928240744</v>
      </c>
      <c r="F1019" s="74"/>
      <c r="G1019" s="75" t="str">
        <f>IF(stdProdLT(Main[[#This Row],[Comments]])=0.1,"N/A",IF(stdProdLT(Main[[#This Row],[Comments]])=0,"",stdProdLT(Main[[#This Row],[Comments]])))</f>
        <v/>
      </c>
      <c r="H1019" s="76" t="str">
        <f>IF(AND(Main[[#This Row],[In Stock Date]]&lt;&gt;"",Main[[#This Row],[Revised Due Date]]&lt;&gt;""),Main[[#This Row],[In Stock Date]]-Main[[#This Row],[Revised Due Date]],"")</f>
        <v/>
      </c>
      <c r="I1019" s="72" t="s">
        <v>918</v>
      </c>
      <c r="J1019" s="72" t="s">
        <v>28</v>
      </c>
      <c r="K1019" s="72" t="s">
        <v>1944</v>
      </c>
      <c r="L1019" s="74"/>
      <c r="M1019" s="77" t="str">
        <f>IF(Main[[#This Row],[Tech Start Date]]&lt;1/1/1990,"",IF(Main[[#This Row],[Class]]="C",WORKDAY(Main[[#This Row],[Tech Start Date]],9),IF(Main[[#This Row],[Class]]="B", WORKDAY(Main[[#This Row],[Tech Start Date]],6),IF(Main[[#This Row],[Class]]="A",WORKDAY(Main[[#This Row],[Tech Start Date]],2),""))))</f>
        <v/>
      </c>
      <c r="N1019" s="77" t="str">
        <f>IF(Main[[#This Row],[Tech Start Date]]&lt;1/1/1990,"",IF(Main[[#This Row],[Class]]="C",WORKDAY(Main[[#This Row],[Tech Start Date]],19),IF(Main[[#This Row],[Class]]="B", WORKDAY(Main[[#This Row],[Tech Start Date]],12),IF(Main[[#This Row],[Class]]="A",WORKDAY(Main[[#This Row],[Tech Start Date]],4),""))))</f>
        <v/>
      </c>
      <c r="O1019" s="77" t="str">
        <f>IF(Main[[#This Row],[Tech Start Date]]&lt;1/1/1990,"",IF(Main[[#This Row],[Class]]="C",WORKDAY(Main[[#This Row],[Tech Start Date]],23),IF(Main[[#This Row],[Class]]="B", WORKDAY(Main[[#This Row],[Tech Start Date]],15),IF(Main[[#This Row],[Class]]="A",WORKDAY(Main[[#This Row],[Tech Start Date]],5),""))))</f>
        <v/>
      </c>
      <c r="P1019" s="77" t="str">
        <f>IF(Main[[#This Row],[Tech Start Date]]&lt;1/1/1990,"",IF(Main[[#This Row],[Class]]="C",WORKDAY(Main[[#This Row],[Tech Start Date]],28),IF(Main[[#This Row],[Class]]="B", WORKDAY(Main[[#This Row],[Tech Start Date]],19),IF(Main[[#This Row],[Class]]="A",WORKDAY(Main[[#This Row],[Tech Start Date]],9),""))))</f>
        <v/>
      </c>
      <c r="Q1019" s="74">
        <v>41274</v>
      </c>
      <c r="R1019" s="74">
        <v>41274</v>
      </c>
      <c r="S1019" s="72" t="s">
        <v>17</v>
      </c>
      <c r="T1019" s="80" t="s">
        <v>4</v>
      </c>
      <c r="U1019" s="72" t="s">
        <v>29</v>
      </c>
      <c r="V1019" s="72" t="s">
        <v>1932</v>
      </c>
      <c r="W1019" s="72" t="s">
        <v>1937</v>
      </c>
      <c r="X1019" s="72" t="s">
        <v>918</v>
      </c>
      <c r="Y1019" s="72" t="s">
        <v>4</v>
      </c>
      <c r="Z1019" s="72" t="s">
        <v>129</v>
      </c>
      <c r="AA1019" s="147" t="s">
        <v>2912</v>
      </c>
    </row>
    <row r="1020" spans="1:27" ht="18.600000000000001" customHeight="1">
      <c r="A1020" s="140" t="str">
        <f>IF(priority(Main[[#This Row],[Comments]])&lt;&gt;0, priority(Main[[#This Row],[Comments]]),"")</f>
        <v/>
      </c>
      <c r="B1020" s="90" t="s">
        <v>2262</v>
      </c>
      <c r="C1020" s="72" t="s">
        <v>4</v>
      </c>
      <c r="D1020" s="73" t="s">
        <v>2263</v>
      </c>
      <c r="E1020" s="74"/>
      <c r="F1020" s="74"/>
      <c r="G1020" s="75" t="str">
        <f>IF(stdProdLT(Main[[#This Row],[Comments]])=0.1,"N/A",IF(stdProdLT(Main[[#This Row],[Comments]])=0,"",stdProdLT(Main[[#This Row],[Comments]])))</f>
        <v/>
      </c>
      <c r="H1020" s="76" t="str">
        <f>IF(AND(Main[[#This Row],[In Stock Date]]&lt;&gt;"",Main[[#This Row],[Revised Due Date]]&lt;&gt;""),Main[[#This Row],[In Stock Date]]-Main[[#This Row],[Revised Due Date]],"")</f>
        <v/>
      </c>
      <c r="I1020" s="72" t="s">
        <v>4</v>
      </c>
      <c r="J1020" s="72" t="s">
        <v>4</v>
      </c>
      <c r="K1020" s="72" t="s">
        <v>4</v>
      </c>
      <c r="L1020" s="74"/>
      <c r="M1020" s="77" t="str">
        <f>IF(Main[[#This Row],[Tech Start Date]]&lt;1/1/1990,"",IF(Main[[#This Row],[Class]]="C",WORKDAY(Main[[#This Row],[Tech Start Date]],9),IF(Main[[#This Row],[Class]]="B", WORKDAY(Main[[#This Row],[Tech Start Date]],6),IF(Main[[#This Row],[Class]]="A",WORKDAY(Main[[#This Row],[Tech Start Date]],2),""))))</f>
        <v/>
      </c>
      <c r="N1020" s="77" t="str">
        <f>IF(Main[[#This Row],[Tech Start Date]]&lt;1/1/1990,"",IF(Main[[#This Row],[Class]]="C",WORKDAY(Main[[#This Row],[Tech Start Date]],19),IF(Main[[#This Row],[Class]]="B", WORKDAY(Main[[#This Row],[Tech Start Date]],12),IF(Main[[#This Row],[Class]]="A",WORKDAY(Main[[#This Row],[Tech Start Date]],4),""))))</f>
        <v/>
      </c>
      <c r="O1020" s="77" t="str">
        <f>IF(Main[[#This Row],[Tech Start Date]]&lt;1/1/1990,"",IF(Main[[#This Row],[Class]]="C",WORKDAY(Main[[#This Row],[Tech Start Date]],23),IF(Main[[#This Row],[Class]]="B", WORKDAY(Main[[#This Row],[Tech Start Date]],15),IF(Main[[#This Row],[Class]]="A",WORKDAY(Main[[#This Row],[Tech Start Date]],5),""))))</f>
        <v/>
      </c>
      <c r="P1020" s="77" t="str">
        <f>IF(Main[[#This Row],[Tech Start Date]]&lt;1/1/1990,"",IF(Main[[#This Row],[Class]]="C",WORKDAY(Main[[#This Row],[Tech Start Date]],28),IF(Main[[#This Row],[Class]]="B", WORKDAY(Main[[#This Row],[Tech Start Date]],19),IF(Main[[#This Row],[Class]]="A",WORKDAY(Main[[#This Row],[Tech Start Date]],9),""))))</f>
        <v/>
      </c>
      <c r="Q1020" s="74"/>
      <c r="R1020" s="74"/>
      <c r="S1020" s="72" t="s">
        <v>49</v>
      </c>
      <c r="T1020" s="80" t="s">
        <v>4</v>
      </c>
      <c r="U1020" s="72" t="s">
        <v>14</v>
      </c>
      <c r="V1020" s="72" t="s">
        <v>1947</v>
      </c>
      <c r="W1020" s="72" t="s">
        <v>1936</v>
      </c>
      <c r="X1020" s="72" t="s">
        <v>310</v>
      </c>
      <c r="Y1020" s="72" t="s">
        <v>4</v>
      </c>
      <c r="Z1020" s="72" t="s">
        <v>4</v>
      </c>
      <c r="AA1020" s="147" t="s">
        <v>4</v>
      </c>
    </row>
    <row r="1021" spans="1:27" ht="18.600000000000001" customHeight="1">
      <c r="A1021" s="140" t="str">
        <f>IF(priority(Main[[#This Row],[Comments]])&lt;&gt;0, priority(Main[[#This Row],[Comments]]),"")</f>
        <v/>
      </c>
      <c r="B1021" s="90" t="s">
        <v>2439</v>
      </c>
      <c r="C1021" s="72" t="s">
        <v>2029</v>
      </c>
      <c r="D1021" s="73" t="s">
        <v>2410</v>
      </c>
      <c r="E1021" s="74"/>
      <c r="F1021" s="74"/>
      <c r="G1021" s="75" t="str">
        <f>IF(stdProdLT(Main[[#This Row],[Comments]])=0.1,"N/A",IF(stdProdLT(Main[[#This Row],[Comments]])=0,"",stdProdLT(Main[[#This Row],[Comments]])))</f>
        <v/>
      </c>
      <c r="H1021" s="76" t="str">
        <f>IF(AND(Main[[#This Row],[In Stock Date]]&lt;&gt;"",Main[[#This Row],[Revised Due Date]]&lt;&gt;""),Main[[#This Row],[In Stock Date]]-Main[[#This Row],[Revised Due Date]],"")</f>
        <v/>
      </c>
      <c r="I1021" s="72" t="s">
        <v>4</v>
      </c>
      <c r="J1021" s="72" t="s">
        <v>4</v>
      </c>
      <c r="K1021" s="72" t="s">
        <v>4</v>
      </c>
      <c r="L1021" s="74"/>
      <c r="M1021" s="77" t="str">
        <f>IF(Main[[#This Row],[Tech Start Date]]&lt;1/1/1990,"",IF(Main[[#This Row],[Class]]="C",WORKDAY(Main[[#This Row],[Tech Start Date]],9),IF(Main[[#This Row],[Class]]="B", WORKDAY(Main[[#This Row],[Tech Start Date]],6),IF(Main[[#This Row],[Class]]="A",WORKDAY(Main[[#This Row],[Tech Start Date]],2),""))))</f>
        <v/>
      </c>
      <c r="N1021" s="77" t="str">
        <f>IF(Main[[#This Row],[Tech Start Date]]&lt;1/1/1990,"",IF(Main[[#This Row],[Class]]="C",WORKDAY(Main[[#This Row],[Tech Start Date]],19),IF(Main[[#This Row],[Class]]="B", WORKDAY(Main[[#This Row],[Tech Start Date]],12),IF(Main[[#This Row],[Class]]="A",WORKDAY(Main[[#This Row],[Tech Start Date]],4),""))))</f>
        <v/>
      </c>
      <c r="O1021" s="77" t="str">
        <f>IF(Main[[#This Row],[Tech Start Date]]&lt;1/1/1990,"",IF(Main[[#This Row],[Class]]="C",WORKDAY(Main[[#This Row],[Tech Start Date]],23),IF(Main[[#This Row],[Class]]="B", WORKDAY(Main[[#This Row],[Tech Start Date]],15),IF(Main[[#This Row],[Class]]="A",WORKDAY(Main[[#This Row],[Tech Start Date]],5),""))))</f>
        <v/>
      </c>
      <c r="P1021" s="77" t="str">
        <f>IF(Main[[#This Row],[Tech Start Date]]&lt;1/1/1990,"",IF(Main[[#This Row],[Class]]="C",WORKDAY(Main[[#This Row],[Tech Start Date]],28),IF(Main[[#This Row],[Class]]="B", WORKDAY(Main[[#This Row],[Tech Start Date]],19),IF(Main[[#This Row],[Class]]="A",WORKDAY(Main[[#This Row],[Tech Start Date]],9),""))))</f>
        <v/>
      </c>
      <c r="Q1021" s="74">
        <v>40908</v>
      </c>
      <c r="R1021" s="74"/>
      <c r="S1021" s="72" t="s">
        <v>11</v>
      </c>
      <c r="T1021" s="80" t="s">
        <v>4</v>
      </c>
      <c r="U1021" s="72" t="s">
        <v>14</v>
      </c>
      <c r="V1021" s="72" t="s">
        <v>1935</v>
      </c>
      <c r="W1021" s="72" t="s">
        <v>1934</v>
      </c>
      <c r="X1021" s="72" t="s">
        <v>559</v>
      </c>
      <c r="Y1021" s="72" t="s">
        <v>3039</v>
      </c>
      <c r="Z1021" s="72" t="s">
        <v>4</v>
      </c>
      <c r="AA1021" s="147" t="s">
        <v>559</v>
      </c>
    </row>
    <row r="1022" spans="1:27" ht="18.600000000000001" customHeight="1">
      <c r="A1022" s="140" t="str">
        <f>IF(priority(Main[[#This Row],[Comments]])&lt;&gt;0, priority(Main[[#This Row],[Comments]]),"")</f>
        <v/>
      </c>
      <c r="B1022" s="90" t="s">
        <v>1567</v>
      </c>
      <c r="C1022" s="72" t="s">
        <v>4</v>
      </c>
      <c r="D1022" s="73" t="s">
        <v>640</v>
      </c>
      <c r="E1022" s="74">
        <v>40711.765081018515</v>
      </c>
      <c r="F1022" s="74"/>
      <c r="G1022" s="75" t="str">
        <f>IF(stdProdLT(Main[[#This Row],[Comments]])=0.1,"N/A",IF(stdProdLT(Main[[#This Row],[Comments]])=0,"",stdProdLT(Main[[#This Row],[Comments]])))</f>
        <v/>
      </c>
      <c r="H1022" s="76" t="str">
        <f>IF(AND(Main[[#This Row],[In Stock Date]]&lt;&gt;"",Main[[#This Row],[Revised Due Date]]&lt;&gt;""),Main[[#This Row],[In Stock Date]]-Main[[#This Row],[Revised Due Date]],"")</f>
        <v/>
      </c>
      <c r="I1022" s="72" t="s">
        <v>2075</v>
      </c>
      <c r="J1022" s="72" t="s">
        <v>21</v>
      </c>
      <c r="K1022" s="72" t="s">
        <v>1941</v>
      </c>
      <c r="L1022" s="74"/>
      <c r="M1022" s="77" t="str">
        <f>IF(Main[[#This Row],[Tech Start Date]]&lt;1/1/1990,"",IF(Main[[#This Row],[Class]]="C",WORKDAY(Main[[#This Row],[Tech Start Date]],9),IF(Main[[#This Row],[Class]]="B", WORKDAY(Main[[#This Row],[Tech Start Date]],6),IF(Main[[#This Row],[Class]]="A",WORKDAY(Main[[#This Row],[Tech Start Date]],2),""))))</f>
        <v/>
      </c>
      <c r="N1022" s="77" t="str">
        <f>IF(Main[[#This Row],[Tech Start Date]]&lt;1/1/1990,"",IF(Main[[#This Row],[Class]]="C",WORKDAY(Main[[#This Row],[Tech Start Date]],19),IF(Main[[#This Row],[Class]]="B", WORKDAY(Main[[#This Row],[Tech Start Date]],12),IF(Main[[#This Row],[Class]]="A",WORKDAY(Main[[#This Row],[Tech Start Date]],4),""))))</f>
        <v/>
      </c>
      <c r="O1022" s="77" t="str">
        <f>IF(Main[[#This Row],[Tech Start Date]]&lt;1/1/1990,"",IF(Main[[#This Row],[Class]]="C",WORKDAY(Main[[#This Row],[Tech Start Date]],23),IF(Main[[#This Row],[Class]]="B", WORKDAY(Main[[#This Row],[Tech Start Date]],15),IF(Main[[#This Row],[Class]]="A",WORKDAY(Main[[#This Row],[Tech Start Date]],5),""))))</f>
        <v/>
      </c>
      <c r="P1022" s="77" t="str">
        <f>IF(Main[[#This Row],[Tech Start Date]]&lt;1/1/1990,"",IF(Main[[#This Row],[Class]]="C",WORKDAY(Main[[#This Row],[Tech Start Date]],28),IF(Main[[#This Row],[Class]]="B", WORKDAY(Main[[#This Row],[Tech Start Date]],19),IF(Main[[#This Row],[Class]]="A",WORKDAY(Main[[#This Row],[Tech Start Date]],9),""))))</f>
        <v/>
      </c>
      <c r="Q1022" s="74">
        <v>40732</v>
      </c>
      <c r="R1022" s="74"/>
      <c r="S1022" s="72" t="s">
        <v>6</v>
      </c>
      <c r="T1022" s="80" t="s">
        <v>4</v>
      </c>
      <c r="U1022" s="72" t="s">
        <v>29</v>
      </c>
      <c r="V1022" s="72" t="s">
        <v>1933</v>
      </c>
      <c r="W1022" s="72" t="s">
        <v>1936</v>
      </c>
      <c r="X1022" s="72" t="s">
        <v>30</v>
      </c>
      <c r="Y1022" s="72" t="s">
        <v>3205</v>
      </c>
      <c r="Z1022" s="72" t="s">
        <v>30</v>
      </c>
      <c r="AA1022" s="147" t="s">
        <v>3578</v>
      </c>
    </row>
    <row r="1023" spans="1:27" ht="18.600000000000001" customHeight="1">
      <c r="A1023" s="140" t="str">
        <f>IF(priority(Main[[#This Row],[Comments]])&lt;&gt;0, priority(Main[[#This Row],[Comments]]),"")</f>
        <v/>
      </c>
      <c r="B1023" s="90" t="s">
        <v>2309</v>
      </c>
      <c r="C1023" s="72" t="s">
        <v>2307</v>
      </c>
      <c r="D1023" s="73" t="s">
        <v>2310</v>
      </c>
      <c r="E1023" s="74"/>
      <c r="F1023" s="74">
        <v>40907</v>
      </c>
      <c r="G1023" s="75" t="str">
        <f>IF(stdProdLT(Main[[#This Row],[Comments]])=0.1,"N/A",IF(stdProdLT(Main[[#This Row],[Comments]])=0,"",stdProdLT(Main[[#This Row],[Comments]])))</f>
        <v/>
      </c>
      <c r="H1023" s="76" t="str">
        <f>IF(AND(Main[[#This Row],[In Stock Date]]&lt;&gt;"",Main[[#This Row],[Revised Due Date]]&lt;&gt;""),Main[[#This Row],[In Stock Date]]-Main[[#This Row],[Revised Due Date]],"")</f>
        <v/>
      </c>
      <c r="I1023" s="72" t="s">
        <v>4</v>
      </c>
      <c r="J1023" s="72" t="s">
        <v>4</v>
      </c>
      <c r="K1023" s="72" t="s">
        <v>4</v>
      </c>
      <c r="L1023" s="74"/>
      <c r="M1023" s="77" t="str">
        <f>IF(Main[[#This Row],[Tech Start Date]]&lt;1/1/1990,"",IF(Main[[#This Row],[Class]]="C",WORKDAY(Main[[#This Row],[Tech Start Date]],9),IF(Main[[#This Row],[Class]]="B", WORKDAY(Main[[#This Row],[Tech Start Date]],6),IF(Main[[#This Row],[Class]]="A",WORKDAY(Main[[#This Row],[Tech Start Date]],2),""))))</f>
        <v/>
      </c>
      <c r="N1023" s="77" t="str">
        <f>IF(Main[[#This Row],[Tech Start Date]]&lt;1/1/1990,"",IF(Main[[#This Row],[Class]]="C",WORKDAY(Main[[#This Row],[Tech Start Date]],19),IF(Main[[#This Row],[Class]]="B", WORKDAY(Main[[#This Row],[Tech Start Date]],12),IF(Main[[#This Row],[Class]]="A",WORKDAY(Main[[#This Row],[Tech Start Date]],4),""))))</f>
        <v/>
      </c>
      <c r="O1023" s="77" t="str">
        <f>IF(Main[[#This Row],[Tech Start Date]]&lt;1/1/1990,"",IF(Main[[#This Row],[Class]]="C",WORKDAY(Main[[#This Row],[Tech Start Date]],23),IF(Main[[#This Row],[Class]]="B", WORKDAY(Main[[#This Row],[Tech Start Date]],15),IF(Main[[#This Row],[Class]]="A",WORKDAY(Main[[#This Row],[Tech Start Date]],5),""))))</f>
        <v/>
      </c>
      <c r="P1023" s="77" t="str">
        <f>IF(Main[[#This Row],[Tech Start Date]]&lt;1/1/1990,"",IF(Main[[#This Row],[Class]]="C",WORKDAY(Main[[#This Row],[Tech Start Date]],28),IF(Main[[#This Row],[Class]]="B", WORKDAY(Main[[#This Row],[Tech Start Date]],19),IF(Main[[#This Row],[Class]]="A",WORKDAY(Main[[#This Row],[Tech Start Date]],9),""))))</f>
        <v/>
      </c>
      <c r="Q1023" s="74">
        <v>40816</v>
      </c>
      <c r="R1023" s="74"/>
      <c r="S1023" s="72" t="s">
        <v>300</v>
      </c>
      <c r="T1023" s="80" t="s">
        <v>4</v>
      </c>
      <c r="U1023" s="72" t="s">
        <v>14</v>
      </c>
      <c r="V1023" s="72" t="s">
        <v>1942</v>
      </c>
      <c r="W1023" s="72" t="s">
        <v>1940</v>
      </c>
      <c r="X1023" s="72" t="s">
        <v>2994</v>
      </c>
      <c r="Y1023" s="72" t="s">
        <v>3206</v>
      </c>
      <c r="Z1023" s="72" t="s">
        <v>4</v>
      </c>
      <c r="AA1023" s="147" t="s">
        <v>3637</v>
      </c>
    </row>
    <row r="1024" spans="1:27" ht="18.600000000000001" customHeight="1">
      <c r="A1024" s="140" t="str">
        <f>IF(priority(Main[[#This Row],[Comments]])&lt;&gt;0, priority(Main[[#This Row],[Comments]]),"")</f>
        <v/>
      </c>
      <c r="B1024" s="90" t="s">
        <v>2303</v>
      </c>
      <c r="C1024" s="72" t="s">
        <v>523</v>
      </c>
      <c r="D1024" s="73" t="s">
        <v>2304</v>
      </c>
      <c r="E1024" s="74"/>
      <c r="F1024" s="74">
        <v>40854</v>
      </c>
      <c r="G1024" s="75" t="str">
        <f>IF(stdProdLT(Main[[#This Row],[Comments]])=0.1,"N/A",IF(stdProdLT(Main[[#This Row],[Comments]])=0,"",stdProdLT(Main[[#This Row],[Comments]])))</f>
        <v/>
      </c>
      <c r="H1024" s="76" t="str">
        <f>IF(AND(Main[[#This Row],[In Stock Date]]&lt;&gt;"",Main[[#This Row],[Revised Due Date]]&lt;&gt;""),Main[[#This Row],[In Stock Date]]-Main[[#This Row],[Revised Due Date]],"")</f>
        <v/>
      </c>
      <c r="I1024" s="72" t="s">
        <v>4</v>
      </c>
      <c r="J1024" s="72" t="s">
        <v>4</v>
      </c>
      <c r="K1024" s="72" t="s">
        <v>4</v>
      </c>
      <c r="L1024" s="74"/>
      <c r="M1024" s="77" t="str">
        <f>IF(Main[[#This Row],[Tech Start Date]]&lt;1/1/1990,"",IF(Main[[#This Row],[Class]]="C",WORKDAY(Main[[#This Row],[Tech Start Date]],9),IF(Main[[#This Row],[Class]]="B", WORKDAY(Main[[#This Row],[Tech Start Date]],6),IF(Main[[#This Row],[Class]]="A",WORKDAY(Main[[#This Row],[Tech Start Date]],2),""))))</f>
        <v/>
      </c>
      <c r="N1024" s="77" t="str">
        <f>IF(Main[[#This Row],[Tech Start Date]]&lt;1/1/1990,"",IF(Main[[#This Row],[Class]]="C",WORKDAY(Main[[#This Row],[Tech Start Date]],19),IF(Main[[#This Row],[Class]]="B", WORKDAY(Main[[#This Row],[Tech Start Date]],12),IF(Main[[#This Row],[Class]]="A",WORKDAY(Main[[#This Row],[Tech Start Date]],4),""))))</f>
        <v/>
      </c>
      <c r="O1024" s="77" t="str">
        <f>IF(Main[[#This Row],[Tech Start Date]]&lt;1/1/1990,"",IF(Main[[#This Row],[Class]]="C",WORKDAY(Main[[#This Row],[Tech Start Date]],23),IF(Main[[#This Row],[Class]]="B", WORKDAY(Main[[#This Row],[Tech Start Date]],15),IF(Main[[#This Row],[Class]]="A",WORKDAY(Main[[#This Row],[Tech Start Date]],5),""))))</f>
        <v/>
      </c>
      <c r="P1024" s="77" t="str">
        <f>IF(Main[[#This Row],[Tech Start Date]]&lt;1/1/1990,"",IF(Main[[#This Row],[Class]]="C",WORKDAY(Main[[#This Row],[Tech Start Date]],28),IF(Main[[#This Row],[Class]]="B", WORKDAY(Main[[#This Row],[Tech Start Date]],19),IF(Main[[#This Row],[Class]]="A",WORKDAY(Main[[#This Row],[Tech Start Date]],9),""))))</f>
        <v/>
      </c>
      <c r="Q1024" s="74">
        <v>40816</v>
      </c>
      <c r="R1024" s="74"/>
      <c r="S1024" s="72" t="s">
        <v>300</v>
      </c>
      <c r="T1024" s="80" t="s">
        <v>4</v>
      </c>
      <c r="U1024" s="72" t="s">
        <v>14</v>
      </c>
      <c r="V1024" s="72" t="s">
        <v>1942</v>
      </c>
      <c r="W1024" s="72" t="s">
        <v>1940</v>
      </c>
      <c r="X1024" s="72" t="s">
        <v>2994</v>
      </c>
      <c r="Y1024" s="72" t="s">
        <v>3207</v>
      </c>
      <c r="Z1024" s="72" t="s">
        <v>4</v>
      </c>
      <c r="AA1024" s="147" t="s">
        <v>3637</v>
      </c>
    </row>
    <row r="1025" spans="1:27" ht="18.600000000000001" customHeight="1">
      <c r="A1025" s="140" t="str">
        <f>IF(priority(Main[[#This Row],[Comments]])&lt;&gt;0, priority(Main[[#This Row],[Comments]]),"")</f>
        <v/>
      </c>
      <c r="B1025" s="90" t="s">
        <v>2264</v>
      </c>
      <c r="C1025" s="72" t="s">
        <v>4</v>
      </c>
      <c r="D1025" s="73" t="s">
        <v>2265</v>
      </c>
      <c r="E1025" s="74"/>
      <c r="F1025" s="74"/>
      <c r="G1025" s="75" t="str">
        <f>IF(stdProdLT(Main[[#This Row],[Comments]])=0.1,"N/A",IF(stdProdLT(Main[[#This Row],[Comments]])=0,"",stdProdLT(Main[[#This Row],[Comments]])))</f>
        <v/>
      </c>
      <c r="H1025" s="76" t="str">
        <f>IF(AND(Main[[#This Row],[In Stock Date]]&lt;&gt;"",Main[[#This Row],[Revised Due Date]]&lt;&gt;""),Main[[#This Row],[In Stock Date]]-Main[[#This Row],[Revised Due Date]],"")</f>
        <v/>
      </c>
      <c r="I1025" s="72" t="s">
        <v>4</v>
      </c>
      <c r="J1025" s="72" t="s">
        <v>4</v>
      </c>
      <c r="K1025" s="81" t="s">
        <v>4</v>
      </c>
      <c r="L1025" s="74"/>
      <c r="M1025" s="77" t="str">
        <f>IF(Main[[#This Row],[Tech Start Date]]&lt;1/1/1990,"",IF(Main[[#This Row],[Class]]="C",WORKDAY(Main[[#This Row],[Tech Start Date]],9),IF(Main[[#This Row],[Class]]="B", WORKDAY(Main[[#This Row],[Tech Start Date]],6),IF(Main[[#This Row],[Class]]="A",WORKDAY(Main[[#This Row],[Tech Start Date]],2),""))))</f>
        <v/>
      </c>
      <c r="N1025" s="77" t="str">
        <f>IF(Main[[#This Row],[Tech Start Date]]&lt;1/1/1990,"",IF(Main[[#This Row],[Class]]="C",WORKDAY(Main[[#This Row],[Tech Start Date]],19),IF(Main[[#This Row],[Class]]="B", WORKDAY(Main[[#This Row],[Tech Start Date]],12),IF(Main[[#This Row],[Class]]="A",WORKDAY(Main[[#This Row],[Tech Start Date]],4),""))))</f>
        <v/>
      </c>
      <c r="O1025" s="77" t="str">
        <f>IF(Main[[#This Row],[Tech Start Date]]&lt;1/1/1990,"",IF(Main[[#This Row],[Class]]="C",WORKDAY(Main[[#This Row],[Tech Start Date]],23),IF(Main[[#This Row],[Class]]="B", WORKDAY(Main[[#This Row],[Tech Start Date]],15),IF(Main[[#This Row],[Class]]="A",WORKDAY(Main[[#This Row],[Tech Start Date]],5),""))))</f>
        <v/>
      </c>
      <c r="P1025" s="77" t="str">
        <f>IF(Main[[#This Row],[Tech Start Date]]&lt;1/1/1990,"",IF(Main[[#This Row],[Class]]="C",WORKDAY(Main[[#This Row],[Tech Start Date]],28),IF(Main[[#This Row],[Class]]="B", WORKDAY(Main[[#This Row],[Tech Start Date]],19),IF(Main[[#This Row],[Class]]="A",WORKDAY(Main[[#This Row],[Tech Start Date]],9),""))))</f>
        <v/>
      </c>
      <c r="Q1025" s="74"/>
      <c r="R1025" s="74"/>
      <c r="S1025" s="72" t="s">
        <v>49</v>
      </c>
      <c r="T1025" s="80" t="s">
        <v>4</v>
      </c>
      <c r="U1025" s="72" t="s">
        <v>14</v>
      </c>
      <c r="V1025" s="72" t="s">
        <v>1932</v>
      </c>
      <c r="W1025" s="72" t="s">
        <v>1936</v>
      </c>
      <c r="X1025" s="72" t="s">
        <v>310</v>
      </c>
      <c r="Y1025" s="72" t="s">
        <v>4</v>
      </c>
      <c r="Z1025" s="72" t="s">
        <v>4</v>
      </c>
      <c r="AA1025" s="147" t="s">
        <v>4</v>
      </c>
    </row>
    <row r="1026" spans="1:27" ht="18.600000000000001" customHeight="1">
      <c r="A1026" s="140" t="str">
        <f>IF(priority(Main[[#This Row],[Comments]])&lt;&gt;0, priority(Main[[#This Row],[Comments]]),"")</f>
        <v/>
      </c>
      <c r="B1026" s="90" t="s">
        <v>1360</v>
      </c>
      <c r="C1026" s="72" t="s">
        <v>438</v>
      </c>
      <c r="D1026" s="73" t="s">
        <v>439</v>
      </c>
      <c r="E1026" s="74">
        <v>40505.653032407405</v>
      </c>
      <c r="F1026" s="74"/>
      <c r="G1026" s="75" t="str">
        <f>IF(stdProdLT(Main[[#This Row],[Comments]])=0.1,"N/A",IF(stdProdLT(Main[[#This Row],[Comments]])=0,"",stdProdLT(Main[[#This Row],[Comments]])))</f>
        <v/>
      </c>
      <c r="H1026" s="76" t="str">
        <f>IF(AND(Main[[#This Row],[In Stock Date]]&lt;&gt;"",Main[[#This Row],[Revised Due Date]]&lt;&gt;""),Main[[#This Row],[In Stock Date]]-Main[[#This Row],[Revised Due Date]],"")</f>
        <v/>
      </c>
      <c r="I1026" s="72" t="s">
        <v>30</v>
      </c>
      <c r="J1026" s="72" t="s">
        <v>28</v>
      </c>
      <c r="K1026" s="72" t="s">
        <v>1944</v>
      </c>
      <c r="L1026" s="74"/>
      <c r="M1026" s="77" t="str">
        <f>IF(Main[[#This Row],[Tech Start Date]]&lt;1/1/1990,"",IF(Main[[#This Row],[Class]]="C",WORKDAY(Main[[#This Row],[Tech Start Date]],9),IF(Main[[#This Row],[Class]]="B", WORKDAY(Main[[#This Row],[Tech Start Date]],6),IF(Main[[#This Row],[Class]]="A",WORKDAY(Main[[#This Row],[Tech Start Date]],2),""))))</f>
        <v/>
      </c>
      <c r="N1026" s="77" t="str">
        <f>IF(Main[[#This Row],[Tech Start Date]]&lt;1/1/1990,"",IF(Main[[#This Row],[Class]]="C",WORKDAY(Main[[#This Row],[Tech Start Date]],19),IF(Main[[#This Row],[Class]]="B", WORKDAY(Main[[#This Row],[Tech Start Date]],12),IF(Main[[#This Row],[Class]]="A",WORKDAY(Main[[#This Row],[Tech Start Date]],4),""))))</f>
        <v/>
      </c>
      <c r="O1026" s="77" t="str">
        <f>IF(Main[[#This Row],[Tech Start Date]]&lt;1/1/1990,"",IF(Main[[#This Row],[Class]]="C",WORKDAY(Main[[#This Row],[Tech Start Date]],23),IF(Main[[#This Row],[Class]]="B", WORKDAY(Main[[#This Row],[Tech Start Date]],15),IF(Main[[#This Row],[Class]]="A",WORKDAY(Main[[#This Row],[Tech Start Date]],5),""))))</f>
        <v/>
      </c>
      <c r="P1026" s="77" t="str">
        <f>IF(Main[[#This Row],[Tech Start Date]]&lt;1/1/1990,"",IF(Main[[#This Row],[Class]]="C",WORKDAY(Main[[#This Row],[Tech Start Date]],28),IF(Main[[#This Row],[Class]]="B", WORKDAY(Main[[#This Row],[Tech Start Date]],19),IF(Main[[#This Row],[Class]]="A",WORKDAY(Main[[#This Row],[Tech Start Date]],9),""))))</f>
        <v/>
      </c>
      <c r="Q1026" s="74">
        <v>40620</v>
      </c>
      <c r="R1026" s="74"/>
      <c r="S1026" s="72" t="s">
        <v>17</v>
      </c>
      <c r="T1026" s="80" t="s">
        <v>4</v>
      </c>
      <c r="U1026" s="72" t="s">
        <v>29</v>
      </c>
      <c r="V1026" s="72" t="s">
        <v>1935</v>
      </c>
      <c r="W1026" s="72" t="s">
        <v>1937</v>
      </c>
      <c r="X1026" s="72" t="s">
        <v>775</v>
      </c>
      <c r="Y1026" s="72" t="s">
        <v>3208</v>
      </c>
      <c r="Z1026" s="72" t="s">
        <v>30</v>
      </c>
      <c r="AA1026" s="147" t="s">
        <v>3638</v>
      </c>
    </row>
    <row r="1027" spans="1:27" ht="18.600000000000001" customHeight="1">
      <c r="A1027" s="140" t="str">
        <f>IF(priority(Main[[#This Row],[Comments]])&lt;&gt;0, priority(Main[[#This Row],[Comments]]),"")</f>
        <v/>
      </c>
      <c r="B1027" s="90" t="s">
        <v>1489</v>
      </c>
      <c r="C1027" s="72" t="s">
        <v>4</v>
      </c>
      <c r="D1027" s="73" t="s">
        <v>2441</v>
      </c>
      <c r="E1027" s="74">
        <v>40627.399282407408</v>
      </c>
      <c r="F1027" s="74"/>
      <c r="G1027" s="75" t="str">
        <f>IF(stdProdLT(Main[[#This Row],[Comments]])=0.1,"N/A",IF(stdProdLT(Main[[#This Row],[Comments]])=0,"",stdProdLT(Main[[#This Row],[Comments]])))</f>
        <v/>
      </c>
      <c r="H1027" s="76" t="str">
        <f>IF(AND(Main[[#This Row],[In Stock Date]]&lt;&gt;"",Main[[#This Row],[Revised Due Date]]&lt;&gt;""),Main[[#This Row],[In Stock Date]]-Main[[#This Row],[Revised Due Date]],"")</f>
        <v/>
      </c>
      <c r="I1027" s="72" t="s">
        <v>923</v>
      </c>
      <c r="J1027" s="72" t="s">
        <v>52</v>
      </c>
      <c r="K1027" s="72" t="s">
        <v>1941</v>
      </c>
      <c r="L1027" s="74"/>
      <c r="M1027" s="77" t="str">
        <f>IF(Main[[#This Row],[Tech Start Date]]&lt;1/1/1990,"",IF(Main[[#This Row],[Class]]="C",WORKDAY(Main[[#This Row],[Tech Start Date]],9),IF(Main[[#This Row],[Class]]="B", WORKDAY(Main[[#This Row],[Tech Start Date]],6),IF(Main[[#This Row],[Class]]="A",WORKDAY(Main[[#This Row],[Tech Start Date]],2),""))))</f>
        <v/>
      </c>
      <c r="N1027" s="77" t="str">
        <f>IF(Main[[#This Row],[Tech Start Date]]&lt;1/1/1990,"",IF(Main[[#This Row],[Class]]="C",WORKDAY(Main[[#This Row],[Tech Start Date]],19),IF(Main[[#This Row],[Class]]="B", WORKDAY(Main[[#This Row],[Tech Start Date]],12),IF(Main[[#This Row],[Class]]="A",WORKDAY(Main[[#This Row],[Tech Start Date]],4),""))))</f>
        <v/>
      </c>
      <c r="O1027" s="77" t="str">
        <f>IF(Main[[#This Row],[Tech Start Date]]&lt;1/1/1990,"",IF(Main[[#This Row],[Class]]="C",WORKDAY(Main[[#This Row],[Tech Start Date]],23),IF(Main[[#This Row],[Class]]="B", WORKDAY(Main[[#This Row],[Tech Start Date]],15),IF(Main[[#This Row],[Class]]="A",WORKDAY(Main[[#This Row],[Tech Start Date]],5),""))))</f>
        <v/>
      </c>
      <c r="P1027" s="77" t="str">
        <f>IF(Main[[#This Row],[Tech Start Date]]&lt;1/1/1990,"",IF(Main[[#This Row],[Class]]="C",WORKDAY(Main[[#This Row],[Tech Start Date]],28),IF(Main[[#This Row],[Class]]="B", WORKDAY(Main[[#This Row],[Tech Start Date]],19),IF(Main[[#This Row],[Class]]="A",WORKDAY(Main[[#This Row],[Tech Start Date]],9),""))))</f>
        <v/>
      </c>
      <c r="Q1027" s="74">
        <v>40632</v>
      </c>
      <c r="R1027" s="74"/>
      <c r="S1027" s="72" t="s">
        <v>6</v>
      </c>
      <c r="T1027" s="80" t="s">
        <v>4</v>
      </c>
      <c r="U1027" s="72" t="s">
        <v>29</v>
      </c>
      <c r="V1027" s="72" t="s">
        <v>1932</v>
      </c>
      <c r="W1027" s="72" t="s">
        <v>1936</v>
      </c>
      <c r="X1027" s="72" t="s">
        <v>949</v>
      </c>
      <c r="Y1027" s="72" t="s">
        <v>3071</v>
      </c>
      <c r="Z1027" s="72" t="s">
        <v>129</v>
      </c>
      <c r="AA1027" s="147" t="s">
        <v>949</v>
      </c>
    </row>
    <row r="1028" spans="1:27" ht="18.600000000000001" customHeight="1">
      <c r="A1028" s="140" t="str">
        <f>IF(priority(Main[[#This Row],[Comments]])&lt;&gt;0, priority(Main[[#This Row],[Comments]]),"")</f>
        <v/>
      </c>
      <c r="B1028" s="90" t="s">
        <v>1397</v>
      </c>
      <c r="C1028" s="72" t="s">
        <v>4</v>
      </c>
      <c r="D1028" s="73" t="s">
        <v>2442</v>
      </c>
      <c r="E1028" s="74">
        <v>40555.34138888889</v>
      </c>
      <c r="F1028" s="74">
        <v>40592</v>
      </c>
      <c r="G1028" s="75" t="str">
        <f>IF(stdProdLT(Main[[#This Row],[Comments]])=0.1,"N/A",IF(stdProdLT(Main[[#This Row],[Comments]])=0,"",stdProdLT(Main[[#This Row],[Comments]])))</f>
        <v/>
      </c>
      <c r="H1028" s="76" t="str">
        <f>IF(AND(Main[[#This Row],[In Stock Date]]&lt;&gt;"",Main[[#This Row],[Revised Due Date]]&lt;&gt;""),Main[[#This Row],[In Stock Date]]-Main[[#This Row],[Revised Due Date]],"")</f>
        <v/>
      </c>
      <c r="I1028" s="72" t="s">
        <v>923</v>
      </c>
      <c r="J1028" s="72" t="s">
        <v>52</v>
      </c>
      <c r="K1028" s="81" t="s">
        <v>1939</v>
      </c>
      <c r="L1028" s="74"/>
      <c r="M1028" s="77" t="str">
        <f>IF(Main[[#This Row],[Tech Start Date]]&lt;1/1/1990,"",IF(Main[[#This Row],[Class]]="C",WORKDAY(Main[[#This Row],[Tech Start Date]],9),IF(Main[[#This Row],[Class]]="B", WORKDAY(Main[[#This Row],[Tech Start Date]],6),IF(Main[[#This Row],[Class]]="A",WORKDAY(Main[[#This Row],[Tech Start Date]],2),""))))</f>
        <v/>
      </c>
      <c r="N1028" s="77" t="str">
        <f>IF(Main[[#This Row],[Tech Start Date]]&lt;1/1/1990,"",IF(Main[[#This Row],[Class]]="C",WORKDAY(Main[[#This Row],[Tech Start Date]],19),IF(Main[[#This Row],[Class]]="B", WORKDAY(Main[[#This Row],[Tech Start Date]],12),IF(Main[[#This Row],[Class]]="A",WORKDAY(Main[[#This Row],[Tech Start Date]],4),""))))</f>
        <v/>
      </c>
      <c r="O1028" s="77" t="str">
        <f>IF(Main[[#This Row],[Tech Start Date]]&lt;1/1/1990,"",IF(Main[[#This Row],[Class]]="C",WORKDAY(Main[[#This Row],[Tech Start Date]],23),IF(Main[[#This Row],[Class]]="B", WORKDAY(Main[[#This Row],[Tech Start Date]],15),IF(Main[[#This Row],[Class]]="A",WORKDAY(Main[[#This Row],[Tech Start Date]],5),""))))</f>
        <v/>
      </c>
      <c r="P1028" s="77" t="str">
        <f>IF(Main[[#This Row],[Tech Start Date]]&lt;1/1/1990,"",IF(Main[[#This Row],[Class]]="C",WORKDAY(Main[[#This Row],[Tech Start Date]],28),IF(Main[[#This Row],[Class]]="B", WORKDAY(Main[[#This Row],[Tech Start Date]],19),IF(Main[[#This Row],[Class]]="A",WORKDAY(Main[[#This Row],[Tech Start Date]],9),""))))</f>
        <v/>
      </c>
      <c r="Q1028" s="74">
        <v>40592</v>
      </c>
      <c r="R1028" s="74"/>
      <c r="S1028" s="72" t="s">
        <v>6</v>
      </c>
      <c r="T1028" s="80" t="s">
        <v>4</v>
      </c>
      <c r="U1028" s="72" t="s">
        <v>29</v>
      </c>
      <c r="V1028" s="72" t="s">
        <v>1932</v>
      </c>
      <c r="W1028" s="72" t="s">
        <v>1934</v>
      </c>
      <c r="X1028" s="72" t="s">
        <v>2902</v>
      </c>
      <c r="Y1028" s="72" t="s">
        <v>3016</v>
      </c>
      <c r="Z1028" s="72" t="s">
        <v>129</v>
      </c>
      <c r="AA1028" s="147" t="s">
        <v>2902</v>
      </c>
    </row>
    <row r="1029" spans="1:27" ht="18.600000000000001" customHeight="1">
      <c r="A1029" s="140" t="str">
        <f>IF(priority(Main[[#This Row],[Comments]])&lt;&gt;0, priority(Main[[#This Row],[Comments]]),"")</f>
        <v/>
      </c>
      <c r="B1029" s="90" t="s">
        <v>2083</v>
      </c>
      <c r="C1029" s="72" t="s">
        <v>4</v>
      </c>
      <c r="D1029" s="73" t="s">
        <v>2330</v>
      </c>
      <c r="E1029" s="74">
        <v>40758.6172337963</v>
      </c>
      <c r="F1029" s="74"/>
      <c r="G1029" s="75" t="str">
        <f>IF(stdProdLT(Main[[#This Row],[Comments]])=0.1,"N/A",IF(stdProdLT(Main[[#This Row],[Comments]])=0,"",stdProdLT(Main[[#This Row],[Comments]])))</f>
        <v/>
      </c>
      <c r="H1029" s="76" t="str">
        <f>IF(AND(Main[[#This Row],[In Stock Date]]&lt;&gt;"",Main[[#This Row],[Revised Due Date]]&lt;&gt;""),Main[[#This Row],[In Stock Date]]-Main[[#This Row],[Revised Due Date]],"")</f>
        <v/>
      </c>
      <c r="I1029" s="72" t="s">
        <v>535</v>
      </c>
      <c r="J1029" s="72" t="s">
        <v>21</v>
      </c>
      <c r="K1029" s="81" t="s">
        <v>1941</v>
      </c>
      <c r="L1029" s="74"/>
      <c r="M1029" s="77" t="str">
        <f>IF(Main[[#This Row],[Tech Start Date]]&lt;1/1/1990,"",IF(Main[[#This Row],[Class]]="C",WORKDAY(Main[[#This Row],[Tech Start Date]],9),IF(Main[[#This Row],[Class]]="B", WORKDAY(Main[[#This Row],[Tech Start Date]],6),IF(Main[[#This Row],[Class]]="A",WORKDAY(Main[[#This Row],[Tech Start Date]],2),""))))</f>
        <v/>
      </c>
      <c r="N1029" s="77" t="str">
        <f>IF(Main[[#This Row],[Tech Start Date]]&lt;1/1/1990,"",IF(Main[[#This Row],[Class]]="C",WORKDAY(Main[[#This Row],[Tech Start Date]],19),IF(Main[[#This Row],[Class]]="B", WORKDAY(Main[[#This Row],[Tech Start Date]],12),IF(Main[[#This Row],[Class]]="A",WORKDAY(Main[[#This Row],[Tech Start Date]],4),""))))</f>
        <v/>
      </c>
      <c r="O1029" s="77" t="str">
        <f>IF(Main[[#This Row],[Tech Start Date]]&lt;1/1/1990,"",IF(Main[[#This Row],[Class]]="C",WORKDAY(Main[[#This Row],[Tech Start Date]],23),IF(Main[[#This Row],[Class]]="B", WORKDAY(Main[[#This Row],[Tech Start Date]],15),IF(Main[[#This Row],[Class]]="A",WORKDAY(Main[[#This Row],[Tech Start Date]],5),""))))</f>
        <v/>
      </c>
      <c r="P1029" s="77" t="str">
        <f>IF(Main[[#This Row],[Tech Start Date]]&lt;1/1/1990,"",IF(Main[[#This Row],[Class]]="C",WORKDAY(Main[[#This Row],[Tech Start Date]],28),IF(Main[[#This Row],[Class]]="B", WORKDAY(Main[[#This Row],[Tech Start Date]],19),IF(Main[[#This Row],[Class]]="A",WORKDAY(Main[[#This Row],[Tech Start Date]],9),""))))</f>
        <v/>
      </c>
      <c r="Q1029" s="74"/>
      <c r="R1029" s="74"/>
      <c r="S1029" s="72" t="s">
        <v>6</v>
      </c>
      <c r="T1029" s="80" t="s">
        <v>4</v>
      </c>
      <c r="U1029" s="72" t="s">
        <v>29</v>
      </c>
      <c r="V1029" s="72" t="s">
        <v>1935</v>
      </c>
      <c r="W1029" s="72" t="s">
        <v>1936</v>
      </c>
      <c r="X1029" s="72" t="s">
        <v>102</v>
      </c>
      <c r="Y1029" s="72" t="s">
        <v>3210</v>
      </c>
      <c r="Z1029" s="72" t="s">
        <v>535</v>
      </c>
      <c r="AA1029" s="147" t="s">
        <v>3639</v>
      </c>
    </row>
    <row r="1030" spans="1:27" ht="18.600000000000001" customHeight="1">
      <c r="A1030" s="140" t="str">
        <f>IF(priority(Main[[#This Row],[Comments]])&lt;&gt;0, priority(Main[[#This Row],[Comments]]),"")</f>
        <v/>
      </c>
      <c r="B1030" s="90" t="s">
        <v>2246</v>
      </c>
      <c r="C1030" s="72" t="s">
        <v>4</v>
      </c>
      <c r="D1030" s="73" t="s">
        <v>2443</v>
      </c>
      <c r="E1030" s="74">
        <v>40798.679803240739</v>
      </c>
      <c r="F1030" s="74"/>
      <c r="G1030" s="75" t="str">
        <f>IF(stdProdLT(Main[[#This Row],[Comments]])=0.1,"N/A",IF(stdProdLT(Main[[#This Row],[Comments]])=0,"",stdProdLT(Main[[#This Row],[Comments]])))</f>
        <v/>
      </c>
      <c r="H1030" s="76" t="str">
        <f>IF(AND(Main[[#This Row],[In Stock Date]]&lt;&gt;"",Main[[#This Row],[Revised Due Date]]&lt;&gt;""),Main[[#This Row],[In Stock Date]]-Main[[#This Row],[Revised Due Date]],"")</f>
        <v/>
      </c>
      <c r="I1030" s="72" t="s">
        <v>775</v>
      </c>
      <c r="J1030" s="72" t="s">
        <v>52</v>
      </c>
      <c r="K1030" s="72" t="s">
        <v>1941</v>
      </c>
      <c r="L1030" s="74"/>
      <c r="M1030" s="77" t="str">
        <f>IF(Main[[#This Row],[Tech Start Date]]&lt;1/1/1990,"",IF(Main[[#This Row],[Class]]="C",WORKDAY(Main[[#This Row],[Tech Start Date]],9),IF(Main[[#This Row],[Class]]="B", WORKDAY(Main[[#This Row],[Tech Start Date]],6),IF(Main[[#This Row],[Class]]="A",WORKDAY(Main[[#This Row],[Tech Start Date]],2),""))))</f>
        <v/>
      </c>
      <c r="N1030" s="77" t="str">
        <f>IF(Main[[#This Row],[Tech Start Date]]&lt;1/1/1990,"",IF(Main[[#This Row],[Class]]="C",WORKDAY(Main[[#This Row],[Tech Start Date]],19),IF(Main[[#This Row],[Class]]="B", WORKDAY(Main[[#This Row],[Tech Start Date]],12),IF(Main[[#This Row],[Class]]="A",WORKDAY(Main[[#This Row],[Tech Start Date]],4),""))))</f>
        <v/>
      </c>
      <c r="O1030" s="77" t="str">
        <f>IF(Main[[#This Row],[Tech Start Date]]&lt;1/1/1990,"",IF(Main[[#This Row],[Class]]="C",WORKDAY(Main[[#This Row],[Tech Start Date]],23),IF(Main[[#This Row],[Class]]="B", WORKDAY(Main[[#This Row],[Tech Start Date]],15),IF(Main[[#This Row],[Class]]="A",WORKDAY(Main[[#This Row],[Tech Start Date]],5),""))))</f>
        <v/>
      </c>
      <c r="P1030" s="77" t="str">
        <f>IF(Main[[#This Row],[Tech Start Date]]&lt;1/1/1990,"",IF(Main[[#This Row],[Class]]="C",WORKDAY(Main[[#This Row],[Tech Start Date]],28),IF(Main[[#This Row],[Class]]="B", WORKDAY(Main[[#This Row],[Tech Start Date]],19),IF(Main[[#This Row],[Class]]="A",WORKDAY(Main[[#This Row],[Tech Start Date]],9),""))))</f>
        <v/>
      </c>
      <c r="Q1030" s="74">
        <v>40847</v>
      </c>
      <c r="R1030" s="74"/>
      <c r="S1030" s="72" t="s">
        <v>6</v>
      </c>
      <c r="T1030" s="80" t="s">
        <v>4</v>
      </c>
      <c r="U1030" s="72" t="s">
        <v>29</v>
      </c>
      <c r="V1030" s="72" t="s">
        <v>1935</v>
      </c>
      <c r="W1030" s="72" t="s">
        <v>1936</v>
      </c>
      <c r="X1030" s="72" t="s">
        <v>30</v>
      </c>
      <c r="Y1030" s="72" t="s">
        <v>3027</v>
      </c>
      <c r="Z1030" s="72" t="s">
        <v>30</v>
      </c>
      <c r="AA1030" s="147" t="s">
        <v>30</v>
      </c>
    </row>
    <row r="1031" spans="1:27" ht="18.600000000000001" customHeight="1">
      <c r="A1031" s="140" t="str">
        <f>IF(priority(Main[[#This Row],[Comments]])&lt;&gt;0, priority(Main[[#This Row],[Comments]]),"")</f>
        <v/>
      </c>
      <c r="B1031" s="90" t="s">
        <v>2444</v>
      </c>
      <c r="C1031" s="72" t="s">
        <v>4</v>
      </c>
      <c r="D1031" s="73" t="s">
        <v>2445</v>
      </c>
      <c r="E1031" s="74">
        <v>40843.719166666669</v>
      </c>
      <c r="F1031" s="74"/>
      <c r="G1031" s="75" t="str">
        <f>IF(stdProdLT(Main[[#This Row],[Comments]])=0.1,"N/A",IF(stdProdLT(Main[[#This Row],[Comments]])=0,"",stdProdLT(Main[[#This Row],[Comments]])))</f>
        <v/>
      </c>
      <c r="H1031" s="76" t="str">
        <f>IF(AND(Main[[#This Row],[In Stock Date]]&lt;&gt;"",Main[[#This Row],[Revised Due Date]]&lt;&gt;""),Main[[#This Row],[In Stock Date]]-Main[[#This Row],[Revised Due Date]],"")</f>
        <v/>
      </c>
      <c r="I1031" s="72" t="s">
        <v>4</v>
      </c>
      <c r="J1031" s="72" t="s">
        <v>51</v>
      </c>
      <c r="K1031" s="72" t="s">
        <v>4</v>
      </c>
      <c r="L1031" s="74"/>
      <c r="M1031" s="77" t="str">
        <f>IF(Main[[#This Row],[Tech Start Date]]&lt;1/1/1990,"",IF(Main[[#This Row],[Class]]="C",WORKDAY(Main[[#This Row],[Tech Start Date]],9),IF(Main[[#This Row],[Class]]="B", WORKDAY(Main[[#This Row],[Tech Start Date]],6),IF(Main[[#This Row],[Class]]="A",WORKDAY(Main[[#This Row],[Tech Start Date]],2),""))))</f>
        <v/>
      </c>
      <c r="N1031" s="77" t="str">
        <f>IF(Main[[#This Row],[Tech Start Date]]&lt;1/1/1990,"",IF(Main[[#This Row],[Class]]="C",WORKDAY(Main[[#This Row],[Tech Start Date]],19),IF(Main[[#This Row],[Class]]="B", WORKDAY(Main[[#This Row],[Tech Start Date]],12),IF(Main[[#This Row],[Class]]="A",WORKDAY(Main[[#This Row],[Tech Start Date]],4),""))))</f>
        <v/>
      </c>
      <c r="O1031" s="77" t="str">
        <f>IF(Main[[#This Row],[Tech Start Date]]&lt;1/1/1990,"",IF(Main[[#This Row],[Class]]="C",WORKDAY(Main[[#This Row],[Tech Start Date]],23),IF(Main[[#This Row],[Class]]="B", WORKDAY(Main[[#This Row],[Tech Start Date]],15),IF(Main[[#This Row],[Class]]="A",WORKDAY(Main[[#This Row],[Tech Start Date]],5),""))))</f>
        <v/>
      </c>
      <c r="P1031" s="77" t="str">
        <f>IF(Main[[#This Row],[Tech Start Date]]&lt;1/1/1990,"",IF(Main[[#This Row],[Class]]="C",WORKDAY(Main[[#This Row],[Tech Start Date]],28),IF(Main[[#This Row],[Class]]="B", WORKDAY(Main[[#This Row],[Tech Start Date]],19),IF(Main[[#This Row],[Class]]="A",WORKDAY(Main[[#This Row],[Tech Start Date]],9),""))))</f>
        <v/>
      </c>
      <c r="Q1031" s="74"/>
      <c r="R1031" s="74"/>
      <c r="S1031" s="72" t="s">
        <v>6</v>
      </c>
      <c r="T1031" s="80" t="s">
        <v>2446</v>
      </c>
      <c r="U1031" s="72" t="s">
        <v>539</v>
      </c>
      <c r="V1031" s="72" t="s">
        <v>1932</v>
      </c>
      <c r="W1031" s="72" t="s">
        <v>1938</v>
      </c>
      <c r="X1031" s="72" t="s">
        <v>310</v>
      </c>
      <c r="Y1031" s="72" t="s">
        <v>4</v>
      </c>
      <c r="Z1031" s="72" t="s">
        <v>4</v>
      </c>
      <c r="AA1031" s="147" t="s">
        <v>2923</v>
      </c>
    </row>
    <row r="1032" spans="1:27" ht="18.600000000000001" customHeight="1">
      <c r="A1032" s="140" t="str">
        <f>IF(priority(Main[[#This Row],[Comments]])&lt;&gt;0, priority(Main[[#This Row],[Comments]]),"")</f>
        <v/>
      </c>
      <c r="B1032" s="90" t="s">
        <v>2100</v>
      </c>
      <c r="C1032" s="72" t="s">
        <v>4</v>
      </c>
      <c r="D1032" s="73" t="s">
        <v>2101</v>
      </c>
      <c r="E1032" s="74"/>
      <c r="F1032" s="74"/>
      <c r="G1032" s="75" t="str">
        <f>IF(stdProdLT(Main[[#This Row],[Comments]])=0.1,"N/A",IF(stdProdLT(Main[[#This Row],[Comments]])=0,"",stdProdLT(Main[[#This Row],[Comments]])))</f>
        <v/>
      </c>
      <c r="H1032" s="76" t="str">
        <f>IF(AND(Main[[#This Row],[In Stock Date]]&lt;&gt;"",Main[[#This Row],[Revised Due Date]]&lt;&gt;""),Main[[#This Row],[In Stock Date]]-Main[[#This Row],[Revised Due Date]],"")</f>
        <v/>
      </c>
      <c r="I1032" s="72" t="s">
        <v>4</v>
      </c>
      <c r="J1032" s="72" t="s">
        <v>4</v>
      </c>
      <c r="K1032" s="72" t="s">
        <v>4</v>
      </c>
      <c r="L1032" s="74"/>
      <c r="M1032" s="77" t="str">
        <f>IF(Main[[#This Row],[Tech Start Date]]&lt;1/1/1990,"",IF(Main[[#This Row],[Class]]="C",WORKDAY(Main[[#This Row],[Tech Start Date]],9),IF(Main[[#This Row],[Class]]="B", WORKDAY(Main[[#This Row],[Tech Start Date]],6),IF(Main[[#This Row],[Class]]="A",WORKDAY(Main[[#This Row],[Tech Start Date]],2),""))))</f>
        <v/>
      </c>
      <c r="N1032" s="77" t="str">
        <f>IF(Main[[#This Row],[Tech Start Date]]&lt;1/1/1990,"",IF(Main[[#This Row],[Class]]="C",WORKDAY(Main[[#This Row],[Tech Start Date]],19),IF(Main[[#This Row],[Class]]="B", WORKDAY(Main[[#This Row],[Tech Start Date]],12),IF(Main[[#This Row],[Class]]="A",WORKDAY(Main[[#This Row],[Tech Start Date]],4),""))))</f>
        <v/>
      </c>
      <c r="O1032" s="77" t="str">
        <f>IF(Main[[#This Row],[Tech Start Date]]&lt;1/1/1990,"",IF(Main[[#This Row],[Class]]="C",WORKDAY(Main[[#This Row],[Tech Start Date]],23),IF(Main[[#This Row],[Class]]="B", WORKDAY(Main[[#This Row],[Tech Start Date]],15),IF(Main[[#This Row],[Class]]="A",WORKDAY(Main[[#This Row],[Tech Start Date]],5),""))))</f>
        <v/>
      </c>
      <c r="P1032" s="77" t="str">
        <f>IF(Main[[#This Row],[Tech Start Date]]&lt;1/1/1990,"",IF(Main[[#This Row],[Class]]="C",WORKDAY(Main[[#This Row],[Tech Start Date]],28),IF(Main[[#This Row],[Class]]="B", WORKDAY(Main[[#This Row],[Tech Start Date]],19),IF(Main[[#This Row],[Class]]="A",WORKDAY(Main[[#This Row],[Tech Start Date]],9),""))))</f>
        <v/>
      </c>
      <c r="Q1032" s="74"/>
      <c r="R1032" s="74"/>
      <c r="S1032" s="72" t="s">
        <v>6</v>
      </c>
      <c r="T1032" s="80" t="s">
        <v>4</v>
      </c>
      <c r="U1032" s="72" t="s">
        <v>14</v>
      </c>
      <c r="V1032" s="72" t="s">
        <v>1932</v>
      </c>
      <c r="W1032" s="72" t="s">
        <v>1936</v>
      </c>
      <c r="X1032" s="72" t="s">
        <v>310</v>
      </c>
      <c r="Y1032" s="72" t="s">
        <v>4</v>
      </c>
      <c r="Z1032" s="72" t="s">
        <v>4</v>
      </c>
      <c r="AA1032" s="147" t="s">
        <v>4</v>
      </c>
    </row>
    <row r="1033" spans="1:27" ht="18.600000000000001" customHeight="1">
      <c r="A1033" s="141" t="str">
        <f>IF(priority(Main[[#This Row],[Comments]])&lt;&gt;0, priority(Main[[#This Row],[Comments]]),"")</f>
        <v/>
      </c>
      <c r="B1033" s="92" t="s">
        <v>1775</v>
      </c>
      <c r="C1033" s="93" t="s">
        <v>4</v>
      </c>
      <c r="D1033" s="84" t="s">
        <v>2447</v>
      </c>
      <c r="E1033" s="94">
        <v>40616.425347222219</v>
      </c>
      <c r="F1033" s="94"/>
      <c r="G1033" s="93" t="str">
        <f>IF(stdProdLT(Main[[#This Row],[Comments]])=0.1,"N/A",IF(stdProdLT(Main[[#This Row],[Comments]])=0,"",stdProdLT(Main[[#This Row],[Comments]])))</f>
        <v/>
      </c>
      <c r="H1033" s="95" t="str">
        <f>IF(AND(Main[[#This Row],[In Stock Date]]&lt;&gt;"",Main[[#This Row],[Revised Due Date]]&lt;&gt;""),Main[[#This Row],[In Stock Date]]-Main[[#This Row],[Revised Due Date]],"")</f>
        <v/>
      </c>
      <c r="I1033" s="93" t="s">
        <v>923</v>
      </c>
      <c r="J1033" s="93" t="s">
        <v>52</v>
      </c>
      <c r="K1033" s="93" t="s">
        <v>1941</v>
      </c>
      <c r="L1033" s="94"/>
      <c r="M1033" s="96" t="str">
        <f>IF(Main[[#This Row],[Tech Start Date]]&lt;1/1/1990,"",IF(Main[[#This Row],[Class]]="C",WORKDAY(Main[[#This Row],[Tech Start Date]],9),IF(Main[[#This Row],[Class]]="B", WORKDAY(Main[[#This Row],[Tech Start Date]],6),IF(Main[[#This Row],[Class]]="A",WORKDAY(Main[[#This Row],[Tech Start Date]],2),""))))</f>
        <v/>
      </c>
      <c r="N1033" s="96" t="str">
        <f>IF(Main[[#This Row],[Tech Start Date]]&lt;1/1/1990,"",IF(Main[[#This Row],[Class]]="C",WORKDAY(Main[[#This Row],[Tech Start Date]],19),IF(Main[[#This Row],[Class]]="B", WORKDAY(Main[[#This Row],[Tech Start Date]],12),IF(Main[[#This Row],[Class]]="A",WORKDAY(Main[[#This Row],[Tech Start Date]],4),""))))</f>
        <v/>
      </c>
      <c r="O1033" s="96" t="str">
        <f>IF(Main[[#This Row],[Tech Start Date]]&lt;1/1/1990,"",IF(Main[[#This Row],[Class]]="C",WORKDAY(Main[[#This Row],[Tech Start Date]],23),IF(Main[[#This Row],[Class]]="B", WORKDAY(Main[[#This Row],[Tech Start Date]],15),IF(Main[[#This Row],[Class]]="A",WORKDAY(Main[[#This Row],[Tech Start Date]],5),""))))</f>
        <v/>
      </c>
      <c r="P1033" s="96" t="str">
        <f>IF(Main[[#This Row],[Tech Start Date]]&lt;1/1/1990,"",IF(Main[[#This Row],[Class]]="C",WORKDAY(Main[[#This Row],[Tech Start Date]],28),IF(Main[[#This Row],[Class]]="B", WORKDAY(Main[[#This Row],[Tech Start Date]],19),IF(Main[[#This Row],[Class]]="A",WORKDAY(Main[[#This Row],[Tech Start Date]],9),""))))</f>
        <v/>
      </c>
      <c r="Q1033" s="94"/>
      <c r="R1033" s="94"/>
      <c r="S1033" s="93" t="s">
        <v>6</v>
      </c>
      <c r="T1033" s="97" t="s">
        <v>4</v>
      </c>
      <c r="U1033" s="93" t="s">
        <v>29</v>
      </c>
      <c r="V1033" s="93" t="s">
        <v>1932</v>
      </c>
      <c r="W1033" s="93" t="s">
        <v>1936</v>
      </c>
      <c r="X1033" s="83" t="s">
        <v>2987</v>
      </c>
      <c r="Y1033" s="83" t="s">
        <v>3170</v>
      </c>
      <c r="Z1033" s="83" t="s">
        <v>535</v>
      </c>
      <c r="AA1033" s="147" t="s">
        <v>2987</v>
      </c>
    </row>
    <row r="1034" spans="1:27" ht="18.600000000000001" customHeight="1">
      <c r="A1034" s="140" t="str">
        <f>IF(priority(Main[[#This Row],[Comments]])&lt;&gt;0, priority(Main[[#This Row],[Comments]]),"")</f>
        <v/>
      </c>
      <c r="B1034" s="90" t="s">
        <v>2295</v>
      </c>
      <c r="C1034" s="72" t="s">
        <v>4</v>
      </c>
      <c r="D1034" s="73" t="s">
        <v>2296</v>
      </c>
      <c r="E1034" s="74">
        <v>40808.345057870371</v>
      </c>
      <c r="F1034" s="74"/>
      <c r="G1034" s="75" t="str">
        <f>IF(stdProdLT(Main[[#This Row],[Comments]])=0.1,"N/A",IF(stdProdLT(Main[[#This Row],[Comments]])=0,"",stdProdLT(Main[[#This Row],[Comments]])))</f>
        <v/>
      </c>
      <c r="H1034" s="76" t="str">
        <f>IF(AND(Main[[#This Row],[In Stock Date]]&lt;&gt;"",Main[[#This Row],[Revised Due Date]]&lt;&gt;""),Main[[#This Row],[In Stock Date]]-Main[[#This Row],[Revised Due Date]],"")</f>
        <v/>
      </c>
      <c r="I1034" s="72" t="s">
        <v>4</v>
      </c>
      <c r="J1034" s="72" t="s">
        <v>4</v>
      </c>
      <c r="K1034" s="72" t="s">
        <v>4</v>
      </c>
      <c r="L1034" s="74"/>
      <c r="M1034" s="77" t="str">
        <f>IF(Main[[#This Row],[Tech Start Date]]&lt;1/1/1990,"",IF(Main[[#This Row],[Class]]="C",WORKDAY(Main[[#This Row],[Tech Start Date]],9),IF(Main[[#This Row],[Class]]="B", WORKDAY(Main[[#This Row],[Tech Start Date]],6),IF(Main[[#This Row],[Class]]="A",WORKDAY(Main[[#This Row],[Tech Start Date]],2),""))))</f>
        <v/>
      </c>
      <c r="N1034" s="77" t="str">
        <f>IF(Main[[#This Row],[Tech Start Date]]&lt;1/1/1990,"",IF(Main[[#This Row],[Class]]="C",WORKDAY(Main[[#This Row],[Tech Start Date]],19),IF(Main[[#This Row],[Class]]="B", WORKDAY(Main[[#This Row],[Tech Start Date]],12),IF(Main[[#This Row],[Class]]="A",WORKDAY(Main[[#This Row],[Tech Start Date]],4),""))))</f>
        <v/>
      </c>
      <c r="O1034" s="77" t="str">
        <f>IF(Main[[#This Row],[Tech Start Date]]&lt;1/1/1990,"",IF(Main[[#This Row],[Class]]="C",WORKDAY(Main[[#This Row],[Tech Start Date]],23),IF(Main[[#This Row],[Class]]="B", WORKDAY(Main[[#This Row],[Tech Start Date]],15),IF(Main[[#This Row],[Class]]="A",WORKDAY(Main[[#This Row],[Tech Start Date]],5),""))))</f>
        <v/>
      </c>
      <c r="P1034" s="77" t="str">
        <f>IF(Main[[#This Row],[Tech Start Date]]&lt;1/1/1990,"",IF(Main[[#This Row],[Class]]="C",WORKDAY(Main[[#This Row],[Tech Start Date]],28),IF(Main[[#This Row],[Class]]="B", WORKDAY(Main[[#This Row],[Tech Start Date]],19),IF(Main[[#This Row],[Class]]="A",WORKDAY(Main[[#This Row],[Tech Start Date]],9),""))))</f>
        <v/>
      </c>
      <c r="Q1034" s="74"/>
      <c r="R1034" s="74"/>
      <c r="S1034" s="72" t="s">
        <v>17</v>
      </c>
      <c r="T1034" s="80" t="s">
        <v>4</v>
      </c>
      <c r="U1034" s="72" t="s">
        <v>7</v>
      </c>
      <c r="V1034" s="72" t="s">
        <v>1942</v>
      </c>
      <c r="W1034" s="72" t="s">
        <v>1934</v>
      </c>
      <c r="X1034" s="72" t="s">
        <v>2950</v>
      </c>
      <c r="Y1034" s="72" t="s">
        <v>3087</v>
      </c>
      <c r="Z1034" s="72" t="s">
        <v>4</v>
      </c>
      <c r="AA1034" s="147" t="s">
        <v>2950</v>
      </c>
    </row>
    <row r="1035" spans="1:27" ht="18.600000000000001" customHeight="1">
      <c r="A1035" s="140" t="str">
        <f>IF(priority(Main[[#This Row],[Comments]])&lt;&gt;0, priority(Main[[#This Row],[Comments]]),"")</f>
        <v/>
      </c>
      <c r="B1035" s="90" t="s">
        <v>2266</v>
      </c>
      <c r="C1035" s="72" t="s">
        <v>4</v>
      </c>
      <c r="D1035" s="73" t="s">
        <v>2267</v>
      </c>
      <c r="E1035" s="74"/>
      <c r="F1035" s="74"/>
      <c r="G1035" s="75" t="str">
        <f>IF(stdProdLT(Main[[#This Row],[Comments]])=0.1,"N/A",IF(stdProdLT(Main[[#This Row],[Comments]])=0,"",stdProdLT(Main[[#This Row],[Comments]])))</f>
        <v/>
      </c>
      <c r="H1035" s="76" t="str">
        <f>IF(AND(Main[[#This Row],[In Stock Date]]&lt;&gt;"",Main[[#This Row],[Revised Due Date]]&lt;&gt;""),Main[[#This Row],[In Stock Date]]-Main[[#This Row],[Revised Due Date]],"")</f>
        <v/>
      </c>
      <c r="I1035" s="72" t="s">
        <v>4</v>
      </c>
      <c r="J1035" s="72" t="s">
        <v>4</v>
      </c>
      <c r="K1035" s="72" t="s">
        <v>4</v>
      </c>
      <c r="L1035" s="74"/>
      <c r="M1035" s="77" t="str">
        <f>IF(Main[[#This Row],[Tech Start Date]]&lt;1/1/1990,"",IF(Main[[#This Row],[Class]]="C",WORKDAY(Main[[#This Row],[Tech Start Date]],9),IF(Main[[#This Row],[Class]]="B", WORKDAY(Main[[#This Row],[Tech Start Date]],6),IF(Main[[#This Row],[Class]]="A",WORKDAY(Main[[#This Row],[Tech Start Date]],2),""))))</f>
        <v/>
      </c>
      <c r="N1035" s="77" t="str">
        <f>IF(Main[[#This Row],[Tech Start Date]]&lt;1/1/1990,"",IF(Main[[#This Row],[Class]]="C",WORKDAY(Main[[#This Row],[Tech Start Date]],19),IF(Main[[#This Row],[Class]]="B", WORKDAY(Main[[#This Row],[Tech Start Date]],12),IF(Main[[#This Row],[Class]]="A",WORKDAY(Main[[#This Row],[Tech Start Date]],4),""))))</f>
        <v/>
      </c>
      <c r="O1035" s="77" t="str">
        <f>IF(Main[[#This Row],[Tech Start Date]]&lt;1/1/1990,"",IF(Main[[#This Row],[Class]]="C",WORKDAY(Main[[#This Row],[Tech Start Date]],23),IF(Main[[#This Row],[Class]]="B", WORKDAY(Main[[#This Row],[Tech Start Date]],15),IF(Main[[#This Row],[Class]]="A",WORKDAY(Main[[#This Row],[Tech Start Date]],5),""))))</f>
        <v/>
      </c>
      <c r="P1035" s="77" t="str">
        <f>IF(Main[[#This Row],[Tech Start Date]]&lt;1/1/1990,"",IF(Main[[#This Row],[Class]]="C",WORKDAY(Main[[#This Row],[Tech Start Date]],28),IF(Main[[#This Row],[Class]]="B", WORKDAY(Main[[#This Row],[Tech Start Date]],19),IF(Main[[#This Row],[Class]]="A",WORKDAY(Main[[#This Row],[Tech Start Date]],9),""))))</f>
        <v/>
      </c>
      <c r="Q1035" s="74"/>
      <c r="R1035" s="74"/>
      <c r="S1035" s="72" t="s">
        <v>6</v>
      </c>
      <c r="T1035" s="80" t="s">
        <v>4</v>
      </c>
      <c r="U1035" s="72" t="s">
        <v>14</v>
      </c>
      <c r="V1035" s="72" t="s">
        <v>1935</v>
      </c>
      <c r="W1035" s="72" t="s">
        <v>1936</v>
      </c>
      <c r="X1035" s="72" t="s">
        <v>102</v>
      </c>
      <c r="Y1035" s="72" t="s">
        <v>4</v>
      </c>
      <c r="Z1035" s="72" t="s">
        <v>4</v>
      </c>
      <c r="AA1035" s="147" t="s">
        <v>3640</v>
      </c>
    </row>
    <row r="1036" spans="1:27" ht="18.600000000000001" customHeight="1">
      <c r="A1036" s="140" t="str">
        <f>IF(priority(Main[[#This Row],[Comments]])&lt;&gt;0, priority(Main[[#This Row],[Comments]]),"")</f>
        <v/>
      </c>
      <c r="B1036" s="90" t="s">
        <v>2268</v>
      </c>
      <c r="C1036" s="72" t="s">
        <v>4</v>
      </c>
      <c r="D1036" s="73" t="s">
        <v>2269</v>
      </c>
      <c r="E1036" s="74">
        <v>40801.476770833331</v>
      </c>
      <c r="F1036" s="74"/>
      <c r="G1036" s="75" t="str">
        <f>IF(stdProdLT(Main[[#This Row],[Comments]])=0.1,"N/A",IF(stdProdLT(Main[[#This Row],[Comments]])=0,"",stdProdLT(Main[[#This Row],[Comments]])))</f>
        <v/>
      </c>
      <c r="H1036" s="76" t="str">
        <f>IF(AND(Main[[#This Row],[In Stock Date]]&lt;&gt;"",Main[[#This Row],[Revised Due Date]]&lt;&gt;""),Main[[#This Row],[In Stock Date]]-Main[[#This Row],[Revised Due Date]],"")</f>
        <v/>
      </c>
      <c r="I1036" s="72" t="s">
        <v>4</v>
      </c>
      <c r="J1036" s="72" t="s">
        <v>4</v>
      </c>
      <c r="K1036" s="72" t="s">
        <v>4</v>
      </c>
      <c r="L1036" s="74"/>
      <c r="M1036" s="77" t="str">
        <f>IF(Main[[#This Row],[Tech Start Date]]&lt;1/1/1990,"",IF(Main[[#This Row],[Class]]="C",WORKDAY(Main[[#This Row],[Tech Start Date]],9),IF(Main[[#This Row],[Class]]="B", WORKDAY(Main[[#This Row],[Tech Start Date]],6),IF(Main[[#This Row],[Class]]="A",WORKDAY(Main[[#This Row],[Tech Start Date]],2),""))))</f>
        <v/>
      </c>
      <c r="N1036" s="77" t="str">
        <f>IF(Main[[#This Row],[Tech Start Date]]&lt;1/1/1990,"",IF(Main[[#This Row],[Class]]="C",WORKDAY(Main[[#This Row],[Tech Start Date]],19),IF(Main[[#This Row],[Class]]="B", WORKDAY(Main[[#This Row],[Tech Start Date]],12),IF(Main[[#This Row],[Class]]="A",WORKDAY(Main[[#This Row],[Tech Start Date]],4),""))))</f>
        <v/>
      </c>
      <c r="O1036" s="77" t="str">
        <f>IF(Main[[#This Row],[Tech Start Date]]&lt;1/1/1990,"",IF(Main[[#This Row],[Class]]="C",WORKDAY(Main[[#This Row],[Tech Start Date]],23),IF(Main[[#This Row],[Class]]="B", WORKDAY(Main[[#This Row],[Tech Start Date]],15),IF(Main[[#This Row],[Class]]="A",WORKDAY(Main[[#This Row],[Tech Start Date]],5),""))))</f>
        <v/>
      </c>
      <c r="P1036" s="77" t="str">
        <f>IF(Main[[#This Row],[Tech Start Date]]&lt;1/1/1990,"",IF(Main[[#This Row],[Class]]="C",WORKDAY(Main[[#This Row],[Tech Start Date]],28),IF(Main[[#This Row],[Class]]="B", WORKDAY(Main[[#This Row],[Tech Start Date]],19),IF(Main[[#This Row],[Class]]="A",WORKDAY(Main[[#This Row],[Tech Start Date]],9),""))))</f>
        <v/>
      </c>
      <c r="Q1036" s="74">
        <v>40828</v>
      </c>
      <c r="R1036" s="74"/>
      <c r="S1036" s="72" t="s">
        <v>6</v>
      </c>
      <c r="T1036" s="80" t="s">
        <v>4</v>
      </c>
      <c r="U1036" s="72" t="s">
        <v>7</v>
      </c>
      <c r="V1036" s="72" t="s">
        <v>1932</v>
      </c>
      <c r="W1036" s="72" t="s">
        <v>1940</v>
      </c>
      <c r="X1036" s="72" t="s">
        <v>2905</v>
      </c>
      <c r="Y1036" s="72" t="s">
        <v>3023</v>
      </c>
      <c r="Z1036" s="72" t="s">
        <v>4</v>
      </c>
      <c r="AA1036" s="147" t="s">
        <v>2905</v>
      </c>
    </row>
    <row r="1037" spans="1:27" ht="18.600000000000001" customHeight="1">
      <c r="A1037" s="140" t="str">
        <f>IF(priority(Main[[#This Row],[Comments]])&lt;&gt;0, priority(Main[[#This Row],[Comments]]),"")</f>
        <v/>
      </c>
      <c r="B1037" s="90" t="s">
        <v>1188</v>
      </c>
      <c r="C1037" s="72" t="s">
        <v>4</v>
      </c>
      <c r="D1037" s="73" t="s">
        <v>232</v>
      </c>
      <c r="E1037" s="74">
        <v>40847.6950462963</v>
      </c>
      <c r="F1037" s="74"/>
      <c r="G1037" s="75" t="str">
        <f>IF(stdProdLT(Main[[#This Row],[Comments]])=0.1,"N/A",IF(stdProdLT(Main[[#This Row],[Comments]])=0,"",stdProdLT(Main[[#This Row],[Comments]])))</f>
        <v/>
      </c>
      <c r="H1037" s="76" t="str">
        <f>IF(AND(Main[[#This Row],[In Stock Date]]&lt;&gt;"",Main[[#This Row],[Revised Due Date]]&lt;&gt;""),Main[[#This Row],[In Stock Date]]-Main[[#This Row],[Revised Due Date]],"")</f>
        <v/>
      </c>
      <c r="I1037" s="72" t="s">
        <v>4</v>
      </c>
      <c r="J1037" s="72" t="s">
        <v>4</v>
      </c>
      <c r="K1037" s="72" t="s">
        <v>4</v>
      </c>
      <c r="L1037" s="74"/>
      <c r="M1037" s="77" t="str">
        <f>IF(Main[[#This Row],[Tech Start Date]]&lt;1/1/1990,"",IF(Main[[#This Row],[Class]]="C",WORKDAY(Main[[#This Row],[Tech Start Date]],9),IF(Main[[#This Row],[Class]]="B", WORKDAY(Main[[#This Row],[Tech Start Date]],6),IF(Main[[#This Row],[Class]]="A",WORKDAY(Main[[#This Row],[Tech Start Date]],2),""))))</f>
        <v/>
      </c>
      <c r="N1037" s="77" t="str">
        <f>IF(Main[[#This Row],[Tech Start Date]]&lt;1/1/1990,"",IF(Main[[#This Row],[Class]]="C",WORKDAY(Main[[#This Row],[Tech Start Date]],19),IF(Main[[#This Row],[Class]]="B", WORKDAY(Main[[#This Row],[Tech Start Date]],12),IF(Main[[#This Row],[Class]]="A",WORKDAY(Main[[#This Row],[Tech Start Date]],4),""))))</f>
        <v/>
      </c>
      <c r="O1037" s="77" t="str">
        <f>IF(Main[[#This Row],[Tech Start Date]]&lt;1/1/1990,"",IF(Main[[#This Row],[Class]]="C",WORKDAY(Main[[#This Row],[Tech Start Date]],23),IF(Main[[#This Row],[Class]]="B", WORKDAY(Main[[#This Row],[Tech Start Date]],15),IF(Main[[#This Row],[Class]]="A",WORKDAY(Main[[#This Row],[Tech Start Date]],5),""))))</f>
        <v/>
      </c>
      <c r="P1037" s="77" t="str">
        <f>IF(Main[[#This Row],[Tech Start Date]]&lt;1/1/1990,"",IF(Main[[#This Row],[Class]]="C",WORKDAY(Main[[#This Row],[Tech Start Date]],28),IF(Main[[#This Row],[Class]]="B", WORKDAY(Main[[#This Row],[Tech Start Date]],19),IF(Main[[#This Row],[Class]]="A",WORKDAY(Main[[#This Row],[Tech Start Date]],9),""))))</f>
        <v/>
      </c>
      <c r="Q1037" s="74"/>
      <c r="R1037" s="74"/>
      <c r="S1037" s="72" t="s">
        <v>49</v>
      </c>
      <c r="T1037" s="80" t="s">
        <v>4</v>
      </c>
      <c r="U1037" s="72" t="s">
        <v>7</v>
      </c>
      <c r="V1037" s="72" t="s">
        <v>1932</v>
      </c>
      <c r="W1037" s="72" t="s">
        <v>1936</v>
      </c>
      <c r="X1037" s="72" t="s">
        <v>918</v>
      </c>
      <c r="Y1037" s="72" t="s">
        <v>3104</v>
      </c>
      <c r="Z1037" s="72" t="s">
        <v>4</v>
      </c>
      <c r="AA1037" s="147" t="s">
        <v>918</v>
      </c>
    </row>
    <row r="1038" spans="1:27" ht="18.600000000000001" customHeight="1">
      <c r="A1038" s="140" t="str">
        <f>IF(priority(Main[[#This Row],[Comments]])&lt;&gt;0, priority(Main[[#This Row],[Comments]]),"")</f>
        <v/>
      </c>
      <c r="B1038" s="90" t="s">
        <v>1648</v>
      </c>
      <c r="C1038" s="72" t="s">
        <v>79</v>
      </c>
      <c r="D1038" s="73" t="s">
        <v>714</v>
      </c>
      <c r="E1038" s="74">
        <v>40610.683993055558</v>
      </c>
      <c r="F1038" s="74"/>
      <c r="G1038" s="75" t="str">
        <f>IF(stdProdLT(Main[[#This Row],[Comments]])=0.1,"N/A",IF(stdProdLT(Main[[#This Row],[Comments]])=0,"",stdProdLT(Main[[#This Row],[Comments]])))</f>
        <v/>
      </c>
      <c r="H1038" s="76" t="str">
        <f>IF(AND(Main[[#This Row],[In Stock Date]]&lt;&gt;"",Main[[#This Row],[Revised Due Date]]&lt;&gt;""),Main[[#This Row],[In Stock Date]]-Main[[#This Row],[Revised Due Date]],"")</f>
        <v/>
      </c>
      <c r="I1038" s="72" t="s">
        <v>535</v>
      </c>
      <c r="J1038" s="72" t="s">
        <v>28</v>
      </c>
      <c r="K1038" s="72" t="s">
        <v>1944</v>
      </c>
      <c r="L1038" s="74"/>
      <c r="M1038" s="77" t="str">
        <f>IF(Main[[#This Row],[Tech Start Date]]&lt;1/1/1990,"",IF(Main[[#This Row],[Class]]="C",WORKDAY(Main[[#This Row],[Tech Start Date]],9),IF(Main[[#This Row],[Class]]="B", WORKDAY(Main[[#This Row],[Tech Start Date]],6),IF(Main[[#This Row],[Class]]="A",WORKDAY(Main[[#This Row],[Tech Start Date]],2),""))))</f>
        <v/>
      </c>
      <c r="N1038" s="77" t="str">
        <f>IF(Main[[#This Row],[Tech Start Date]]&lt;1/1/1990,"",IF(Main[[#This Row],[Class]]="C",WORKDAY(Main[[#This Row],[Tech Start Date]],19),IF(Main[[#This Row],[Class]]="B", WORKDAY(Main[[#This Row],[Tech Start Date]],12),IF(Main[[#This Row],[Class]]="A",WORKDAY(Main[[#This Row],[Tech Start Date]],4),""))))</f>
        <v/>
      </c>
      <c r="O1038" s="77" t="str">
        <f>IF(Main[[#This Row],[Tech Start Date]]&lt;1/1/1990,"",IF(Main[[#This Row],[Class]]="C",WORKDAY(Main[[#This Row],[Tech Start Date]],23),IF(Main[[#This Row],[Class]]="B", WORKDAY(Main[[#This Row],[Tech Start Date]],15),IF(Main[[#This Row],[Class]]="A",WORKDAY(Main[[#This Row],[Tech Start Date]],5),""))))</f>
        <v/>
      </c>
      <c r="P1038" s="77" t="str">
        <f>IF(Main[[#This Row],[Tech Start Date]]&lt;1/1/1990,"",IF(Main[[#This Row],[Class]]="C",WORKDAY(Main[[#This Row],[Tech Start Date]],28),IF(Main[[#This Row],[Class]]="B", WORKDAY(Main[[#This Row],[Tech Start Date]],19),IF(Main[[#This Row],[Class]]="A",WORKDAY(Main[[#This Row],[Tech Start Date]],9),""))))</f>
        <v/>
      </c>
      <c r="Q1038" s="74">
        <v>40725</v>
      </c>
      <c r="R1038" s="74"/>
      <c r="S1038" s="72" t="s">
        <v>6</v>
      </c>
      <c r="T1038" s="80" t="s">
        <v>4</v>
      </c>
      <c r="U1038" s="72" t="s">
        <v>29</v>
      </c>
      <c r="V1038" s="72" t="s">
        <v>1935</v>
      </c>
      <c r="W1038" s="72" t="s">
        <v>1934</v>
      </c>
      <c r="X1038" s="72" t="s">
        <v>559</v>
      </c>
      <c r="Y1038" s="72" t="s">
        <v>3039</v>
      </c>
      <c r="Z1038" s="72" t="s">
        <v>30</v>
      </c>
      <c r="AA1038" s="147" t="s">
        <v>559</v>
      </c>
    </row>
    <row r="1039" spans="1:27" ht="18.600000000000001" customHeight="1">
      <c r="A1039" s="140" t="str">
        <f>IF(priority(Main[[#This Row],[Comments]])&lt;&gt;0, priority(Main[[#This Row],[Comments]]),"")</f>
        <v/>
      </c>
      <c r="B1039" s="90" t="s">
        <v>1185</v>
      </c>
      <c r="C1039" s="72" t="s">
        <v>4</v>
      </c>
      <c r="D1039" s="73" t="s">
        <v>2457</v>
      </c>
      <c r="E1039" s="74">
        <v>40567.661041666666</v>
      </c>
      <c r="F1039" s="74">
        <v>40602</v>
      </c>
      <c r="G1039" s="75" t="str">
        <f>IF(stdProdLT(Main[[#This Row],[Comments]])=0.1,"N/A",IF(stdProdLT(Main[[#This Row],[Comments]])=0,"",stdProdLT(Main[[#This Row],[Comments]])))</f>
        <v/>
      </c>
      <c r="H1039" s="76" t="str">
        <f>IF(AND(Main[[#This Row],[In Stock Date]]&lt;&gt;"",Main[[#This Row],[Revised Due Date]]&lt;&gt;""),Main[[#This Row],[In Stock Date]]-Main[[#This Row],[Revised Due Date]],"")</f>
        <v/>
      </c>
      <c r="I1039" s="72" t="s">
        <v>923</v>
      </c>
      <c r="J1039" s="72" t="s">
        <v>52</v>
      </c>
      <c r="K1039" s="81" t="s">
        <v>1941</v>
      </c>
      <c r="L1039" s="74"/>
      <c r="M1039" s="77" t="str">
        <f>IF(Main[[#This Row],[Tech Start Date]]&lt;1/1/1990,"",IF(Main[[#This Row],[Class]]="C",WORKDAY(Main[[#This Row],[Tech Start Date]],9),IF(Main[[#This Row],[Class]]="B", WORKDAY(Main[[#This Row],[Tech Start Date]],6),IF(Main[[#This Row],[Class]]="A",WORKDAY(Main[[#This Row],[Tech Start Date]],2),""))))</f>
        <v/>
      </c>
      <c r="N1039" s="77" t="str">
        <f>IF(Main[[#This Row],[Tech Start Date]]&lt;1/1/1990,"",IF(Main[[#This Row],[Class]]="C",WORKDAY(Main[[#This Row],[Tech Start Date]],19),IF(Main[[#This Row],[Class]]="B", WORKDAY(Main[[#This Row],[Tech Start Date]],12),IF(Main[[#This Row],[Class]]="A",WORKDAY(Main[[#This Row],[Tech Start Date]],4),""))))</f>
        <v/>
      </c>
      <c r="O1039" s="77" t="str">
        <f>IF(Main[[#This Row],[Tech Start Date]]&lt;1/1/1990,"",IF(Main[[#This Row],[Class]]="C",WORKDAY(Main[[#This Row],[Tech Start Date]],23),IF(Main[[#This Row],[Class]]="B", WORKDAY(Main[[#This Row],[Tech Start Date]],15),IF(Main[[#This Row],[Class]]="A",WORKDAY(Main[[#This Row],[Tech Start Date]],5),""))))</f>
        <v/>
      </c>
      <c r="P1039" s="77" t="str">
        <f>IF(Main[[#This Row],[Tech Start Date]]&lt;1/1/1990,"",IF(Main[[#This Row],[Class]]="C",WORKDAY(Main[[#This Row],[Tech Start Date]],28),IF(Main[[#This Row],[Class]]="B", WORKDAY(Main[[#This Row],[Tech Start Date]],19),IF(Main[[#This Row],[Class]]="A",WORKDAY(Main[[#This Row],[Tech Start Date]],9),""))))</f>
        <v/>
      </c>
      <c r="Q1039" s="74">
        <v>40602</v>
      </c>
      <c r="R1039" s="74"/>
      <c r="S1039" s="72" t="s">
        <v>6</v>
      </c>
      <c r="T1039" s="80" t="s">
        <v>4</v>
      </c>
      <c r="U1039" s="72" t="s">
        <v>29</v>
      </c>
      <c r="V1039" s="72" t="s">
        <v>1932</v>
      </c>
      <c r="W1039" s="72" t="s">
        <v>1934</v>
      </c>
      <c r="X1039" s="72" t="s">
        <v>2902</v>
      </c>
      <c r="Y1039" s="72" t="s">
        <v>3016</v>
      </c>
      <c r="Z1039" s="72" t="s">
        <v>129</v>
      </c>
      <c r="AA1039" s="147" t="s">
        <v>2902</v>
      </c>
    </row>
    <row r="1040" spans="1:27" ht="18.600000000000001" customHeight="1">
      <c r="A1040" s="140" t="str">
        <f>IF(priority(Main[[#This Row],[Comments]])&lt;&gt;0, priority(Main[[#This Row],[Comments]]),"")</f>
        <v/>
      </c>
      <c r="B1040" s="90" t="s">
        <v>1590</v>
      </c>
      <c r="C1040" s="72" t="s">
        <v>4</v>
      </c>
      <c r="D1040" s="73" t="s">
        <v>2458</v>
      </c>
      <c r="E1040" s="74">
        <v>40463.34134259259</v>
      </c>
      <c r="F1040" s="74"/>
      <c r="G1040" s="75" t="str">
        <f>IF(stdProdLT(Main[[#This Row],[Comments]])=0.1,"N/A",IF(stdProdLT(Main[[#This Row],[Comments]])=0,"",stdProdLT(Main[[#This Row],[Comments]])))</f>
        <v/>
      </c>
      <c r="H1040" s="76" t="str">
        <f>IF(AND(Main[[#This Row],[In Stock Date]]&lt;&gt;"",Main[[#This Row],[Revised Due Date]]&lt;&gt;""),Main[[#This Row],[In Stock Date]]-Main[[#This Row],[Revised Due Date]],"")</f>
        <v/>
      </c>
      <c r="I1040" s="72" t="s">
        <v>923</v>
      </c>
      <c r="J1040" s="72" t="s">
        <v>52</v>
      </c>
      <c r="K1040" s="72" t="s">
        <v>4</v>
      </c>
      <c r="L1040" s="74"/>
      <c r="M1040" s="77" t="str">
        <f>IF(Main[[#This Row],[Tech Start Date]]&lt;1/1/1990,"",IF(Main[[#This Row],[Class]]="C",WORKDAY(Main[[#This Row],[Tech Start Date]],9),IF(Main[[#This Row],[Class]]="B", WORKDAY(Main[[#This Row],[Tech Start Date]],6),IF(Main[[#This Row],[Class]]="A",WORKDAY(Main[[#This Row],[Tech Start Date]],2),""))))</f>
        <v/>
      </c>
      <c r="N1040" s="77" t="str">
        <f>IF(Main[[#This Row],[Tech Start Date]]&lt;1/1/1990,"",IF(Main[[#This Row],[Class]]="C",WORKDAY(Main[[#This Row],[Tech Start Date]],19),IF(Main[[#This Row],[Class]]="B", WORKDAY(Main[[#This Row],[Tech Start Date]],12),IF(Main[[#This Row],[Class]]="A",WORKDAY(Main[[#This Row],[Tech Start Date]],4),""))))</f>
        <v/>
      </c>
      <c r="O1040" s="77" t="str">
        <f>IF(Main[[#This Row],[Tech Start Date]]&lt;1/1/1990,"",IF(Main[[#This Row],[Class]]="C",WORKDAY(Main[[#This Row],[Tech Start Date]],23),IF(Main[[#This Row],[Class]]="B", WORKDAY(Main[[#This Row],[Tech Start Date]],15),IF(Main[[#This Row],[Class]]="A",WORKDAY(Main[[#This Row],[Tech Start Date]],5),""))))</f>
        <v/>
      </c>
      <c r="P1040" s="77" t="str">
        <f>IF(Main[[#This Row],[Tech Start Date]]&lt;1/1/1990,"",IF(Main[[#This Row],[Class]]="C",WORKDAY(Main[[#This Row],[Tech Start Date]],28),IF(Main[[#This Row],[Class]]="B", WORKDAY(Main[[#This Row],[Tech Start Date]],19),IF(Main[[#This Row],[Class]]="A",WORKDAY(Main[[#This Row],[Tech Start Date]],9),""))))</f>
        <v/>
      </c>
      <c r="Q1040" s="74">
        <v>40497</v>
      </c>
      <c r="R1040" s="74"/>
      <c r="S1040" s="72" t="s">
        <v>6</v>
      </c>
      <c r="T1040" s="80" t="s">
        <v>4</v>
      </c>
      <c r="U1040" s="72" t="s">
        <v>29</v>
      </c>
      <c r="V1040" s="72" t="s">
        <v>1932</v>
      </c>
      <c r="W1040" s="72" t="s">
        <v>1936</v>
      </c>
      <c r="X1040" s="72" t="s">
        <v>2902</v>
      </c>
      <c r="Y1040" s="72" t="s">
        <v>3016</v>
      </c>
      <c r="Z1040" s="72" t="s">
        <v>129</v>
      </c>
      <c r="AA1040" s="147" t="s">
        <v>2902</v>
      </c>
    </row>
    <row r="1041" spans="1:27" ht="18.600000000000001" customHeight="1">
      <c r="A1041" s="140" t="str">
        <f>IF(priority(Main[[#This Row],[Comments]])&lt;&gt;0, priority(Main[[#This Row],[Comments]]),"")</f>
        <v/>
      </c>
      <c r="B1041" s="90" t="s">
        <v>2459</v>
      </c>
      <c r="C1041" s="72" t="s">
        <v>4</v>
      </c>
      <c r="D1041" s="73" t="s">
        <v>2460</v>
      </c>
      <c r="E1041" s="74">
        <v>40833.65898148148</v>
      </c>
      <c r="F1041" s="74"/>
      <c r="G1041" s="75" t="str">
        <f>IF(stdProdLT(Main[[#This Row],[Comments]])=0.1,"N/A",IF(stdProdLT(Main[[#This Row],[Comments]])=0,"",stdProdLT(Main[[#This Row],[Comments]])))</f>
        <v/>
      </c>
      <c r="H1041" s="76" t="str">
        <f>IF(AND(Main[[#This Row],[In Stock Date]]&lt;&gt;"",Main[[#This Row],[Revised Due Date]]&lt;&gt;""),Main[[#This Row],[In Stock Date]]-Main[[#This Row],[Revised Due Date]],"")</f>
        <v/>
      </c>
      <c r="I1041" s="72" t="s">
        <v>535</v>
      </c>
      <c r="J1041" s="72" t="s">
        <v>28</v>
      </c>
      <c r="K1041" s="72" t="s">
        <v>1941</v>
      </c>
      <c r="L1041" s="74"/>
      <c r="M1041" s="77" t="str">
        <f>IF(Main[[#This Row],[Tech Start Date]]&lt;1/1/1990,"",IF(Main[[#This Row],[Class]]="C",WORKDAY(Main[[#This Row],[Tech Start Date]],9),IF(Main[[#This Row],[Class]]="B", WORKDAY(Main[[#This Row],[Tech Start Date]],6),IF(Main[[#This Row],[Class]]="A",WORKDAY(Main[[#This Row],[Tech Start Date]],2),""))))</f>
        <v/>
      </c>
      <c r="N1041" s="77" t="str">
        <f>IF(Main[[#This Row],[Tech Start Date]]&lt;1/1/1990,"",IF(Main[[#This Row],[Class]]="C",WORKDAY(Main[[#This Row],[Tech Start Date]],19),IF(Main[[#This Row],[Class]]="B", WORKDAY(Main[[#This Row],[Tech Start Date]],12),IF(Main[[#This Row],[Class]]="A",WORKDAY(Main[[#This Row],[Tech Start Date]],4),""))))</f>
        <v/>
      </c>
      <c r="O1041" s="77" t="str">
        <f>IF(Main[[#This Row],[Tech Start Date]]&lt;1/1/1990,"",IF(Main[[#This Row],[Class]]="C",WORKDAY(Main[[#This Row],[Tech Start Date]],23),IF(Main[[#This Row],[Class]]="B", WORKDAY(Main[[#This Row],[Tech Start Date]],15),IF(Main[[#This Row],[Class]]="A",WORKDAY(Main[[#This Row],[Tech Start Date]],5),""))))</f>
        <v/>
      </c>
      <c r="P1041" s="77" t="str">
        <f>IF(Main[[#This Row],[Tech Start Date]]&lt;1/1/1990,"",IF(Main[[#This Row],[Class]]="C",WORKDAY(Main[[#This Row],[Tech Start Date]],28),IF(Main[[#This Row],[Class]]="B", WORKDAY(Main[[#This Row],[Tech Start Date]],19),IF(Main[[#This Row],[Class]]="A",WORKDAY(Main[[#This Row],[Tech Start Date]],9),""))))</f>
        <v/>
      </c>
      <c r="Q1041" s="74">
        <v>40923</v>
      </c>
      <c r="R1041" s="74"/>
      <c r="S1041" s="72" t="s">
        <v>6</v>
      </c>
      <c r="T1041" s="80" t="s">
        <v>4</v>
      </c>
      <c r="U1041" s="72" t="s">
        <v>29</v>
      </c>
      <c r="V1041" s="72" t="s">
        <v>1935</v>
      </c>
      <c r="W1041" s="72" t="s">
        <v>1936</v>
      </c>
      <c r="X1041" s="72" t="s">
        <v>559</v>
      </c>
      <c r="Y1041" s="72" t="s">
        <v>3039</v>
      </c>
      <c r="Z1041" s="72" t="s">
        <v>30</v>
      </c>
      <c r="AA1041" s="147" t="s">
        <v>559</v>
      </c>
    </row>
    <row r="1042" spans="1:27" ht="18.600000000000001" customHeight="1">
      <c r="A1042" s="140" t="str">
        <f>IF(priority(Main[[#This Row],[Comments]])&lt;&gt;0, priority(Main[[#This Row],[Comments]]),"")</f>
        <v/>
      </c>
      <c r="B1042" s="90" t="s">
        <v>1783</v>
      </c>
      <c r="C1042" s="72" t="s">
        <v>4</v>
      </c>
      <c r="D1042" s="73" t="s">
        <v>2340</v>
      </c>
      <c r="E1042" s="74">
        <v>40660.402291666665</v>
      </c>
      <c r="F1042" s="74"/>
      <c r="G1042" s="75" t="str">
        <f>IF(stdProdLT(Main[[#This Row],[Comments]])=0.1,"N/A",IF(stdProdLT(Main[[#This Row],[Comments]])=0,"",stdProdLT(Main[[#This Row],[Comments]])))</f>
        <v/>
      </c>
      <c r="H1042" s="76" t="str">
        <f>IF(AND(Main[[#This Row],[In Stock Date]]&lt;&gt;"",Main[[#This Row],[Revised Due Date]]&lt;&gt;""),Main[[#This Row],[In Stock Date]]-Main[[#This Row],[Revised Due Date]],"")</f>
        <v/>
      </c>
      <c r="I1042" s="72" t="s">
        <v>567</v>
      </c>
      <c r="J1042" s="72" t="s">
        <v>21</v>
      </c>
      <c r="K1042" s="72" t="s">
        <v>4</v>
      </c>
      <c r="L1042" s="74"/>
      <c r="M1042" s="77" t="str">
        <f>IF(Main[[#This Row],[Tech Start Date]]&lt;1/1/1990,"",IF(Main[[#This Row],[Class]]="C",WORKDAY(Main[[#This Row],[Tech Start Date]],9),IF(Main[[#This Row],[Class]]="B", WORKDAY(Main[[#This Row],[Tech Start Date]],6),IF(Main[[#This Row],[Class]]="A",WORKDAY(Main[[#This Row],[Tech Start Date]],2),""))))</f>
        <v/>
      </c>
      <c r="N1042" s="77" t="str">
        <f>IF(Main[[#This Row],[Tech Start Date]]&lt;1/1/1990,"",IF(Main[[#This Row],[Class]]="C",WORKDAY(Main[[#This Row],[Tech Start Date]],19),IF(Main[[#This Row],[Class]]="B", WORKDAY(Main[[#This Row],[Tech Start Date]],12),IF(Main[[#This Row],[Class]]="A",WORKDAY(Main[[#This Row],[Tech Start Date]],4),""))))</f>
        <v/>
      </c>
      <c r="O1042" s="77" t="str">
        <f>IF(Main[[#This Row],[Tech Start Date]]&lt;1/1/1990,"",IF(Main[[#This Row],[Class]]="C",WORKDAY(Main[[#This Row],[Tech Start Date]],23),IF(Main[[#This Row],[Class]]="B", WORKDAY(Main[[#This Row],[Tech Start Date]],15),IF(Main[[#This Row],[Class]]="A",WORKDAY(Main[[#This Row],[Tech Start Date]],5),""))))</f>
        <v/>
      </c>
      <c r="P1042" s="77" t="str">
        <f>IF(Main[[#This Row],[Tech Start Date]]&lt;1/1/1990,"",IF(Main[[#This Row],[Class]]="C",WORKDAY(Main[[#This Row],[Tech Start Date]],28),IF(Main[[#This Row],[Class]]="B", WORKDAY(Main[[#This Row],[Tech Start Date]],19),IF(Main[[#This Row],[Class]]="A",WORKDAY(Main[[#This Row],[Tech Start Date]],9),""))))</f>
        <v/>
      </c>
      <c r="Q1042" s="74">
        <v>40676</v>
      </c>
      <c r="R1042" s="74"/>
      <c r="S1042" s="72" t="s">
        <v>6</v>
      </c>
      <c r="T1042" s="80" t="s">
        <v>4</v>
      </c>
      <c r="U1042" s="72" t="s">
        <v>29</v>
      </c>
      <c r="V1042" s="72" t="s">
        <v>1932</v>
      </c>
      <c r="W1042" s="72" t="s">
        <v>1936</v>
      </c>
      <c r="X1042" s="72" t="s">
        <v>2905</v>
      </c>
      <c r="Y1042" s="72" t="s">
        <v>3023</v>
      </c>
      <c r="Z1042" s="72" t="s">
        <v>4</v>
      </c>
      <c r="AA1042" s="147" t="s">
        <v>2905</v>
      </c>
    </row>
    <row r="1043" spans="1:27" ht="18.600000000000001" customHeight="1">
      <c r="A1043" s="140" t="str">
        <f>IF(priority(Main[[#This Row],[Comments]])&lt;&gt;0, priority(Main[[#This Row],[Comments]]),"")</f>
        <v/>
      </c>
      <c r="B1043" s="90" t="s">
        <v>2535</v>
      </c>
      <c r="C1043" s="72" t="s">
        <v>4</v>
      </c>
      <c r="D1043" s="73" t="s">
        <v>2536</v>
      </c>
      <c r="E1043" s="74"/>
      <c r="F1043" s="74"/>
      <c r="G1043" s="75" t="str">
        <f>IF(stdProdLT(Main[[#This Row],[Comments]])=0.1,"N/A",IF(stdProdLT(Main[[#This Row],[Comments]])=0,"",stdProdLT(Main[[#This Row],[Comments]])))</f>
        <v/>
      </c>
      <c r="H1043" s="76" t="str">
        <f>IF(AND(Main[[#This Row],[In Stock Date]]&lt;&gt;"",Main[[#This Row],[Revised Due Date]]&lt;&gt;""),Main[[#This Row],[In Stock Date]]-Main[[#This Row],[Revised Due Date]],"")</f>
        <v/>
      </c>
      <c r="I1043" s="72" t="s">
        <v>535</v>
      </c>
      <c r="J1043" s="72" t="s">
        <v>28</v>
      </c>
      <c r="K1043" s="81" t="s">
        <v>1941</v>
      </c>
      <c r="L1043" s="74"/>
      <c r="M1043" s="77" t="str">
        <f>IF(Main[[#This Row],[Tech Start Date]]&lt;1/1/1990,"",IF(Main[[#This Row],[Class]]="C",WORKDAY(Main[[#This Row],[Tech Start Date]],9),IF(Main[[#This Row],[Class]]="B", WORKDAY(Main[[#This Row],[Tech Start Date]],6),IF(Main[[#This Row],[Class]]="A",WORKDAY(Main[[#This Row],[Tech Start Date]],2),""))))</f>
        <v/>
      </c>
      <c r="N1043" s="77" t="str">
        <f>IF(Main[[#This Row],[Tech Start Date]]&lt;1/1/1990,"",IF(Main[[#This Row],[Class]]="C",WORKDAY(Main[[#This Row],[Tech Start Date]],19),IF(Main[[#This Row],[Class]]="B", WORKDAY(Main[[#This Row],[Tech Start Date]],12),IF(Main[[#This Row],[Class]]="A",WORKDAY(Main[[#This Row],[Tech Start Date]],4),""))))</f>
        <v/>
      </c>
      <c r="O1043" s="77" t="str">
        <f>IF(Main[[#This Row],[Tech Start Date]]&lt;1/1/1990,"",IF(Main[[#This Row],[Class]]="C",WORKDAY(Main[[#This Row],[Tech Start Date]],23),IF(Main[[#This Row],[Class]]="B", WORKDAY(Main[[#This Row],[Tech Start Date]],15),IF(Main[[#This Row],[Class]]="A",WORKDAY(Main[[#This Row],[Tech Start Date]],5),""))))</f>
        <v/>
      </c>
      <c r="P1043" s="77" t="str">
        <f>IF(Main[[#This Row],[Tech Start Date]]&lt;1/1/1990,"",IF(Main[[#This Row],[Class]]="C",WORKDAY(Main[[#This Row],[Tech Start Date]],28),IF(Main[[#This Row],[Class]]="B", WORKDAY(Main[[#This Row],[Tech Start Date]],19),IF(Main[[#This Row],[Class]]="A",WORKDAY(Main[[#This Row],[Tech Start Date]],9),""))))</f>
        <v/>
      </c>
      <c r="Q1043" s="74">
        <v>40939</v>
      </c>
      <c r="R1043" s="74"/>
      <c r="S1043" s="72" t="s">
        <v>6</v>
      </c>
      <c r="T1043" s="80" t="s">
        <v>4</v>
      </c>
      <c r="U1043" s="72" t="s">
        <v>14</v>
      </c>
      <c r="V1043" s="72" t="s">
        <v>1935</v>
      </c>
      <c r="W1043" s="72" t="s">
        <v>1936</v>
      </c>
      <c r="X1043" s="72" t="s">
        <v>559</v>
      </c>
      <c r="Y1043" s="72" t="s">
        <v>3039</v>
      </c>
      <c r="Z1043" s="72" t="s">
        <v>30</v>
      </c>
      <c r="AA1043" s="147" t="s">
        <v>559</v>
      </c>
    </row>
    <row r="1044" spans="1:27" ht="18.600000000000001" customHeight="1">
      <c r="A1044" s="140" t="str">
        <f>IF(priority(Main[[#This Row],[Comments]])&lt;&gt;0, priority(Main[[#This Row],[Comments]]),"")</f>
        <v/>
      </c>
      <c r="B1044" s="90" t="s">
        <v>2252</v>
      </c>
      <c r="C1044" s="72" t="s">
        <v>4</v>
      </c>
      <c r="D1044" s="73" t="s">
        <v>2253</v>
      </c>
      <c r="E1044" s="74">
        <v>40802.356851851851</v>
      </c>
      <c r="F1044" s="74"/>
      <c r="G1044" s="75" t="str">
        <f>IF(stdProdLT(Main[[#This Row],[Comments]])=0.1,"N/A",IF(stdProdLT(Main[[#This Row],[Comments]])=0,"",stdProdLT(Main[[#This Row],[Comments]])))</f>
        <v/>
      </c>
      <c r="H1044" s="76" t="str">
        <f>IF(AND(Main[[#This Row],[In Stock Date]]&lt;&gt;"",Main[[#This Row],[Revised Due Date]]&lt;&gt;""),Main[[#This Row],[In Stock Date]]-Main[[#This Row],[Revised Due Date]],"")</f>
        <v/>
      </c>
      <c r="I1044" s="72" t="s">
        <v>102</v>
      </c>
      <c r="J1044" s="72" t="s">
        <v>75</v>
      </c>
      <c r="K1044" s="72" t="s">
        <v>1945</v>
      </c>
      <c r="L1044" s="74"/>
      <c r="M1044" s="77" t="str">
        <f>IF(Main[[#This Row],[Tech Start Date]]&lt;1/1/1990,"",IF(Main[[#This Row],[Class]]="C",WORKDAY(Main[[#This Row],[Tech Start Date]],9),IF(Main[[#This Row],[Class]]="B", WORKDAY(Main[[#This Row],[Tech Start Date]],6),IF(Main[[#This Row],[Class]]="A",WORKDAY(Main[[#This Row],[Tech Start Date]],2),""))))</f>
        <v/>
      </c>
      <c r="N1044" s="77" t="str">
        <f>IF(Main[[#This Row],[Tech Start Date]]&lt;1/1/1990,"",IF(Main[[#This Row],[Class]]="C",WORKDAY(Main[[#This Row],[Tech Start Date]],19),IF(Main[[#This Row],[Class]]="B", WORKDAY(Main[[#This Row],[Tech Start Date]],12),IF(Main[[#This Row],[Class]]="A",WORKDAY(Main[[#This Row],[Tech Start Date]],4),""))))</f>
        <v/>
      </c>
      <c r="O1044" s="77" t="str">
        <f>IF(Main[[#This Row],[Tech Start Date]]&lt;1/1/1990,"",IF(Main[[#This Row],[Class]]="C",WORKDAY(Main[[#This Row],[Tech Start Date]],23),IF(Main[[#This Row],[Class]]="B", WORKDAY(Main[[#This Row],[Tech Start Date]],15),IF(Main[[#This Row],[Class]]="A",WORKDAY(Main[[#This Row],[Tech Start Date]],5),""))))</f>
        <v/>
      </c>
      <c r="P1044" s="77" t="str">
        <f>IF(Main[[#This Row],[Tech Start Date]]&lt;1/1/1990,"",IF(Main[[#This Row],[Class]]="C",WORKDAY(Main[[#This Row],[Tech Start Date]],28),IF(Main[[#This Row],[Class]]="B", WORKDAY(Main[[#This Row],[Tech Start Date]],19),IF(Main[[#This Row],[Class]]="A",WORKDAY(Main[[#This Row],[Tech Start Date]],9),""))))</f>
        <v/>
      </c>
      <c r="Q1044" s="74"/>
      <c r="R1044" s="74"/>
      <c r="S1044" s="72" t="s">
        <v>6</v>
      </c>
      <c r="T1044" s="80" t="s">
        <v>4</v>
      </c>
      <c r="U1044" s="72" t="s">
        <v>29</v>
      </c>
      <c r="V1044" s="72" t="s">
        <v>1935</v>
      </c>
      <c r="W1044" s="72" t="s">
        <v>1936</v>
      </c>
      <c r="X1044" s="72" t="s">
        <v>102</v>
      </c>
      <c r="Y1044" s="72" t="s">
        <v>3211</v>
      </c>
      <c r="Z1044" s="72" t="s">
        <v>310</v>
      </c>
      <c r="AA1044" s="147" t="s">
        <v>3633</v>
      </c>
    </row>
    <row r="1045" spans="1:27" ht="18.600000000000001" customHeight="1">
      <c r="A1045" s="140" t="str">
        <f>IF(priority(Main[[#This Row],[Comments]])&lt;&gt;0, priority(Main[[#This Row],[Comments]]),"")</f>
        <v/>
      </c>
      <c r="B1045" s="90" t="s">
        <v>2134</v>
      </c>
      <c r="C1045" s="72" t="s">
        <v>4</v>
      </c>
      <c r="D1045" s="73" t="s">
        <v>2135</v>
      </c>
      <c r="E1045" s="74">
        <v>40777.376608796294</v>
      </c>
      <c r="F1045" s="74"/>
      <c r="G1045" s="75" t="str">
        <f>IF(stdProdLT(Main[[#This Row],[Comments]])=0.1,"N/A",IF(stdProdLT(Main[[#This Row],[Comments]])=0,"",stdProdLT(Main[[#This Row],[Comments]])))</f>
        <v/>
      </c>
      <c r="H1045" s="76" t="str">
        <f>IF(AND(Main[[#This Row],[In Stock Date]]&lt;&gt;"",Main[[#This Row],[Revised Due Date]]&lt;&gt;""),Main[[#This Row],[In Stock Date]]-Main[[#This Row],[Revised Due Date]],"")</f>
        <v/>
      </c>
      <c r="I1045" s="72" t="s">
        <v>2448</v>
      </c>
      <c r="J1045" s="72" t="s">
        <v>70</v>
      </c>
      <c r="K1045" s="72" t="s">
        <v>1941</v>
      </c>
      <c r="L1045" s="74"/>
      <c r="M1045" s="77" t="str">
        <f>IF(Main[[#This Row],[Tech Start Date]]&lt;1/1/1990,"",IF(Main[[#This Row],[Class]]="C",WORKDAY(Main[[#This Row],[Tech Start Date]],9),IF(Main[[#This Row],[Class]]="B", WORKDAY(Main[[#This Row],[Tech Start Date]],6),IF(Main[[#This Row],[Class]]="A",WORKDAY(Main[[#This Row],[Tech Start Date]],2),""))))</f>
        <v/>
      </c>
      <c r="N1045" s="77" t="str">
        <f>IF(Main[[#This Row],[Tech Start Date]]&lt;1/1/1990,"",IF(Main[[#This Row],[Class]]="C",WORKDAY(Main[[#This Row],[Tech Start Date]],19),IF(Main[[#This Row],[Class]]="B", WORKDAY(Main[[#This Row],[Tech Start Date]],12),IF(Main[[#This Row],[Class]]="A",WORKDAY(Main[[#This Row],[Tech Start Date]],4),""))))</f>
        <v/>
      </c>
      <c r="O1045" s="77" t="str">
        <f>IF(Main[[#This Row],[Tech Start Date]]&lt;1/1/1990,"",IF(Main[[#This Row],[Class]]="C",WORKDAY(Main[[#This Row],[Tech Start Date]],23),IF(Main[[#This Row],[Class]]="B", WORKDAY(Main[[#This Row],[Tech Start Date]],15),IF(Main[[#This Row],[Class]]="A",WORKDAY(Main[[#This Row],[Tech Start Date]],5),""))))</f>
        <v/>
      </c>
      <c r="P1045" s="77" t="str">
        <f>IF(Main[[#This Row],[Tech Start Date]]&lt;1/1/1990,"",IF(Main[[#This Row],[Class]]="C",WORKDAY(Main[[#This Row],[Tech Start Date]],28),IF(Main[[#This Row],[Class]]="B", WORKDAY(Main[[#This Row],[Tech Start Date]],19),IF(Main[[#This Row],[Class]]="A",WORKDAY(Main[[#This Row],[Tech Start Date]],9),""))))</f>
        <v/>
      </c>
      <c r="Q1045" s="74">
        <v>40816</v>
      </c>
      <c r="R1045" s="74"/>
      <c r="S1045" s="72" t="s">
        <v>6</v>
      </c>
      <c r="T1045" s="80" t="s">
        <v>4</v>
      </c>
      <c r="U1045" s="72" t="s">
        <v>29</v>
      </c>
      <c r="V1045" s="72" t="s">
        <v>1935</v>
      </c>
      <c r="W1045" s="72" t="s">
        <v>1936</v>
      </c>
      <c r="X1045" s="72" t="s">
        <v>2902</v>
      </c>
      <c r="Y1045" s="72" t="s">
        <v>3016</v>
      </c>
      <c r="Z1045" s="72" t="s">
        <v>30</v>
      </c>
      <c r="AA1045" s="147" t="s">
        <v>2902</v>
      </c>
    </row>
    <row r="1046" spans="1:27" ht="18.600000000000001" customHeight="1">
      <c r="A1046" s="140" t="str">
        <f>IF(priority(Main[[#This Row],[Comments]])&lt;&gt;0, priority(Main[[#This Row],[Comments]]),"")</f>
        <v/>
      </c>
      <c r="B1046" s="90" t="s">
        <v>1859</v>
      </c>
      <c r="C1046" s="72" t="s">
        <v>4</v>
      </c>
      <c r="D1046" s="73" t="s">
        <v>908</v>
      </c>
      <c r="E1046" s="74">
        <v>40080.410775462966</v>
      </c>
      <c r="F1046" s="74"/>
      <c r="G1046" s="75" t="str">
        <f>IF(stdProdLT(Main[[#This Row],[Comments]])=0.1,"N/A",IF(stdProdLT(Main[[#This Row],[Comments]])=0,"",stdProdLT(Main[[#This Row],[Comments]])))</f>
        <v/>
      </c>
      <c r="H1046" s="76" t="str">
        <f>IF(AND(Main[[#This Row],[In Stock Date]]&lt;&gt;"",Main[[#This Row],[Revised Due Date]]&lt;&gt;""),Main[[#This Row],[In Stock Date]]-Main[[#This Row],[Revised Due Date]],"")</f>
        <v/>
      </c>
      <c r="I1046" s="72" t="s">
        <v>909</v>
      </c>
      <c r="J1046" s="72" t="s">
        <v>28</v>
      </c>
      <c r="K1046" s="72" t="s">
        <v>1941</v>
      </c>
      <c r="L1046" s="74"/>
      <c r="M1046" s="77" t="str">
        <f>IF(Main[[#This Row],[Tech Start Date]]&lt;1/1/1990,"",IF(Main[[#This Row],[Class]]="C",WORKDAY(Main[[#This Row],[Tech Start Date]],9),IF(Main[[#This Row],[Class]]="B", WORKDAY(Main[[#This Row],[Tech Start Date]],6),IF(Main[[#This Row],[Class]]="A",WORKDAY(Main[[#This Row],[Tech Start Date]],2),""))))</f>
        <v/>
      </c>
      <c r="N1046" s="77" t="str">
        <f>IF(Main[[#This Row],[Tech Start Date]]&lt;1/1/1990,"",IF(Main[[#This Row],[Class]]="C",WORKDAY(Main[[#This Row],[Tech Start Date]],19),IF(Main[[#This Row],[Class]]="B", WORKDAY(Main[[#This Row],[Tech Start Date]],12),IF(Main[[#This Row],[Class]]="A",WORKDAY(Main[[#This Row],[Tech Start Date]],4),""))))</f>
        <v/>
      </c>
      <c r="O1046" s="77" t="str">
        <f>IF(Main[[#This Row],[Tech Start Date]]&lt;1/1/1990,"",IF(Main[[#This Row],[Class]]="C",WORKDAY(Main[[#This Row],[Tech Start Date]],23),IF(Main[[#This Row],[Class]]="B", WORKDAY(Main[[#This Row],[Tech Start Date]],15),IF(Main[[#This Row],[Class]]="A",WORKDAY(Main[[#This Row],[Tech Start Date]],5),""))))</f>
        <v/>
      </c>
      <c r="P1046" s="77" t="str">
        <f>IF(Main[[#This Row],[Tech Start Date]]&lt;1/1/1990,"",IF(Main[[#This Row],[Class]]="C",WORKDAY(Main[[#This Row],[Tech Start Date]],28),IF(Main[[#This Row],[Class]]="B", WORKDAY(Main[[#This Row],[Tech Start Date]],19),IF(Main[[#This Row],[Class]]="A",WORKDAY(Main[[#This Row],[Tech Start Date]],9),""))))</f>
        <v/>
      </c>
      <c r="Q1046" s="74"/>
      <c r="R1046" s="74">
        <v>40494</v>
      </c>
      <c r="S1046" s="72" t="s">
        <v>6</v>
      </c>
      <c r="T1046" s="80" t="s">
        <v>4</v>
      </c>
      <c r="U1046" s="72" t="s">
        <v>29</v>
      </c>
      <c r="V1046" s="72" t="s">
        <v>1935</v>
      </c>
      <c r="W1046" s="72" t="s">
        <v>1936</v>
      </c>
      <c r="X1046" s="72" t="s">
        <v>2971</v>
      </c>
      <c r="Y1046" s="72" t="s">
        <v>3130</v>
      </c>
      <c r="Z1046" s="72" t="s">
        <v>420</v>
      </c>
      <c r="AA1046" s="147" t="s">
        <v>2971</v>
      </c>
    </row>
    <row r="1047" spans="1:27" ht="18.600000000000001" customHeight="1">
      <c r="A1047" s="140" t="str">
        <f>IF(priority(Main[[#This Row],[Comments]])&lt;&gt;0, priority(Main[[#This Row],[Comments]]),"")</f>
        <v/>
      </c>
      <c r="B1047" s="90" t="s">
        <v>1813</v>
      </c>
      <c r="C1047" s="72" t="s">
        <v>4</v>
      </c>
      <c r="D1047" s="73" t="s">
        <v>850</v>
      </c>
      <c r="E1047" s="74">
        <v>40639.681793981479</v>
      </c>
      <c r="F1047" s="74"/>
      <c r="G1047" s="75" t="str">
        <f>IF(stdProdLT(Main[[#This Row],[Comments]])=0.1,"N/A",IF(stdProdLT(Main[[#This Row],[Comments]])=0,"",stdProdLT(Main[[#This Row],[Comments]])))</f>
        <v/>
      </c>
      <c r="H1047" s="76" t="str">
        <f>IF(AND(Main[[#This Row],[In Stock Date]]&lt;&gt;"",Main[[#This Row],[Revised Due Date]]&lt;&gt;""),Main[[#This Row],[In Stock Date]]-Main[[#This Row],[Revised Due Date]],"")</f>
        <v/>
      </c>
      <c r="I1047" s="72" t="s">
        <v>131</v>
      </c>
      <c r="J1047" s="72" t="s">
        <v>70</v>
      </c>
      <c r="K1047" s="81" t="s">
        <v>1941</v>
      </c>
      <c r="L1047" s="74"/>
      <c r="M1047" s="77" t="str">
        <f>IF(Main[[#This Row],[Tech Start Date]]&lt;1/1/1990,"",IF(Main[[#This Row],[Class]]="C",WORKDAY(Main[[#This Row],[Tech Start Date]],9),IF(Main[[#This Row],[Class]]="B", WORKDAY(Main[[#This Row],[Tech Start Date]],6),IF(Main[[#This Row],[Class]]="A",WORKDAY(Main[[#This Row],[Tech Start Date]],2),""))))</f>
        <v/>
      </c>
      <c r="N1047" s="77" t="str">
        <f>IF(Main[[#This Row],[Tech Start Date]]&lt;1/1/1990,"",IF(Main[[#This Row],[Class]]="C",WORKDAY(Main[[#This Row],[Tech Start Date]],19),IF(Main[[#This Row],[Class]]="B", WORKDAY(Main[[#This Row],[Tech Start Date]],12),IF(Main[[#This Row],[Class]]="A",WORKDAY(Main[[#This Row],[Tech Start Date]],4),""))))</f>
        <v/>
      </c>
      <c r="O1047" s="77" t="str">
        <f>IF(Main[[#This Row],[Tech Start Date]]&lt;1/1/1990,"",IF(Main[[#This Row],[Class]]="C",WORKDAY(Main[[#This Row],[Tech Start Date]],23),IF(Main[[#This Row],[Class]]="B", WORKDAY(Main[[#This Row],[Tech Start Date]],15),IF(Main[[#This Row],[Class]]="A",WORKDAY(Main[[#This Row],[Tech Start Date]],5),""))))</f>
        <v/>
      </c>
      <c r="P1047" s="77" t="str">
        <f>IF(Main[[#This Row],[Tech Start Date]]&lt;1/1/1990,"",IF(Main[[#This Row],[Class]]="C",WORKDAY(Main[[#This Row],[Tech Start Date]],28),IF(Main[[#This Row],[Class]]="B", WORKDAY(Main[[#This Row],[Tech Start Date]],19),IF(Main[[#This Row],[Class]]="A",WORKDAY(Main[[#This Row],[Tech Start Date]],9),""))))</f>
        <v/>
      </c>
      <c r="Q1047" s="74">
        <v>40669</v>
      </c>
      <c r="R1047" s="74"/>
      <c r="S1047" s="72" t="s">
        <v>6</v>
      </c>
      <c r="T1047" s="80" t="s">
        <v>4</v>
      </c>
      <c r="U1047" s="72" t="s">
        <v>29</v>
      </c>
      <c r="V1047" s="72" t="s">
        <v>1935</v>
      </c>
      <c r="W1047" s="72" t="s">
        <v>1936</v>
      </c>
      <c r="X1047" s="72" t="s">
        <v>2903</v>
      </c>
      <c r="Y1047" s="72" t="s">
        <v>3019</v>
      </c>
      <c r="Z1047" s="72" t="s">
        <v>535</v>
      </c>
      <c r="AA1047" s="147" t="s">
        <v>2903</v>
      </c>
    </row>
    <row r="1048" spans="1:27" ht="18.600000000000001" customHeight="1">
      <c r="A1048" s="140" t="str">
        <f>IF(priority(Main[[#This Row],[Comments]])&lt;&gt;0, priority(Main[[#This Row],[Comments]]),"")</f>
        <v/>
      </c>
      <c r="B1048" s="90" t="s">
        <v>1909</v>
      </c>
      <c r="C1048" s="72" t="s">
        <v>116</v>
      </c>
      <c r="D1048" s="73" t="s">
        <v>2342</v>
      </c>
      <c r="E1048" s="74">
        <v>40673.421898148146</v>
      </c>
      <c r="F1048" s="74"/>
      <c r="G1048" s="75" t="str">
        <f>IF(stdProdLT(Main[[#This Row],[Comments]])=0.1,"N/A",IF(stdProdLT(Main[[#This Row],[Comments]])=0,"",stdProdLT(Main[[#This Row],[Comments]])))</f>
        <v/>
      </c>
      <c r="H1048" s="76" t="str">
        <f>IF(AND(Main[[#This Row],[In Stock Date]]&lt;&gt;"",Main[[#This Row],[Revised Due Date]]&lt;&gt;""),Main[[#This Row],[In Stock Date]]-Main[[#This Row],[Revised Due Date]],"")</f>
        <v/>
      </c>
      <c r="I1048" s="72" t="s">
        <v>949</v>
      </c>
      <c r="J1048" s="72" t="s">
        <v>28</v>
      </c>
      <c r="K1048" s="81" t="s">
        <v>1944</v>
      </c>
      <c r="L1048" s="74"/>
      <c r="M1048" s="77" t="str">
        <f>IF(Main[[#This Row],[Tech Start Date]]&lt;1/1/1990,"",IF(Main[[#This Row],[Class]]="C",WORKDAY(Main[[#This Row],[Tech Start Date]],9),IF(Main[[#This Row],[Class]]="B", WORKDAY(Main[[#This Row],[Tech Start Date]],6),IF(Main[[#This Row],[Class]]="A",WORKDAY(Main[[#This Row],[Tech Start Date]],2),""))))</f>
        <v/>
      </c>
      <c r="N1048" s="77" t="str">
        <f>IF(Main[[#This Row],[Tech Start Date]]&lt;1/1/1990,"",IF(Main[[#This Row],[Class]]="C",WORKDAY(Main[[#This Row],[Tech Start Date]],19),IF(Main[[#This Row],[Class]]="B", WORKDAY(Main[[#This Row],[Tech Start Date]],12),IF(Main[[#This Row],[Class]]="A",WORKDAY(Main[[#This Row],[Tech Start Date]],4),""))))</f>
        <v/>
      </c>
      <c r="O1048" s="77" t="str">
        <f>IF(Main[[#This Row],[Tech Start Date]]&lt;1/1/1990,"",IF(Main[[#This Row],[Class]]="C",WORKDAY(Main[[#This Row],[Tech Start Date]],23),IF(Main[[#This Row],[Class]]="B", WORKDAY(Main[[#This Row],[Tech Start Date]],15),IF(Main[[#This Row],[Class]]="A",WORKDAY(Main[[#This Row],[Tech Start Date]],5),""))))</f>
        <v/>
      </c>
      <c r="P1048" s="77" t="str">
        <f>IF(Main[[#This Row],[Tech Start Date]]&lt;1/1/1990,"",IF(Main[[#This Row],[Class]]="C",WORKDAY(Main[[#This Row],[Tech Start Date]],28),IF(Main[[#This Row],[Class]]="B", WORKDAY(Main[[#This Row],[Tech Start Date]],19),IF(Main[[#This Row],[Class]]="A",WORKDAY(Main[[#This Row],[Tech Start Date]],9),""))))</f>
        <v/>
      </c>
      <c r="Q1048" s="74">
        <v>40724</v>
      </c>
      <c r="R1048" s="74">
        <v>40847</v>
      </c>
      <c r="S1048" s="72" t="s">
        <v>6</v>
      </c>
      <c r="T1048" s="80" t="s">
        <v>2449</v>
      </c>
      <c r="U1048" s="72" t="s">
        <v>29</v>
      </c>
      <c r="V1048" s="72" t="s">
        <v>1932</v>
      </c>
      <c r="W1048" s="72" t="s">
        <v>1936</v>
      </c>
      <c r="X1048" s="72" t="s">
        <v>923</v>
      </c>
      <c r="Y1048" s="72" t="s">
        <v>3144</v>
      </c>
      <c r="Z1048" s="72" t="s">
        <v>129</v>
      </c>
      <c r="AA1048" s="147" t="s">
        <v>923</v>
      </c>
    </row>
    <row r="1049" spans="1:27" ht="18.600000000000001" customHeight="1">
      <c r="A1049" s="140" t="str">
        <f>IF(priority(Main[[#This Row],[Comments]])&lt;&gt;0, priority(Main[[#This Row],[Comments]]),"")</f>
        <v/>
      </c>
      <c r="B1049" s="90" t="s">
        <v>2450</v>
      </c>
      <c r="C1049" s="72" t="s">
        <v>216</v>
      </c>
      <c r="D1049" s="73" t="s">
        <v>2451</v>
      </c>
      <c r="E1049" s="74">
        <v>40861.655509259261</v>
      </c>
      <c r="F1049" s="74"/>
      <c r="G1049" s="75" t="str">
        <f>IF(stdProdLT(Main[[#This Row],[Comments]])=0.1,"N/A",IF(stdProdLT(Main[[#This Row],[Comments]])=0,"",stdProdLT(Main[[#This Row],[Comments]])))</f>
        <v/>
      </c>
      <c r="H1049" s="76" t="str">
        <f>IF(AND(Main[[#This Row],[In Stock Date]]&lt;&gt;"",Main[[#This Row],[Revised Due Date]]&lt;&gt;""),Main[[#This Row],[In Stock Date]]-Main[[#This Row],[Revised Due Date]],"")</f>
        <v/>
      </c>
      <c r="I1049" s="72" t="s">
        <v>4</v>
      </c>
      <c r="J1049" s="72" t="s">
        <v>4</v>
      </c>
      <c r="K1049" s="72" t="s">
        <v>4</v>
      </c>
      <c r="L1049" s="74"/>
      <c r="M1049" s="77" t="str">
        <f>IF(Main[[#This Row],[Tech Start Date]]&lt;1/1/1990,"",IF(Main[[#This Row],[Class]]="C",WORKDAY(Main[[#This Row],[Tech Start Date]],9),IF(Main[[#This Row],[Class]]="B", WORKDAY(Main[[#This Row],[Tech Start Date]],6),IF(Main[[#This Row],[Class]]="A",WORKDAY(Main[[#This Row],[Tech Start Date]],2),""))))</f>
        <v/>
      </c>
      <c r="N1049" s="77" t="str">
        <f>IF(Main[[#This Row],[Tech Start Date]]&lt;1/1/1990,"",IF(Main[[#This Row],[Class]]="C",WORKDAY(Main[[#This Row],[Tech Start Date]],19),IF(Main[[#This Row],[Class]]="B", WORKDAY(Main[[#This Row],[Tech Start Date]],12),IF(Main[[#This Row],[Class]]="A",WORKDAY(Main[[#This Row],[Tech Start Date]],4),""))))</f>
        <v/>
      </c>
      <c r="O1049" s="77" t="str">
        <f>IF(Main[[#This Row],[Tech Start Date]]&lt;1/1/1990,"",IF(Main[[#This Row],[Class]]="C",WORKDAY(Main[[#This Row],[Tech Start Date]],23),IF(Main[[#This Row],[Class]]="B", WORKDAY(Main[[#This Row],[Tech Start Date]],15),IF(Main[[#This Row],[Class]]="A",WORKDAY(Main[[#This Row],[Tech Start Date]],5),""))))</f>
        <v/>
      </c>
      <c r="P1049" s="77" t="str">
        <f>IF(Main[[#This Row],[Tech Start Date]]&lt;1/1/1990,"",IF(Main[[#This Row],[Class]]="C",WORKDAY(Main[[#This Row],[Tech Start Date]],28),IF(Main[[#This Row],[Class]]="B", WORKDAY(Main[[#This Row],[Tech Start Date]],19),IF(Main[[#This Row],[Class]]="A",WORKDAY(Main[[#This Row],[Tech Start Date]],9),""))))</f>
        <v/>
      </c>
      <c r="Q1049" s="74">
        <v>40967</v>
      </c>
      <c r="R1049" s="74"/>
      <c r="S1049" s="72" t="s">
        <v>17</v>
      </c>
      <c r="T1049" s="80" t="s">
        <v>4</v>
      </c>
      <c r="U1049" s="72" t="s">
        <v>7</v>
      </c>
      <c r="V1049" s="72" t="s">
        <v>1942</v>
      </c>
      <c r="W1049" s="72" t="s">
        <v>1937</v>
      </c>
      <c r="X1049" s="72" t="s">
        <v>436</v>
      </c>
      <c r="Y1049" s="72" t="s">
        <v>3212</v>
      </c>
      <c r="Z1049" s="72" t="s">
        <v>4</v>
      </c>
      <c r="AA1049" s="147" t="s">
        <v>436</v>
      </c>
    </row>
    <row r="1050" spans="1:27" ht="18.600000000000001" customHeight="1">
      <c r="A1050" s="140" t="str">
        <f>IF(priority(Main[[#This Row],[Comments]])&lt;&gt;0, priority(Main[[#This Row],[Comments]]),"")</f>
        <v/>
      </c>
      <c r="B1050" s="90" t="s">
        <v>2306</v>
      </c>
      <c r="C1050" s="72" t="s">
        <v>2307</v>
      </c>
      <c r="D1050" s="73" t="s">
        <v>2308</v>
      </c>
      <c r="E1050" s="74"/>
      <c r="F1050" s="74">
        <v>40816</v>
      </c>
      <c r="G1050" s="75" t="str">
        <f>IF(stdProdLT(Main[[#This Row],[Comments]])=0.1,"N/A",IF(stdProdLT(Main[[#This Row],[Comments]])=0,"",stdProdLT(Main[[#This Row],[Comments]])))</f>
        <v/>
      </c>
      <c r="H1050" s="76" t="str">
        <f>IF(AND(Main[[#This Row],[In Stock Date]]&lt;&gt;"",Main[[#This Row],[Revised Due Date]]&lt;&gt;""),Main[[#This Row],[In Stock Date]]-Main[[#This Row],[Revised Due Date]],"")</f>
        <v/>
      </c>
      <c r="I1050" s="72" t="s">
        <v>4</v>
      </c>
      <c r="J1050" s="72" t="s">
        <v>4</v>
      </c>
      <c r="K1050" s="81" t="s">
        <v>4</v>
      </c>
      <c r="L1050" s="74"/>
      <c r="M1050" s="77" t="str">
        <f>IF(Main[[#This Row],[Tech Start Date]]&lt;1/1/1990,"",IF(Main[[#This Row],[Class]]="C",WORKDAY(Main[[#This Row],[Tech Start Date]],9),IF(Main[[#This Row],[Class]]="B", WORKDAY(Main[[#This Row],[Tech Start Date]],6),IF(Main[[#This Row],[Class]]="A",WORKDAY(Main[[#This Row],[Tech Start Date]],2),""))))</f>
        <v/>
      </c>
      <c r="N1050" s="77" t="str">
        <f>IF(Main[[#This Row],[Tech Start Date]]&lt;1/1/1990,"",IF(Main[[#This Row],[Class]]="C",WORKDAY(Main[[#This Row],[Tech Start Date]],19),IF(Main[[#This Row],[Class]]="B", WORKDAY(Main[[#This Row],[Tech Start Date]],12),IF(Main[[#This Row],[Class]]="A",WORKDAY(Main[[#This Row],[Tech Start Date]],4),""))))</f>
        <v/>
      </c>
      <c r="O1050" s="77" t="str">
        <f>IF(Main[[#This Row],[Tech Start Date]]&lt;1/1/1990,"",IF(Main[[#This Row],[Class]]="C",WORKDAY(Main[[#This Row],[Tech Start Date]],23),IF(Main[[#This Row],[Class]]="B", WORKDAY(Main[[#This Row],[Tech Start Date]],15),IF(Main[[#This Row],[Class]]="A",WORKDAY(Main[[#This Row],[Tech Start Date]],5),""))))</f>
        <v/>
      </c>
      <c r="P1050" s="77" t="str">
        <f>IF(Main[[#This Row],[Tech Start Date]]&lt;1/1/1990,"",IF(Main[[#This Row],[Class]]="C",WORKDAY(Main[[#This Row],[Tech Start Date]],28),IF(Main[[#This Row],[Class]]="B", WORKDAY(Main[[#This Row],[Tech Start Date]],19),IF(Main[[#This Row],[Class]]="A",WORKDAY(Main[[#This Row],[Tech Start Date]],9),""))))</f>
        <v/>
      </c>
      <c r="Q1050" s="74">
        <v>40816</v>
      </c>
      <c r="R1050" s="74"/>
      <c r="S1050" s="72" t="s">
        <v>300</v>
      </c>
      <c r="T1050" s="80" t="s">
        <v>4</v>
      </c>
      <c r="U1050" s="72" t="s">
        <v>14</v>
      </c>
      <c r="V1050" s="72" t="s">
        <v>1942</v>
      </c>
      <c r="W1050" s="72" t="s">
        <v>1940</v>
      </c>
      <c r="X1050" s="72" t="s">
        <v>2994</v>
      </c>
      <c r="Y1050" s="72" t="s">
        <v>3213</v>
      </c>
      <c r="Z1050" s="72" t="s">
        <v>4</v>
      </c>
      <c r="AA1050" s="147" t="s">
        <v>3637</v>
      </c>
    </row>
    <row r="1051" spans="1:27" ht="18.600000000000001" customHeight="1">
      <c r="A1051" s="140" t="str">
        <f>IF(priority(Main[[#This Row],[Comments]])&lt;&gt;0, priority(Main[[#This Row],[Comments]]),"")</f>
        <v/>
      </c>
      <c r="B1051" s="90" t="s">
        <v>2452</v>
      </c>
      <c r="C1051" s="72" t="s">
        <v>4</v>
      </c>
      <c r="D1051" s="73" t="s">
        <v>2453</v>
      </c>
      <c r="E1051" s="74">
        <v>40826.139097222222</v>
      </c>
      <c r="F1051" s="74"/>
      <c r="G1051" s="75" t="str">
        <f>IF(stdProdLT(Main[[#This Row],[Comments]])=0.1,"N/A",IF(stdProdLT(Main[[#This Row],[Comments]])=0,"",stdProdLT(Main[[#This Row],[Comments]])))</f>
        <v/>
      </c>
      <c r="H1051" s="76" t="str">
        <f>IF(AND(Main[[#This Row],[In Stock Date]]&lt;&gt;"",Main[[#This Row],[Revised Due Date]]&lt;&gt;""),Main[[#This Row],[In Stock Date]]-Main[[#This Row],[Revised Due Date]],"")</f>
        <v/>
      </c>
      <c r="I1051" s="72" t="s">
        <v>4</v>
      </c>
      <c r="J1051" s="72" t="s">
        <v>4</v>
      </c>
      <c r="K1051" s="72" t="s">
        <v>4</v>
      </c>
      <c r="L1051" s="74"/>
      <c r="M1051" s="77" t="str">
        <f>IF(Main[[#This Row],[Tech Start Date]]&lt;1/1/1990,"",IF(Main[[#This Row],[Class]]="C",WORKDAY(Main[[#This Row],[Tech Start Date]],9),IF(Main[[#This Row],[Class]]="B", WORKDAY(Main[[#This Row],[Tech Start Date]],6),IF(Main[[#This Row],[Class]]="A",WORKDAY(Main[[#This Row],[Tech Start Date]],2),""))))</f>
        <v/>
      </c>
      <c r="N1051" s="77" t="str">
        <f>IF(Main[[#This Row],[Tech Start Date]]&lt;1/1/1990,"",IF(Main[[#This Row],[Class]]="C",WORKDAY(Main[[#This Row],[Tech Start Date]],19),IF(Main[[#This Row],[Class]]="B", WORKDAY(Main[[#This Row],[Tech Start Date]],12),IF(Main[[#This Row],[Class]]="A",WORKDAY(Main[[#This Row],[Tech Start Date]],4),""))))</f>
        <v/>
      </c>
      <c r="O1051" s="77" t="str">
        <f>IF(Main[[#This Row],[Tech Start Date]]&lt;1/1/1990,"",IF(Main[[#This Row],[Class]]="C",WORKDAY(Main[[#This Row],[Tech Start Date]],23),IF(Main[[#This Row],[Class]]="B", WORKDAY(Main[[#This Row],[Tech Start Date]],15),IF(Main[[#This Row],[Class]]="A",WORKDAY(Main[[#This Row],[Tech Start Date]],5),""))))</f>
        <v/>
      </c>
      <c r="P1051" s="77" t="str">
        <f>IF(Main[[#This Row],[Tech Start Date]]&lt;1/1/1990,"",IF(Main[[#This Row],[Class]]="C",WORKDAY(Main[[#This Row],[Tech Start Date]],28),IF(Main[[#This Row],[Class]]="B", WORKDAY(Main[[#This Row],[Tech Start Date]],19),IF(Main[[#This Row],[Class]]="A",WORKDAY(Main[[#This Row],[Tech Start Date]],9),""))))</f>
        <v/>
      </c>
      <c r="Q1051" s="74">
        <v>40847</v>
      </c>
      <c r="R1051" s="74"/>
      <c r="S1051" s="72" t="s">
        <v>6</v>
      </c>
      <c r="T1051" s="80" t="s">
        <v>4</v>
      </c>
      <c r="U1051" s="72" t="s">
        <v>7</v>
      </c>
      <c r="V1051" s="72" t="s">
        <v>1932</v>
      </c>
      <c r="W1051" s="72" t="s">
        <v>4</v>
      </c>
      <c r="X1051" s="72" t="s">
        <v>2935</v>
      </c>
      <c r="Y1051" s="72" t="s">
        <v>3073</v>
      </c>
      <c r="Z1051" s="72" t="s">
        <v>4</v>
      </c>
      <c r="AA1051" s="147" t="s">
        <v>2935</v>
      </c>
    </row>
    <row r="1052" spans="1:27" ht="18.600000000000001" customHeight="1">
      <c r="A1052" s="140" t="str">
        <f>IF(priority(Main[[#This Row],[Comments]])&lt;&gt;0, priority(Main[[#This Row],[Comments]]),"")</f>
        <v/>
      </c>
      <c r="B1052" s="90" t="s">
        <v>2425</v>
      </c>
      <c r="C1052" s="72" t="s">
        <v>4</v>
      </c>
      <c r="D1052" s="73" t="s">
        <v>2426</v>
      </c>
      <c r="E1052" s="74"/>
      <c r="F1052" s="74"/>
      <c r="G1052" s="75" t="str">
        <f>IF(stdProdLT(Main[[#This Row],[Comments]])=0.1,"N/A",IF(stdProdLT(Main[[#This Row],[Comments]])=0,"",stdProdLT(Main[[#This Row],[Comments]])))</f>
        <v/>
      </c>
      <c r="H1052" s="76" t="str">
        <f>IF(AND(Main[[#This Row],[In Stock Date]]&lt;&gt;"",Main[[#This Row],[Revised Due Date]]&lt;&gt;""),Main[[#This Row],[In Stock Date]]-Main[[#This Row],[Revised Due Date]],"")</f>
        <v/>
      </c>
      <c r="I1052" s="72" t="s">
        <v>4</v>
      </c>
      <c r="J1052" s="72" t="s">
        <v>4</v>
      </c>
      <c r="K1052" s="81" t="s">
        <v>4</v>
      </c>
      <c r="L1052" s="74"/>
      <c r="M1052" s="77" t="str">
        <f>IF(Main[[#This Row],[Tech Start Date]]&lt;1/1/1990,"",IF(Main[[#This Row],[Class]]="C",WORKDAY(Main[[#This Row],[Tech Start Date]],9),IF(Main[[#This Row],[Class]]="B", WORKDAY(Main[[#This Row],[Tech Start Date]],6),IF(Main[[#This Row],[Class]]="A",WORKDAY(Main[[#This Row],[Tech Start Date]],2),""))))</f>
        <v/>
      </c>
      <c r="N1052" s="77" t="str">
        <f>IF(Main[[#This Row],[Tech Start Date]]&lt;1/1/1990,"",IF(Main[[#This Row],[Class]]="C",WORKDAY(Main[[#This Row],[Tech Start Date]],19),IF(Main[[#This Row],[Class]]="B", WORKDAY(Main[[#This Row],[Tech Start Date]],12),IF(Main[[#This Row],[Class]]="A",WORKDAY(Main[[#This Row],[Tech Start Date]],4),""))))</f>
        <v/>
      </c>
      <c r="O1052" s="77" t="str">
        <f>IF(Main[[#This Row],[Tech Start Date]]&lt;1/1/1990,"",IF(Main[[#This Row],[Class]]="C",WORKDAY(Main[[#This Row],[Tech Start Date]],23),IF(Main[[#This Row],[Class]]="B", WORKDAY(Main[[#This Row],[Tech Start Date]],15),IF(Main[[#This Row],[Class]]="A",WORKDAY(Main[[#This Row],[Tech Start Date]],5),""))))</f>
        <v/>
      </c>
      <c r="P1052" s="77" t="str">
        <f>IF(Main[[#This Row],[Tech Start Date]]&lt;1/1/1990,"",IF(Main[[#This Row],[Class]]="C",WORKDAY(Main[[#This Row],[Tech Start Date]],28),IF(Main[[#This Row],[Class]]="B", WORKDAY(Main[[#This Row],[Tech Start Date]],19),IF(Main[[#This Row],[Class]]="A",WORKDAY(Main[[#This Row],[Tech Start Date]],9),""))))</f>
        <v/>
      </c>
      <c r="Q1052" s="74"/>
      <c r="R1052" s="74"/>
      <c r="S1052" s="72" t="s">
        <v>6</v>
      </c>
      <c r="T1052" s="80" t="s">
        <v>4</v>
      </c>
      <c r="U1052" s="72" t="s">
        <v>14</v>
      </c>
      <c r="V1052" s="72" t="s">
        <v>1932</v>
      </c>
      <c r="W1052" s="72" t="s">
        <v>1936</v>
      </c>
      <c r="X1052" s="72" t="s">
        <v>403</v>
      </c>
      <c r="Y1052" s="72" t="s">
        <v>4</v>
      </c>
      <c r="Z1052" s="72" t="s">
        <v>4</v>
      </c>
      <c r="AA1052" s="147" t="s">
        <v>3641</v>
      </c>
    </row>
    <row r="1053" spans="1:27" ht="18.600000000000001" customHeight="1">
      <c r="A1053" s="140" t="str">
        <f>IF(priority(Main[[#This Row],[Comments]])&lt;&gt;0, priority(Main[[#This Row],[Comments]]),"")</f>
        <v/>
      </c>
      <c r="B1053" s="90" t="s">
        <v>3506</v>
      </c>
      <c r="C1053" s="72" t="s">
        <v>4</v>
      </c>
      <c r="D1053" s="73" t="s">
        <v>3507</v>
      </c>
      <c r="E1053" s="74">
        <v>40938.727824074071</v>
      </c>
      <c r="F1053" s="74"/>
      <c r="G1053" s="75" t="str">
        <f>IF(stdProdLT(Main[[#This Row],[Comments]])=0.1,"N/A",IF(stdProdLT(Main[[#This Row],[Comments]])=0,"",stdProdLT(Main[[#This Row],[Comments]])))</f>
        <v/>
      </c>
      <c r="H1053" s="76" t="str">
        <f>IF(AND(Main[[#This Row],[In Stock Date]]&lt;&gt;"",Main[[#This Row],[Revised Due Date]]&lt;&gt;""),Main[[#This Row],[In Stock Date]]-Main[[#This Row],[Revised Due Date]],"")</f>
        <v/>
      </c>
      <c r="I1053" s="72" t="s">
        <v>4</v>
      </c>
      <c r="J1053" s="72" t="s">
        <v>4</v>
      </c>
      <c r="K1053" s="72" t="s">
        <v>4</v>
      </c>
      <c r="L1053" s="74"/>
      <c r="M1053" s="77" t="str">
        <f>IF(Main[[#This Row],[Tech Start Date]]&lt;1/1/1990,"",IF(Main[[#This Row],[Class]]="C",WORKDAY(Main[[#This Row],[Tech Start Date]],9),IF(Main[[#This Row],[Class]]="B", WORKDAY(Main[[#This Row],[Tech Start Date]],6),IF(Main[[#This Row],[Class]]="A",WORKDAY(Main[[#This Row],[Tech Start Date]],2),""))))</f>
        <v/>
      </c>
      <c r="N1053" s="77" t="str">
        <f>IF(Main[[#This Row],[Tech Start Date]]&lt;1/1/1990,"",IF(Main[[#This Row],[Class]]="C",WORKDAY(Main[[#This Row],[Tech Start Date]],19),IF(Main[[#This Row],[Class]]="B", WORKDAY(Main[[#This Row],[Tech Start Date]],12),IF(Main[[#This Row],[Class]]="A",WORKDAY(Main[[#This Row],[Tech Start Date]],4),""))))</f>
        <v/>
      </c>
      <c r="O1053" s="77" t="str">
        <f>IF(Main[[#This Row],[Tech Start Date]]&lt;1/1/1990,"",IF(Main[[#This Row],[Class]]="C",WORKDAY(Main[[#This Row],[Tech Start Date]],23),IF(Main[[#This Row],[Class]]="B", WORKDAY(Main[[#This Row],[Tech Start Date]],15),IF(Main[[#This Row],[Class]]="A",WORKDAY(Main[[#This Row],[Tech Start Date]],5),""))))</f>
        <v/>
      </c>
      <c r="P1053" s="77" t="str">
        <f>IF(Main[[#This Row],[Tech Start Date]]&lt;1/1/1990,"",IF(Main[[#This Row],[Class]]="C",WORKDAY(Main[[#This Row],[Tech Start Date]],28),IF(Main[[#This Row],[Class]]="B", WORKDAY(Main[[#This Row],[Tech Start Date]],19),IF(Main[[#This Row],[Class]]="A",WORKDAY(Main[[#This Row],[Tech Start Date]],9),""))))</f>
        <v/>
      </c>
      <c r="Q1053" s="74">
        <v>40970</v>
      </c>
      <c r="R1053" s="74"/>
      <c r="S1053" s="72" t="s">
        <v>6</v>
      </c>
      <c r="T1053" s="80" t="s">
        <v>4</v>
      </c>
      <c r="U1053" s="72" t="s">
        <v>7</v>
      </c>
      <c r="V1053" s="72" t="s">
        <v>1935</v>
      </c>
      <c r="W1053" s="72" t="s">
        <v>4</v>
      </c>
      <c r="X1053" s="72" t="s">
        <v>2903</v>
      </c>
      <c r="Y1053" s="72" t="s">
        <v>3019</v>
      </c>
      <c r="Z1053" s="72" t="s">
        <v>4</v>
      </c>
      <c r="AA1053" s="147" t="s">
        <v>2903</v>
      </c>
    </row>
    <row r="1054" spans="1:27" ht="18.600000000000001" customHeight="1">
      <c r="A1054" s="140" t="str">
        <f>IF(priority(Main[[#This Row],[Comments]])&lt;&gt;0, priority(Main[[#This Row],[Comments]]),"")</f>
        <v/>
      </c>
      <c r="B1054" s="90" t="s">
        <v>3385</v>
      </c>
      <c r="C1054" s="72" t="s">
        <v>4</v>
      </c>
      <c r="D1054" s="73" t="s">
        <v>3386</v>
      </c>
      <c r="E1054" s="74">
        <v>40934.394444444442</v>
      </c>
      <c r="F1054" s="74"/>
      <c r="G1054" s="75" t="str">
        <f>IF(stdProdLT(Main[[#This Row],[Comments]])=0.1,"N/A",IF(stdProdLT(Main[[#This Row],[Comments]])=0,"",stdProdLT(Main[[#This Row],[Comments]])))</f>
        <v/>
      </c>
      <c r="H1054" s="76" t="str">
        <f>IF(AND(Main[[#This Row],[In Stock Date]]&lt;&gt;"",Main[[#This Row],[Revised Due Date]]&lt;&gt;""),Main[[#This Row],[In Stock Date]]-Main[[#This Row],[Revised Due Date]],"")</f>
        <v/>
      </c>
      <c r="I1054" s="72" t="s">
        <v>4</v>
      </c>
      <c r="J1054" s="72" t="s">
        <v>4</v>
      </c>
      <c r="K1054" s="72" t="s">
        <v>4</v>
      </c>
      <c r="L1054" s="74"/>
      <c r="M1054" s="77" t="str">
        <f>IF(Main[[#This Row],[Tech Start Date]]&lt;1/1/1990,"",IF(Main[[#This Row],[Class]]="C",WORKDAY(Main[[#This Row],[Tech Start Date]],9),IF(Main[[#This Row],[Class]]="B", WORKDAY(Main[[#This Row],[Tech Start Date]],6),IF(Main[[#This Row],[Class]]="A",WORKDAY(Main[[#This Row],[Tech Start Date]],2),""))))</f>
        <v/>
      </c>
      <c r="N1054" s="77" t="str">
        <f>IF(Main[[#This Row],[Tech Start Date]]&lt;1/1/1990,"",IF(Main[[#This Row],[Class]]="C",WORKDAY(Main[[#This Row],[Tech Start Date]],19),IF(Main[[#This Row],[Class]]="B", WORKDAY(Main[[#This Row],[Tech Start Date]],12),IF(Main[[#This Row],[Class]]="A",WORKDAY(Main[[#This Row],[Tech Start Date]],4),""))))</f>
        <v/>
      </c>
      <c r="O1054" s="77" t="str">
        <f>IF(Main[[#This Row],[Tech Start Date]]&lt;1/1/1990,"",IF(Main[[#This Row],[Class]]="C",WORKDAY(Main[[#This Row],[Tech Start Date]],23),IF(Main[[#This Row],[Class]]="B", WORKDAY(Main[[#This Row],[Tech Start Date]],15),IF(Main[[#This Row],[Class]]="A",WORKDAY(Main[[#This Row],[Tech Start Date]],5),""))))</f>
        <v/>
      </c>
      <c r="P1054" s="77" t="str">
        <f>IF(Main[[#This Row],[Tech Start Date]]&lt;1/1/1990,"",IF(Main[[#This Row],[Class]]="C",WORKDAY(Main[[#This Row],[Tech Start Date]],28),IF(Main[[#This Row],[Class]]="B", WORKDAY(Main[[#This Row],[Tech Start Date]],19),IF(Main[[#This Row],[Class]]="A",WORKDAY(Main[[#This Row],[Tech Start Date]],9),""))))</f>
        <v/>
      </c>
      <c r="Q1054" s="74">
        <v>40968</v>
      </c>
      <c r="R1054" s="74"/>
      <c r="S1054" s="72" t="s">
        <v>6</v>
      </c>
      <c r="T1054" s="80" t="s">
        <v>4</v>
      </c>
      <c r="U1054" s="72" t="s">
        <v>7</v>
      </c>
      <c r="V1054" s="72" t="s">
        <v>1935</v>
      </c>
      <c r="W1054" s="72" t="s">
        <v>4</v>
      </c>
      <c r="X1054" s="72" t="s">
        <v>2902</v>
      </c>
      <c r="Y1054" s="72" t="s">
        <v>3016</v>
      </c>
      <c r="Z1054" s="72" t="s">
        <v>4</v>
      </c>
      <c r="AA1054" s="147" t="s">
        <v>2902</v>
      </c>
    </row>
    <row r="1055" spans="1:27" ht="18.600000000000001" customHeight="1">
      <c r="A1055" s="140" t="str">
        <f>IF(priority(Main[[#This Row],[Comments]])&lt;&gt;0, priority(Main[[#This Row],[Comments]]),"")</f>
        <v/>
      </c>
      <c r="B1055" s="90" t="s">
        <v>2372</v>
      </c>
      <c r="C1055" s="72" t="s">
        <v>4</v>
      </c>
      <c r="D1055" s="73" t="s">
        <v>2373</v>
      </c>
      <c r="E1055" s="74">
        <v>40826.635983796295</v>
      </c>
      <c r="F1055" s="74"/>
      <c r="G1055" s="75" t="str">
        <f>IF(stdProdLT(Main[[#This Row],[Comments]])=0.1,"N/A",IF(stdProdLT(Main[[#This Row],[Comments]])=0,"",stdProdLT(Main[[#This Row],[Comments]])))</f>
        <v/>
      </c>
      <c r="H1055" s="76" t="str">
        <f>IF(AND(Main[[#This Row],[In Stock Date]]&lt;&gt;"",Main[[#This Row],[Revised Due Date]]&lt;&gt;""),Main[[#This Row],[In Stock Date]]-Main[[#This Row],[Revised Due Date]],"")</f>
        <v/>
      </c>
      <c r="I1055" s="72" t="s">
        <v>30</v>
      </c>
      <c r="J1055" s="72" t="s">
        <v>21</v>
      </c>
      <c r="K1055" s="81" t="s">
        <v>1941</v>
      </c>
      <c r="L1055" s="74"/>
      <c r="M1055" s="77" t="str">
        <f>IF(Main[[#This Row],[Tech Start Date]]&lt;1/1/1990,"",IF(Main[[#This Row],[Class]]="C",WORKDAY(Main[[#This Row],[Tech Start Date]],9),IF(Main[[#This Row],[Class]]="B", WORKDAY(Main[[#This Row],[Tech Start Date]],6),IF(Main[[#This Row],[Class]]="A",WORKDAY(Main[[#This Row],[Tech Start Date]],2),""))))</f>
        <v/>
      </c>
      <c r="N1055" s="77" t="str">
        <f>IF(Main[[#This Row],[Tech Start Date]]&lt;1/1/1990,"",IF(Main[[#This Row],[Class]]="C",WORKDAY(Main[[#This Row],[Tech Start Date]],19),IF(Main[[#This Row],[Class]]="B", WORKDAY(Main[[#This Row],[Tech Start Date]],12),IF(Main[[#This Row],[Class]]="A",WORKDAY(Main[[#This Row],[Tech Start Date]],4),""))))</f>
        <v/>
      </c>
      <c r="O1055" s="77" t="str">
        <f>IF(Main[[#This Row],[Tech Start Date]]&lt;1/1/1990,"",IF(Main[[#This Row],[Class]]="C",WORKDAY(Main[[#This Row],[Tech Start Date]],23),IF(Main[[#This Row],[Class]]="B", WORKDAY(Main[[#This Row],[Tech Start Date]],15),IF(Main[[#This Row],[Class]]="A",WORKDAY(Main[[#This Row],[Tech Start Date]],5),""))))</f>
        <v/>
      </c>
      <c r="P1055" s="77" t="str">
        <f>IF(Main[[#This Row],[Tech Start Date]]&lt;1/1/1990,"",IF(Main[[#This Row],[Class]]="C",WORKDAY(Main[[#This Row],[Tech Start Date]],28),IF(Main[[#This Row],[Class]]="B", WORKDAY(Main[[#This Row],[Tech Start Date]],19),IF(Main[[#This Row],[Class]]="A",WORKDAY(Main[[#This Row],[Tech Start Date]],9),""))))</f>
        <v/>
      </c>
      <c r="Q1055" s="74">
        <v>40886</v>
      </c>
      <c r="R1055" s="74"/>
      <c r="S1055" s="72" t="s">
        <v>6</v>
      </c>
      <c r="T1055" s="80" t="s">
        <v>4</v>
      </c>
      <c r="U1055" s="72" t="s">
        <v>29</v>
      </c>
      <c r="V1055" s="72" t="s">
        <v>1935</v>
      </c>
      <c r="W1055" s="72" t="s">
        <v>1934</v>
      </c>
      <c r="X1055" s="72" t="s">
        <v>102</v>
      </c>
      <c r="Y1055" s="72" t="s">
        <v>3214</v>
      </c>
      <c r="Z1055" s="72" t="s">
        <v>420</v>
      </c>
      <c r="AA1055" s="147" t="s">
        <v>3642</v>
      </c>
    </row>
    <row r="1056" spans="1:27" ht="18.600000000000001" customHeight="1">
      <c r="A1056" s="140" t="str">
        <f>IF(priority(Main[[#This Row],[Comments]])&lt;&gt;0, priority(Main[[#This Row],[Comments]]),"")</f>
        <v/>
      </c>
      <c r="B1056" s="90" t="s">
        <v>1925</v>
      </c>
      <c r="C1056" s="72" t="s">
        <v>4</v>
      </c>
      <c r="D1056" s="73" t="s">
        <v>969</v>
      </c>
      <c r="E1056" s="74">
        <v>40140.581273148149</v>
      </c>
      <c r="F1056" s="74"/>
      <c r="G1056" s="75" t="str">
        <f>IF(stdProdLT(Main[[#This Row],[Comments]])=0.1,"N/A",IF(stdProdLT(Main[[#This Row],[Comments]])=0,"",stdProdLT(Main[[#This Row],[Comments]])))</f>
        <v/>
      </c>
      <c r="H1056" s="76" t="str">
        <f>IF(AND(Main[[#This Row],[In Stock Date]]&lt;&gt;"",Main[[#This Row],[Revised Due Date]]&lt;&gt;""),Main[[#This Row],[In Stock Date]]-Main[[#This Row],[Revised Due Date]],"")</f>
        <v/>
      </c>
      <c r="I1056" s="72" t="s">
        <v>436</v>
      </c>
      <c r="J1056" s="72" t="s">
        <v>28</v>
      </c>
      <c r="K1056" s="81" t="s">
        <v>1944</v>
      </c>
      <c r="L1056" s="74"/>
      <c r="M1056" s="77" t="str">
        <f>IF(Main[[#This Row],[Tech Start Date]]&lt;1/1/1990,"",IF(Main[[#This Row],[Class]]="C",WORKDAY(Main[[#This Row],[Tech Start Date]],9),IF(Main[[#This Row],[Class]]="B", WORKDAY(Main[[#This Row],[Tech Start Date]],6),IF(Main[[#This Row],[Class]]="A",WORKDAY(Main[[#This Row],[Tech Start Date]],2),""))))</f>
        <v/>
      </c>
      <c r="N1056" s="77" t="str">
        <f>IF(Main[[#This Row],[Tech Start Date]]&lt;1/1/1990,"",IF(Main[[#This Row],[Class]]="C",WORKDAY(Main[[#This Row],[Tech Start Date]],19),IF(Main[[#This Row],[Class]]="B", WORKDAY(Main[[#This Row],[Tech Start Date]],12),IF(Main[[#This Row],[Class]]="A",WORKDAY(Main[[#This Row],[Tech Start Date]],4),""))))</f>
        <v/>
      </c>
      <c r="O1056" s="77" t="str">
        <f>IF(Main[[#This Row],[Tech Start Date]]&lt;1/1/1990,"",IF(Main[[#This Row],[Class]]="C",WORKDAY(Main[[#This Row],[Tech Start Date]],23),IF(Main[[#This Row],[Class]]="B", WORKDAY(Main[[#This Row],[Tech Start Date]],15),IF(Main[[#This Row],[Class]]="A",WORKDAY(Main[[#This Row],[Tech Start Date]],5),""))))</f>
        <v/>
      </c>
      <c r="P1056" s="77" t="str">
        <f>IF(Main[[#This Row],[Tech Start Date]]&lt;1/1/1990,"",IF(Main[[#This Row],[Class]]="C",WORKDAY(Main[[#This Row],[Tech Start Date]],28),IF(Main[[#This Row],[Class]]="B", WORKDAY(Main[[#This Row],[Tech Start Date]],19),IF(Main[[#This Row],[Class]]="A",WORKDAY(Main[[#This Row],[Tech Start Date]],9),""))))</f>
        <v/>
      </c>
      <c r="Q1056" s="74">
        <v>40326</v>
      </c>
      <c r="R1056" s="74">
        <v>40966</v>
      </c>
      <c r="S1056" s="72" t="s">
        <v>17</v>
      </c>
      <c r="T1056" s="80" t="s">
        <v>4</v>
      </c>
      <c r="U1056" s="72" t="s">
        <v>29</v>
      </c>
      <c r="V1056" s="72" t="s">
        <v>1935</v>
      </c>
      <c r="W1056" s="72" t="s">
        <v>1937</v>
      </c>
      <c r="X1056" s="72" t="s">
        <v>420</v>
      </c>
      <c r="Y1056" s="72" t="s">
        <v>3062</v>
      </c>
      <c r="Z1056" s="72" t="s">
        <v>420</v>
      </c>
      <c r="AA1056" s="147" t="s">
        <v>420</v>
      </c>
    </row>
    <row r="1057" spans="1:27" ht="18.600000000000001" customHeight="1">
      <c r="A1057" s="140" t="str">
        <f>IF(priority(Main[[#This Row],[Comments]])&lt;&gt;0, priority(Main[[#This Row],[Comments]]),"")</f>
        <v/>
      </c>
      <c r="B1057" s="90" t="s">
        <v>2149</v>
      </c>
      <c r="C1057" s="72" t="s">
        <v>4</v>
      </c>
      <c r="D1057" s="73" t="s">
        <v>2455</v>
      </c>
      <c r="E1057" s="74"/>
      <c r="F1057" s="74"/>
      <c r="G1057" s="75" t="str">
        <f>IF(stdProdLT(Main[[#This Row],[Comments]])=0.1,"N/A",IF(stdProdLT(Main[[#This Row],[Comments]])=0,"",stdProdLT(Main[[#This Row],[Comments]])))</f>
        <v/>
      </c>
      <c r="H1057" s="76" t="str">
        <f>IF(AND(Main[[#This Row],[In Stock Date]]&lt;&gt;"",Main[[#This Row],[Revised Due Date]]&lt;&gt;""),Main[[#This Row],[In Stock Date]]-Main[[#This Row],[Revised Due Date]],"")</f>
        <v/>
      </c>
      <c r="I1057" s="72" t="s">
        <v>2073</v>
      </c>
      <c r="J1057" s="72" t="s">
        <v>28</v>
      </c>
      <c r="K1057" s="72" t="s">
        <v>1941</v>
      </c>
      <c r="L1057" s="74"/>
      <c r="M1057" s="77" t="str">
        <f>IF(Main[[#This Row],[Tech Start Date]]&lt;1/1/1990,"",IF(Main[[#This Row],[Class]]="C",WORKDAY(Main[[#This Row],[Tech Start Date]],9),IF(Main[[#This Row],[Class]]="B", WORKDAY(Main[[#This Row],[Tech Start Date]],6),IF(Main[[#This Row],[Class]]="A",WORKDAY(Main[[#This Row],[Tech Start Date]],2),""))))</f>
        <v/>
      </c>
      <c r="N1057" s="77" t="str">
        <f>IF(Main[[#This Row],[Tech Start Date]]&lt;1/1/1990,"",IF(Main[[#This Row],[Class]]="C",WORKDAY(Main[[#This Row],[Tech Start Date]],19),IF(Main[[#This Row],[Class]]="B", WORKDAY(Main[[#This Row],[Tech Start Date]],12),IF(Main[[#This Row],[Class]]="A",WORKDAY(Main[[#This Row],[Tech Start Date]],4),""))))</f>
        <v/>
      </c>
      <c r="O1057" s="77" t="str">
        <f>IF(Main[[#This Row],[Tech Start Date]]&lt;1/1/1990,"",IF(Main[[#This Row],[Class]]="C",WORKDAY(Main[[#This Row],[Tech Start Date]],23),IF(Main[[#This Row],[Class]]="B", WORKDAY(Main[[#This Row],[Tech Start Date]],15),IF(Main[[#This Row],[Class]]="A",WORKDAY(Main[[#This Row],[Tech Start Date]],5),""))))</f>
        <v/>
      </c>
      <c r="P1057" s="77" t="str">
        <f>IF(Main[[#This Row],[Tech Start Date]]&lt;1/1/1990,"",IF(Main[[#This Row],[Class]]="C",WORKDAY(Main[[#This Row],[Tech Start Date]],28),IF(Main[[#This Row],[Class]]="B", WORKDAY(Main[[#This Row],[Tech Start Date]],19),IF(Main[[#This Row],[Class]]="A",WORKDAY(Main[[#This Row],[Tech Start Date]],9),""))))</f>
        <v/>
      </c>
      <c r="Q1057" s="74">
        <v>40816</v>
      </c>
      <c r="R1057" s="74"/>
      <c r="S1057" s="72" t="s">
        <v>6</v>
      </c>
      <c r="T1057" s="80" t="s">
        <v>4</v>
      </c>
      <c r="U1057" s="72" t="s">
        <v>14</v>
      </c>
      <c r="V1057" s="72" t="s">
        <v>1942</v>
      </c>
      <c r="W1057" s="72" t="s">
        <v>1936</v>
      </c>
      <c r="X1057" s="72" t="s">
        <v>2987</v>
      </c>
      <c r="Y1057" s="72" t="s">
        <v>3170</v>
      </c>
      <c r="Z1057" s="72" t="s">
        <v>44</v>
      </c>
      <c r="AA1057" s="147" t="s">
        <v>2987</v>
      </c>
    </row>
    <row r="1058" spans="1:27" ht="18.600000000000001" customHeight="1">
      <c r="A1058" s="140" t="str">
        <f>IF(priority(Main[[#This Row],[Comments]])&lt;&gt;0, priority(Main[[#This Row],[Comments]]),"")</f>
        <v/>
      </c>
      <c r="B1058" s="90" t="s">
        <v>2498</v>
      </c>
      <c r="C1058" s="72" t="s">
        <v>95</v>
      </c>
      <c r="D1058" s="73" t="s">
        <v>2740</v>
      </c>
      <c r="E1058" s="74">
        <v>40876.601030092592</v>
      </c>
      <c r="F1058" s="74"/>
      <c r="G1058" s="75" t="str">
        <f>IF(stdProdLT(Main[[#This Row],[Comments]])=0.1,"N/A",IF(stdProdLT(Main[[#This Row],[Comments]])=0,"",stdProdLT(Main[[#This Row],[Comments]])))</f>
        <v/>
      </c>
      <c r="H1058" s="76" t="str">
        <f>IF(AND(Main[[#This Row],[In Stock Date]]&lt;&gt;"",Main[[#This Row],[Revised Due Date]]&lt;&gt;""),Main[[#This Row],[In Stock Date]]-Main[[#This Row],[Revised Due Date]],"")</f>
        <v/>
      </c>
      <c r="I1058" s="72" t="s">
        <v>535</v>
      </c>
      <c r="J1058" s="72" t="s">
        <v>28</v>
      </c>
      <c r="K1058" s="72" t="s">
        <v>1941</v>
      </c>
      <c r="L1058" s="74"/>
      <c r="M1058" s="77" t="str">
        <f>IF(Main[[#This Row],[Tech Start Date]]&lt;1/1/1990,"",IF(Main[[#This Row],[Class]]="C",WORKDAY(Main[[#This Row],[Tech Start Date]],9),IF(Main[[#This Row],[Class]]="B", WORKDAY(Main[[#This Row],[Tech Start Date]],6),IF(Main[[#This Row],[Class]]="A",WORKDAY(Main[[#This Row],[Tech Start Date]],2),""))))</f>
        <v/>
      </c>
      <c r="N1058" s="77" t="str">
        <f>IF(Main[[#This Row],[Tech Start Date]]&lt;1/1/1990,"",IF(Main[[#This Row],[Class]]="C",WORKDAY(Main[[#This Row],[Tech Start Date]],19),IF(Main[[#This Row],[Class]]="B", WORKDAY(Main[[#This Row],[Tech Start Date]],12),IF(Main[[#This Row],[Class]]="A",WORKDAY(Main[[#This Row],[Tech Start Date]],4),""))))</f>
        <v/>
      </c>
      <c r="O1058" s="77" t="str">
        <f>IF(Main[[#This Row],[Tech Start Date]]&lt;1/1/1990,"",IF(Main[[#This Row],[Class]]="C",WORKDAY(Main[[#This Row],[Tech Start Date]],23),IF(Main[[#This Row],[Class]]="B", WORKDAY(Main[[#This Row],[Tech Start Date]],15),IF(Main[[#This Row],[Class]]="A",WORKDAY(Main[[#This Row],[Tech Start Date]],5),""))))</f>
        <v/>
      </c>
      <c r="P1058" s="77" t="str">
        <f>IF(Main[[#This Row],[Tech Start Date]]&lt;1/1/1990,"",IF(Main[[#This Row],[Class]]="C",WORKDAY(Main[[#This Row],[Tech Start Date]],28),IF(Main[[#This Row],[Class]]="B", WORKDAY(Main[[#This Row],[Tech Start Date]],19),IF(Main[[#This Row],[Class]]="A",WORKDAY(Main[[#This Row],[Tech Start Date]],9),""))))</f>
        <v/>
      </c>
      <c r="Q1058" s="74">
        <v>40900</v>
      </c>
      <c r="R1058" s="74"/>
      <c r="S1058" s="72" t="s">
        <v>6</v>
      </c>
      <c r="T1058" s="80" t="s">
        <v>4</v>
      </c>
      <c r="U1058" s="72" t="s">
        <v>29</v>
      </c>
      <c r="V1058" s="72" t="s">
        <v>1942</v>
      </c>
      <c r="W1058" s="72" t="s">
        <v>1940</v>
      </c>
      <c r="X1058" s="72" t="s">
        <v>894</v>
      </c>
      <c r="Y1058" s="72" t="s">
        <v>3050</v>
      </c>
      <c r="Z1058" s="72" t="s">
        <v>30</v>
      </c>
      <c r="AA1058" s="147" t="s">
        <v>894</v>
      </c>
    </row>
    <row r="1059" spans="1:27" ht="18.600000000000001" customHeight="1">
      <c r="A1059" s="140" t="str">
        <f>IF(priority(Main[[#This Row],[Comments]])&lt;&gt;0, priority(Main[[#This Row],[Comments]]),"")</f>
        <v/>
      </c>
      <c r="B1059" s="90" t="s">
        <v>3749</v>
      </c>
      <c r="C1059" s="72" t="s">
        <v>47</v>
      </c>
      <c r="D1059" s="73" t="s">
        <v>3750</v>
      </c>
      <c r="E1059" s="74">
        <v>40947.640497685185</v>
      </c>
      <c r="F1059" s="74"/>
      <c r="G1059" s="75" t="str">
        <f>IF(stdProdLT(Main[[#This Row],[Comments]])=0.1,"N/A",IF(stdProdLT(Main[[#This Row],[Comments]])=0,"",stdProdLT(Main[[#This Row],[Comments]])))</f>
        <v/>
      </c>
      <c r="H1059" s="76" t="str">
        <f>IF(AND(Main[[#This Row],[In Stock Date]]&lt;&gt;"",Main[[#This Row],[Revised Due Date]]&lt;&gt;""),Main[[#This Row],[In Stock Date]]-Main[[#This Row],[Revised Due Date]],"")</f>
        <v/>
      </c>
      <c r="I1059" s="72" t="s">
        <v>4</v>
      </c>
      <c r="J1059" s="72" t="s">
        <v>4</v>
      </c>
      <c r="K1059" s="72" t="s">
        <v>4</v>
      </c>
      <c r="L1059" s="74"/>
      <c r="M1059" s="77" t="str">
        <f>IF(Main[[#This Row],[Tech Start Date]]&lt;1/1/1990,"",IF(Main[[#This Row],[Class]]="C",WORKDAY(Main[[#This Row],[Tech Start Date]],9),IF(Main[[#This Row],[Class]]="B", WORKDAY(Main[[#This Row],[Tech Start Date]],6),IF(Main[[#This Row],[Class]]="A",WORKDAY(Main[[#This Row],[Tech Start Date]],2),""))))</f>
        <v/>
      </c>
      <c r="N1059" s="77" t="str">
        <f>IF(Main[[#This Row],[Tech Start Date]]&lt;1/1/1990,"",IF(Main[[#This Row],[Class]]="C",WORKDAY(Main[[#This Row],[Tech Start Date]],19),IF(Main[[#This Row],[Class]]="B", WORKDAY(Main[[#This Row],[Tech Start Date]],12),IF(Main[[#This Row],[Class]]="A",WORKDAY(Main[[#This Row],[Tech Start Date]],4),""))))</f>
        <v/>
      </c>
      <c r="O1059" s="77" t="str">
        <f>IF(Main[[#This Row],[Tech Start Date]]&lt;1/1/1990,"",IF(Main[[#This Row],[Class]]="C",WORKDAY(Main[[#This Row],[Tech Start Date]],23),IF(Main[[#This Row],[Class]]="B", WORKDAY(Main[[#This Row],[Tech Start Date]],15),IF(Main[[#This Row],[Class]]="A",WORKDAY(Main[[#This Row],[Tech Start Date]],5),""))))</f>
        <v/>
      </c>
      <c r="P1059" s="77" t="str">
        <f>IF(Main[[#This Row],[Tech Start Date]]&lt;1/1/1990,"",IF(Main[[#This Row],[Class]]="C",WORKDAY(Main[[#This Row],[Tech Start Date]],28),IF(Main[[#This Row],[Class]]="B", WORKDAY(Main[[#This Row],[Tech Start Date]],19),IF(Main[[#This Row],[Class]]="A",WORKDAY(Main[[#This Row],[Tech Start Date]],9),""))))</f>
        <v/>
      </c>
      <c r="Q1059" s="74">
        <v>40999</v>
      </c>
      <c r="R1059" s="74"/>
      <c r="S1059" s="72" t="s">
        <v>6</v>
      </c>
      <c r="T1059" s="80" t="s">
        <v>4</v>
      </c>
      <c r="U1059" s="72" t="s">
        <v>29</v>
      </c>
      <c r="V1059" s="72" t="s">
        <v>2312</v>
      </c>
      <c r="W1059" s="72" t="s">
        <v>4</v>
      </c>
      <c r="X1059" s="72" t="s">
        <v>2949</v>
      </c>
      <c r="Y1059" s="72" t="s">
        <v>3097</v>
      </c>
      <c r="Z1059" s="72" t="s">
        <v>4</v>
      </c>
      <c r="AA1059" s="147" t="s">
        <v>2949</v>
      </c>
    </row>
    <row r="1060" spans="1:27" ht="18.600000000000001" customHeight="1">
      <c r="A1060" s="140" t="str">
        <f>IF(priority(Main[[#This Row],[Comments]])&lt;&gt;0, priority(Main[[#This Row],[Comments]]),"")</f>
        <v/>
      </c>
      <c r="B1060" s="90" t="s">
        <v>2615</v>
      </c>
      <c r="C1060" s="72" t="s">
        <v>4</v>
      </c>
      <c r="D1060" s="73" t="s">
        <v>2616</v>
      </c>
      <c r="E1060" s="74"/>
      <c r="F1060" s="74"/>
      <c r="G1060" s="75" t="str">
        <f>IF(stdProdLT(Main[[#This Row],[Comments]])=0.1,"N/A",IF(stdProdLT(Main[[#This Row],[Comments]])=0,"",stdProdLT(Main[[#This Row],[Comments]])))</f>
        <v/>
      </c>
      <c r="H1060" s="76" t="str">
        <f>IF(AND(Main[[#This Row],[In Stock Date]]&lt;&gt;"",Main[[#This Row],[Revised Due Date]]&lt;&gt;""),Main[[#This Row],[In Stock Date]]-Main[[#This Row],[Revised Due Date]],"")</f>
        <v/>
      </c>
      <c r="I1060" s="72" t="s">
        <v>4</v>
      </c>
      <c r="J1060" s="72" t="s">
        <v>4</v>
      </c>
      <c r="K1060" s="72" t="s">
        <v>4</v>
      </c>
      <c r="L1060" s="74"/>
      <c r="M1060" s="77" t="str">
        <f>IF(Main[[#This Row],[Tech Start Date]]&lt;1/1/1990,"",IF(Main[[#This Row],[Class]]="C",WORKDAY(Main[[#This Row],[Tech Start Date]],9),IF(Main[[#This Row],[Class]]="B", WORKDAY(Main[[#This Row],[Tech Start Date]],6),IF(Main[[#This Row],[Class]]="A",WORKDAY(Main[[#This Row],[Tech Start Date]],2),""))))</f>
        <v/>
      </c>
      <c r="N1060" s="77" t="str">
        <f>IF(Main[[#This Row],[Tech Start Date]]&lt;1/1/1990,"",IF(Main[[#This Row],[Class]]="C",WORKDAY(Main[[#This Row],[Tech Start Date]],19),IF(Main[[#This Row],[Class]]="B", WORKDAY(Main[[#This Row],[Tech Start Date]],12),IF(Main[[#This Row],[Class]]="A",WORKDAY(Main[[#This Row],[Tech Start Date]],4),""))))</f>
        <v/>
      </c>
      <c r="O1060" s="77" t="str">
        <f>IF(Main[[#This Row],[Tech Start Date]]&lt;1/1/1990,"",IF(Main[[#This Row],[Class]]="C",WORKDAY(Main[[#This Row],[Tech Start Date]],23),IF(Main[[#This Row],[Class]]="B", WORKDAY(Main[[#This Row],[Tech Start Date]],15),IF(Main[[#This Row],[Class]]="A",WORKDAY(Main[[#This Row],[Tech Start Date]],5),""))))</f>
        <v/>
      </c>
      <c r="P1060" s="77" t="str">
        <f>IF(Main[[#This Row],[Tech Start Date]]&lt;1/1/1990,"",IF(Main[[#This Row],[Class]]="C",WORKDAY(Main[[#This Row],[Tech Start Date]],28),IF(Main[[#This Row],[Class]]="B", WORKDAY(Main[[#This Row],[Tech Start Date]],19),IF(Main[[#This Row],[Class]]="A",WORKDAY(Main[[#This Row],[Tech Start Date]],9),""))))</f>
        <v/>
      </c>
      <c r="Q1060" s="74"/>
      <c r="R1060" s="74"/>
      <c r="S1060" s="72" t="s">
        <v>6</v>
      </c>
      <c r="T1060" s="80" t="s">
        <v>4</v>
      </c>
      <c r="U1060" s="72" t="s">
        <v>14</v>
      </c>
      <c r="V1060" s="72" t="s">
        <v>1935</v>
      </c>
      <c r="W1060" s="72" t="s">
        <v>1936</v>
      </c>
      <c r="X1060" s="72" t="s">
        <v>310</v>
      </c>
      <c r="Y1060" s="72" t="s">
        <v>3028</v>
      </c>
      <c r="Z1060" s="72" t="s">
        <v>4</v>
      </c>
      <c r="AA1060" s="147" t="s">
        <v>310</v>
      </c>
    </row>
    <row r="1061" spans="1:27" ht="18.600000000000001" customHeight="1">
      <c r="A1061" s="140" t="str">
        <f>IF(priority(Main[[#This Row],[Comments]])&lt;&gt;0, priority(Main[[#This Row],[Comments]]),"")</f>
        <v/>
      </c>
      <c r="B1061" s="90" t="s">
        <v>2301</v>
      </c>
      <c r="C1061" s="72" t="s">
        <v>4</v>
      </c>
      <c r="D1061" s="73" t="s">
        <v>2302</v>
      </c>
      <c r="E1061" s="74">
        <v>40809.888067129628</v>
      </c>
      <c r="F1061" s="74"/>
      <c r="G1061" s="75" t="str">
        <f>IF(stdProdLT(Main[[#This Row],[Comments]])=0.1,"N/A",IF(stdProdLT(Main[[#This Row],[Comments]])=0,"",stdProdLT(Main[[#This Row],[Comments]])))</f>
        <v/>
      </c>
      <c r="H1061" s="76" t="str">
        <f>IF(AND(Main[[#This Row],[In Stock Date]]&lt;&gt;"",Main[[#This Row],[Revised Due Date]]&lt;&gt;""),Main[[#This Row],[In Stock Date]]-Main[[#This Row],[Revised Due Date]],"")</f>
        <v/>
      </c>
      <c r="I1061" s="72" t="s">
        <v>81</v>
      </c>
      <c r="J1061" s="72" t="s">
        <v>52</v>
      </c>
      <c r="K1061" s="81" t="s">
        <v>1941</v>
      </c>
      <c r="L1061" s="74"/>
      <c r="M1061" s="77" t="str">
        <f>IF(Main[[#This Row],[Tech Start Date]]&lt;1/1/1990,"",IF(Main[[#This Row],[Class]]="C",WORKDAY(Main[[#This Row],[Tech Start Date]],9),IF(Main[[#This Row],[Class]]="B", WORKDAY(Main[[#This Row],[Tech Start Date]],6),IF(Main[[#This Row],[Class]]="A",WORKDAY(Main[[#This Row],[Tech Start Date]],2),""))))</f>
        <v/>
      </c>
      <c r="N1061" s="77" t="str">
        <f>IF(Main[[#This Row],[Tech Start Date]]&lt;1/1/1990,"",IF(Main[[#This Row],[Class]]="C",WORKDAY(Main[[#This Row],[Tech Start Date]],19),IF(Main[[#This Row],[Class]]="B", WORKDAY(Main[[#This Row],[Tech Start Date]],12),IF(Main[[#This Row],[Class]]="A",WORKDAY(Main[[#This Row],[Tech Start Date]],4),""))))</f>
        <v/>
      </c>
      <c r="O1061" s="77" t="str">
        <f>IF(Main[[#This Row],[Tech Start Date]]&lt;1/1/1990,"",IF(Main[[#This Row],[Class]]="C",WORKDAY(Main[[#This Row],[Tech Start Date]],23),IF(Main[[#This Row],[Class]]="B", WORKDAY(Main[[#This Row],[Tech Start Date]],15),IF(Main[[#This Row],[Class]]="A",WORKDAY(Main[[#This Row],[Tech Start Date]],5),""))))</f>
        <v/>
      </c>
      <c r="P1061" s="77" t="str">
        <f>IF(Main[[#This Row],[Tech Start Date]]&lt;1/1/1990,"",IF(Main[[#This Row],[Class]]="C",WORKDAY(Main[[#This Row],[Tech Start Date]],28),IF(Main[[#This Row],[Class]]="B", WORKDAY(Main[[#This Row],[Tech Start Date]],19),IF(Main[[#This Row],[Class]]="A",WORKDAY(Main[[#This Row],[Tech Start Date]],9),""))))</f>
        <v/>
      </c>
      <c r="Q1061" s="74"/>
      <c r="R1061" s="74"/>
      <c r="S1061" s="72" t="s">
        <v>6</v>
      </c>
      <c r="T1061" s="80" t="s">
        <v>4</v>
      </c>
      <c r="U1061" s="72" t="s">
        <v>29</v>
      </c>
      <c r="V1061" s="72" t="s">
        <v>1942</v>
      </c>
      <c r="W1061" s="72" t="s">
        <v>1936</v>
      </c>
      <c r="X1061" s="72" t="s">
        <v>2949</v>
      </c>
      <c r="Y1061" s="72" t="s">
        <v>3097</v>
      </c>
      <c r="Z1061" s="72" t="s">
        <v>30</v>
      </c>
      <c r="AA1061" s="147" t="s">
        <v>2949</v>
      </c>
    </row>
    <row r="1062" spans="1:27" ht="18.600000000000001" customHeight="1">
      <c r="A1062" s="140" t="str">
        <f>IF(priority(Main[[#This Row],[Comments]])&lt;&gt;0, priority(Main[[#This Row],[Comments]]),"")</f>
        <v/>
      </c>
      <c r="B1062" s="90" t="s">
        <v>2279</v>
      </c>
      <c r="C1062" s="72" t="s">
        <v>4</v>
      </c>
      <c r="D1062" s="73" t="s">
        <v>2280</v>
      </c>
      <c r="E1062" s="74">
        <v>40806.354490740741</v>
      </c>
      <c r="F1062" s="74"/>
      <c r="G1062" s="75" t="str">
        <f>IF(stdProdLT(Main[[#This Row],[Comments]])=0.1,"N/A",IF(stdProdLT(Main[[#This Row],[Comments]])=0,"",stdProdLT(Main[[#This Row],[Comments]])))</f>
        <v/>
      </c>
      <c r="H1062" s="76" t="str">
        <f>IF(AND(Main[[#This Row],[In Stock Date]]&lt;&gt;"",Main[[#This Row],[Revised Due Date]]&lt;&gt;""),Main[[#This Row],[In Stock Date]]-Main[[#This Row],[Revised Due Date]],"")</f>
        <v/>
      </c>
      <c r="I1062" s="72" t="s">
        <v>4</v>
      </c>
      <c r="J1062" s="72" t="s">
        <v>4</v>
      </c>
      <c r="K1062" s="72" t="s">
        <v>4</v>
      </c>
      <c r="L1062" s="74"/>
      <c r="M1062" s="77" t="str">
        <f>IF(Main[[#This Row],[Tech Start Date]]&lt;1/1/1990,"",IF(Main[[#This Row],[Class]]="C",WORKDAY(Main[[#This Row],[Tech Start Date]],9),IF(Main[[#This Row],[Class]]="B", WORKDAY(Main[[#This Row],[Tech Start Date]],6),IF(Main[[#This Row],[Class]]="A",WORKDAY(Main[[#This Row],[Tech Start Date]],2),""))))</f>
        <v/>
      </c>
      <c r="N1062" s="77" t="str">
        <f>IF(Main[[#This Row],[Tech Start Date]]&lt;1/1/1990,"",IF(Main[[#This Row],[Class]]="C",WORKDAY(Main[[#This Row],[Tech Start Date]],19),IF(Main[[#This Row],[Class]]="B", WORKDAY(Main[[#This Row],[Tech Start Date]],12),IF(Main[[#This Row],[Class]]="A",WORKDAY(Main[[#This Row],[Tech Start Date]],4),""))))</f>
        <v/>
      </c>
      <c r="O1062" s="77" t="str">
        <f>IF(Main[[#This Row],[Tech Start Date]]&lt;1/1/1990,"",IF(Main[[#This Row],[Class]]="C",WORKDAY(Main[[#This Row],[Tech Start Date]],23),IF(Main[[#This Row],[Class]]="B", WORKDAY(Main[[#This Row],[Tech Start Date]],15),IF(Main[[#This Row],[Class]]="A",WORKDAY(Main[[#This Row],[Tech Start Date]],5),""))))</f>
        <v/>
      </c>
      <c r="P1062" s="77" t="str">
        <f>IF(Main[[#This Row],[Tech Start Date]]&lt;1/1/1990,"",IF(Main[[#This Row],[Class]]="C",WORKDAY(Main[[#This Row],[Tech Start Date]],28),IF(Main[[#This Row],[Class]]="B", WORKDAY(Main[[#This Row],[Tech Start Date]],19),IF(Main[[#This Row],[Class]]="A",WORKDAY(Main[[#This Row],[Tech Start Date]],9),""))))</f>
        <v/>
      </c>
      <c r="Q1062" s="74"/>
      <c r="R1062" s="74"/>
      <c r="S1062" s="72" t="s">
        <v>17</v>
      </c>
      <c r="T1062" s="80" t="s">
        <v>4</v>
      </c>
      <c r="U1062" s="72" t="s">
        <v>7</v>
      </c>
      <c r="V1062" s="72" t="s">
        <v>1933</v>
      </c>
      <c r="W1062" s="72" t="s">
        <v>1934</v>
      </c>
      <c r="X1062" s="72" t="s">
        <v>2950</v>
      </c>
      <c r="Y1062" s="72" t="s">
        <v>3087</v>
      </c>
      <c r="Z1062" s="72" t="s">
        <v>4</v>
      </c>
      <c r="AA1062" s="147" t="s">
        <v>2950</v>
      </c>
    </row>
    <row r="1063" spans="1:27" ht="18.600000000000001" customHeight="1">
      <c r="A1063" s="140" t="str">
        <f>IF(priority(Main[[#This Row],[Comments]])&lt;&gt;0, priority(Main[[#This Row],[Comments]]),"")</f>
        <v/>
      </c>
      <c r="B1063" s="90" t="s">
        <v>2805</v>
      </c>
      <c r="C1063" s="72" t="s">
        <v>4</v>
      </c>
      <c r="D1063" s="73" t="s">
        <v>2806</v>
      </c>
      <c r="E1063" s="74">
        <v>40911.721898148149</v>
      </c>
      <c r="F1063" s="74"/>
      <c r="G1063" s="75" t="str">
        <f>IF(stdProdLT(Main[[#This Row],[Comments]])=0.1,"N/A",IF(stdProdLT(Main[[#This Row],[Comments]])=0,"",stdProdLT(Main[[#This Row],[Comments]])))</f>
        <v/>
      </c>
      <c r="H1063" s="76" t="str">
        <f>IF(AND(Main[[#This Row],[In Stock Date]]&lt;&gt;"",Main[[#This Row],[Revised Due Date]]&lt;&gt;""),Main[[#This Row],[In Stock Date]]-Main[[#This Row],[Revised Due Date]],"")</f>
        <v/>
      </c>
      <c r="I1063" s="72" t="s">
        <v>4</v>
      </c>
      <c r="J1063" s="72" t="s">
        <v>4</v>
      </c>
      <c r="K1063" s="72" t="s">
        <v>4</v>
      </c>
      <c r="L1063" s="74"/>
      <c r="M1063" s="77" t="str">
        <f>IF(Main[[#This Row],[Tech Start Date]]&lt;1/1/1990,"",IF(Main[[#This Row],[Class]]="C",WORKDAY(Main[[#This Row],[Tech Start Date]],9),IF(Main[[#This Row],[Class]]="B", WORKDAY(Main[[#This Row],[Tech Start Date]],6),IF(Main[[#This Row],[Class]]="A",WORKDAY(Main[[#This Row],[Tech Start Date]],2),""))))</f>
        <v/>
      </c>
      <c r="N1063" s="77" t="str">
        <f>IF(Main[[#This Row],[Tech Start Date]]&lt;1/1/1990,"",IF(Main[[#This Row],[Class]]="C",WORKDAY(Main[[#This Row],[Tech Start Date]],19),IF(Main[[#This Row],[Class]]="B", WORKDAY(Main[[#This Row],[Tech Start Date]],12),IF(Main[[#This Row],[Class]]="A",WORKDAY(Main[[#This Row],[Tech Start Date]],4),""))))</f>
        <v/>
      </c>
      <c r="O1063" s="77" t="str">
        <f>IF(Main[[#This Row],[Tech Start Date]]&lt;1/1/1990,"",IF(Main[[#This Row],[Class]]="C",WORKDAY(Main[[#This Row],[Tech Start Date]],23),IF(Main[[#This Row],[Class]]="B", WORKDAY(Main[[#This Row],[Tech Start Date]],15),IF(Main[[#This Row],[Class]]="A",WORKDAY(Main[[#This Row],[Tech Start Date]],5),""))))</f>
        <v/>
      </c>
      <c r="P1063" s="77" t="str">
        <f>IF(Main[[#This Row],[Tech Start Date]]&lt;1/1/1990,"",IF(Main[[#This Row],[Class]]="C",WORKDAY(Main[[#This Row],[Tech Start Date]],28),IF(Main[[#This Row],[Class]]="B", WORKDAY(Main[[#This Row],[Tech Start Date]],19),IF(Main[[#This Row],[Class]]="A",WORKDAY(Main[[#This Row],[Tech Start Date]],9),""))))</f>
        <v/>
      </c>
      <c r="Q1063" s="74">
        <v>41015</v>
      </c>
      <c r="R1063" s="74"/>
      <c r="S1063" s="72" t="s">
        <v>6</v>
      </c>
      <c r="T1063" s="80" t="s">
        <v>4</v>
      </c>
      <c r="U1063" s="72" t="s">
        <v>7</v>
      </c>
      <c r="V1063" s="72" t="s">
        <v>1947</v>
      </c>
      <c r="W1063" s="72" t="s">
        <v>1936</v>
      </c>
      <c r="X1063" s="72" t="s">
        <v>888</v>
      </c>
      <c r="Y1063" s="72" t="s">
        <v>3096</v>
      </c>
      <c r="Z1063" s="72" t="s">
        <v>4</v>
      </c>
      <c r="AA1063" s="147" t="s">
        <v>888</v>
      </c>
    </row>
    <row r="1064" spans="1:27" ht="18.600000000000001" customHeight="1">
      <c r="A1064" s="140" t="str">
        <f>IF(priority(Main[[#This Row],[Comments]])&lt;&gt;0, priority(Main[[#This Row],[Comments]]),"")</f>
        <v/>
      </c>
      <c r="B1064" s="90" t="s">
        <v>1453</v>
      </c>
      <c r="C1064" s="72" t="s">
        <v>4</v>
      </c>
      <c r="D1064" s="73" t="s">
        <v>521</v>
      </c>
      <c r="E1064" s="74">
        <v>40584.460439814815</v>
      </c>
      <c r="F1064" s="74">
        <v>40599</v>
      </c>
      <c r="G1064" s="75" t="str">
        <f>IF(stdProdLT(Main[[#This Row],[Comments]])=0.1,"N/A",IF(stdProdLT(Main[[#This Row],[Comments]])=0,"",stdProdLT(Main[[#This Row],[Comments]])))</f>
        <v/>
      </c>
      <c r="H1064" s="76" t="str">
        <f>IF(AND(Main[[#This Row],[In Stock Date]]&lt;&gt;"",Main[[#This Row],[Revised Due Date]]&lt;&gt;""),Main[[#This Row],[In Stock Date]]-Main[[#This Row],[Revised Due Date]],"")</f>
        <v/>
      </c>
      <c r="I1064" s="72" t="s">
        <v>242</v>
      </c>
      <c r="J1064" s="72" t="s">
        <v>21</v>
      </c>
      <c r="K1064" s="72" t="s">
        <v>1941</v>
      </c>
      <c r="L1064" s="74"/>
      <c r="M1064" s="77" t="str">
        <f>IF(Main[[#This Row],[Tech Start Date]]&lt;1/1/1990,"",IF(Main[[#This Row],[Class]]="C",WORKDAY(Main[[#This Row],[Tech Start Date]],9),IF(Main[[#This Row],[Class]]="B", WORKDAY(Main[[#This Row],[Tech Start Date]],6),IF(Main[[#This Row],[Class]]="A",WORKDAY(Main[[#This Row],[Tech Start Date]],2),""))))</f>
        <v/>
      </c>
      <c r="N1064" s="77" t="str">
        <f>IF(Main[[#This Row],[Tech Start Date]]&lt;1/1/1990,"",IF(Main[[#This Row],[Class]]="C",WORKDAY(Main[[#This Row],[Tech Start Date]],19),IF(Main[[#This Row],[Class]]="B", WORKDAY(Main[[#This Row],[Tech Start Date]],12),IF(Main[[#This Row],[Class]]="A",WORKDAY(Main[[#This Row],[Tech Start Date]],4),""))))</f>
        <v/>
      </c>
      <c r="O1064" s="77" t="str">
        <f>IF(Main[[#This Row],[Tech Start Date]]&lt;1/1/1990,"",IF(Main[[#This Row],[Class]]="C",WORKDAY(Main[[#This Row],[Tech Start Date]],23),IF(Main[[#This Row],[Class]]="B", WORKDAY(Main[[#This Row],[Tech Start Date]],15),IF(Main[[#This Row],[Class]]="A",WORKDAY(Main[[#This Row],[Tech Start Date]],5),""))))</f>
        <v/>
      </c>
      <c r="P1064" s="77" t="str">
        <f>IF(Main[[#This Row],[Tech Start Date]]&lt;1/1/1990,"",IF(Main[[#This Row],[Class]]="C",WORKDAY(Main[[#This Row],[Tech Start Date]],28),IF(Main[[#This Row],[Class]]="B", WORKDAY(Main[[#This Row],[Tech Start Date]],19),IF(Main[[#This Row],[Class]]="A",WORKDAY(Main[[#This Row],[Tech Start Date]],9),""))))</f>
        <v/>
      </c>
      <c r="Q1064" s="74">
        <v>40599</v>
      </c>
      <c r="R1064" s="74"/>
      <c r="S1064" s="72" t="s">
        <v>6</v>
      </c>
      <c r="T1064" s="80" t="s">
        <v>4</v>
      </c>
      <c r="U1064" s="72" t="s">
        <v>29</v>
      </c>
      <c r="V1064" s="72" t="s">
        <v>1942</v>
      </c>
      <c r="W1064" s="72" t="s">
        <v>1934</v>
      </c>
      <c r="X1064" s="72" t="s">
        <v>420</v>
      </c>
      <c r="Y1064" s="72" t="s">
        <v>3062</v>
      </c>
      <c r="Z1064" s="72" t="s">
        <v>420</v>
      </c>
      <c r="AA1064" s="147" t="s">
        <v>420</v>
      </c>
    </row>
    <row r="1065" spans="1:27" ht="18.600000000000001" customHeight="1">
      <c r="A1065" s="140" t="str">
        <f>IF(priority(Main[[#This Row],[Comments]])&lt;&gt;0, priority(Main[[#This Row],[Comments]]),"")</f>
        <v/>
      </c>
      <c r="B1065" s="90" t="s">
        <v>2816</v>
      </c>
      <c r="C1065" s="72" t="s">
        <v>4</v>
      </c>
      <c r="D1065" s="73" t="s">
        <v>2817</v>
      </c>
      <c r="E1065" s="74">
        <v>40905.635960648149</v>
      </c>
      <c r="F1065" s="74"/>
      <c r="G1065" s="75" t="str">
        <f>IF(stdProdLT(Main[[#This Row],[Comments]])=0.1,"N/A",IF(stdProdLT(Main[[#This Row],[Comments]])=0,"",stdProdLT(Main[[#This Row],[Comments]])))</f>
        <v/>
      </c>
      <c r="H1065" s="76" t="str">
        <f>IF(AND(Main[[#This Row],[In Stock Date]]&lt;&gt;"",Main[[#This Row],[Revised Due Date]]&lt;&gt;""),Main[[#This Row],[In Stock Date]]-Main[[#This Row],[Revised Due Date]],"")</f>
        <v/>
      </c>
      <c r="I1065" s="72" t="s">
        <v>535</v>
      </c>
      <c r="J1065" s="72" t="s">
        <v>52</v>
      </c>
      <c r="K1065" s="72" t="s">
        <v>1941</v>
      </c>
      <c r="L1065" s="74"/>
      <c r="M1065" s="77" t="str">
        <f>IF(Main[[#This Row],[Tech Start Date]]&lt;1/1/1990,"",IF(Main[[#This Row],[Class]]="C",WORKDAY(Main[[#This Row],[Tech Start Date]],9),IF(Main[[#This Row],[Class]]="B", WORKDAY(Main[[#This Row],[Tech Start Date]],6),IF(Main[[#This Row],[Class]]="A",WORKDAY(Main[[#This Row],[Tech Start Date]],2),""))))</f>
        <v/>
      </c>
      <c r="N1065" s="77" t="str">
        <f>IF(Main[[#This Row],[Tech Start Date]]&lt;1/1/1990,"",IF(Main[[#This Row],[Class]]="C",WORKDAY(Main[[#This Row],[Tech Start Date]],19),IF(Main[[#This Row],[Class]]="B", WORKDAY(Main[[#This Row],[Tech Start Date]],12),IF(Main[[#This Row],[Class]]="A",WORKDAY(Main[[#This Row],[Tech Start Date]],4),""))))</f>
        <v/>
      </c>
      <c r="O1065" s="77" t="str">
        <f>IF(Main[[#This Row],[Tech Start Date]]&lt;1/1/1990,"",IF(Main[[#This Row],[Class]]="C",WORKDAY(Main[[#This Row],[Tech Start Date]],23),IF(Main[[#This Row],[Class]]="B", WORKDAY(Main[[#This Row],[Tech Start Date]],15),IF(Main[[#This Row],[Class]]="A",WORKDAY(Main[[#This Row],[Tech Start Date]],5),""))))</f>
        <v/>
      </c>
      <c r="P1065" s="77" t="str">
        <f>IF(Main[[#This Row],[Tech Start Date]]&lt;1/1/1990,"",IF(Main[[#This Row],[Class]]="C",WORKDAY(Main[[#This Row],[Tech Start Date]],28),IF(Main[[#This Row],[Class]]="B", WORKDAY(Main[[#This Row],[Tech Start Date]],19),IF(Main[[#This Row],[Class]]="A",WORKDAY(Main[[#This Row],[Tech Start Date]],9),""))))</f>
        <v/>
      </c>
      <c r="Q1065" s="74">
        <v>41027</v>
      </c>
      <c r="R1065" s="74"/>
      <c r="S1065" s="72" t="s">
        <v>6</v>
      </c>
      <c r="T1065" s="80" t="s">
        <v>4</v>
      </c>
      <c r="U1065" s="72" t="s">
        <v>29</v>
      </c>
      <c r="V1065" s="72" t="s">
        <v>1935</v>
      </c>
      <c r="W1065" s="72" t="s">
        <v>1936</v>
      </c>
      <c r="X1065" s="72" t="s">
        <v>30</v>
      </c>
      <c r="Y1065" s="72" t="s">
        <v>3027</v>
      </c>
      <c r="Z1065" s="72" t="s">
        <v>30</v>
      </c>
      <c r="AA1065" s="147" t="s">
        <v>30</v>
      </c>
    </row>
    <row r="1066" spans="1:27" ht="18.600000000000001" customHeight="1">
      <c r="A1066" s="140" t="str">
        <f>IF(priority(Main[[#This Row],[Comments]])&lt;&gt;0, priority(Main[[#This Row],[Comments]]),"")</f>
        <v/>
      </c>
      <c r="B1066" s="90" t="s">
        <v>3751</v>
      </c>
      <c r="C1066" s="72" t="s">
        <v>4</v>
      </c>
      <c r="D1066" s="73" t="s">
        <v>3752</v>
      </c>
      <c r="E1066" s="74">
        <v>40948.6487037037</v>
      </c>
      <c r="F1066" s="74"/>
      <c r="G1066" s="75" t="str">
        <f>IF(stdProdLT(Main[[#This Row],[Comments]])=0.1,"N/A",IF(stdProdLT(Main[[#This Row],[Comments]])=0,"",stdProdLT(Main[[#This Row],[Comments]])))</f>
        <v/>
      </c>
      <c r="H1066" s="76" t="str">
        <f>IF(AND(Main[[#This Row],[In Stock Date]]&lt;&gt;"",Main[[#This Row],[Revised Due Date]]&lt;&gt;""),Main[[#This Row],[In Stock Date]]-Main[[#This Row],[Revised Due Date]],"")</f>
        <v/>
      </c>
      <c r="I1066" s="72" t="s">
        <v>4</v>
      </c>
      <c r="J1066" s="72" t="s">
        <v>4</v>
      </c>
      <c r="K1066" s="72" t="s">
        <v>4</v>
      </c>
      <c r="L1066" s="74"/>
      <c r="M1066" s="77" t="str">
        <f>IF(Main[[#This Row],[Tech Start Date]]&lt;1/1/1990,"",IF(Main[[#This Row],[Class]]="C",WORKDAY(Main[[#This Row],[Tech Start Date]],9),IF(Main[[#This Row],[Class]]="B", WORKDAY(Main[[#This Row],[Tech Start Date]],6),IF(Main[[#This Row],[Class]]="A",WORKDAY(Main[[#This Row],[Tech Start Date]],2),""))))</f>
        <v/>
      </c>
      <c r="N1066" s="77" t="str">
        <f>IF(Main[[#This Row],[Tech Start Date]]&lt;1/1/1990,"",IF(Main[[#This Row],[Class]]="C",WORKDAY(Main[[#This Row],[Tech Start Date]],19),IF(Main[[#This Row],[Class]]="B", WORKDAY(Main[[#This Row],[Tech Start Date]],12),IF(Main[[#This Row],[Class]]="A",WORKDAY(Main[[#This Row],[Tech Start Date]],4),""))))</f>
        <v/>
      </c>
      <c r="O1066" s="77" t="str">
        <f>IF(Main[[#This Row],[Tech Start Date]]&lt;1/1/1990,"",IF(Main[[#This Row],[Class]]="C",WORKDAY(Main[[#This Row],[Tech Start Date]],23),IF(Main[[#This Row],[Class]]="B", WORKDAY(Main[[#This Row],[Tech Start Date]],15),IF(Main[[#This Row],[Class]]="A",WORKDAY(Main[[#This Row],[Tech Start Date]],5),""))))</f>
        <v/>
      </c>
      <c r="P1066" s="77" t="str">
        <f>IF(Main[[#This Row],[Tech Start Date]]&lt;1/1/1990,"",IF(Main[[#This Row],[Class]]="C",WORKDAY(Main[[#This Row],[Tech Start Date]],28),IF(Main[[#This Row],[Class]]="B", WORKDAY(Main[[#This Row],[Tech Start Date]],19),IF(Main[[#This Row],[Class]]="A",WORKDAY(Main[[#This Row],[Tech Start Date]],9),""))))</f>
        <v/>
      </c>
      <c r="Q1066" s="74">
        <v>40949</v>
      </c>
      <c r="R1066" s="74"/>
      <c r="S1066" s="72" t="s">
        <v>6</v>
      </c>
      <c r="T1066" s="80" t="s">
        <v>4</v>
      </c>
      <c r="U1066" s="72" t="s">
        <v>7</v>
      </c>
      <c r="V1066" s="72" t="s">
        <v>1935</v>
      </c>
      <c r="W1066" s="72" t="s">
        <v>1934</v>
      </c>
      <c r="X1066" s="72" t="s">
        <v>2979</v>
      </c>
      <c r="Y1066" s="72" t="s">
        <v>3147</v>
      </c>
      <c r="Z1066" s="72" t="s">
        <v>4</v>
      </c>
      <c r="AA1066" s="147" t="s">
        <v>2979</v>
      </c>
    </row>
    <row r="1067" spans="1:27" ht="18.600000000000001" customHeight="1">
      <c r="A1067" s="140" t="str">
        <f>IF(priority(Main[[#This Row],[Comments]])&lt;&gt;0, priority(Main[[#This Row],[Comments]]),"")</f>
        <v/>
      </c>
      <c r="B1067" s="90" t="s">
        <v>2476</v>
      </c>
      <c r="C1067" s="72" t="s">
        <v>4</v>
      </c>
      <c r="D1067" s="73" t="s">
        <v>2477</v>
      </c>
      <c r="E1067" s="74">
        <v>40820.810810185183</v>
      </c>
      <c r="F1067" s="74"/>
      <c r="G1067" s="75" t="str">
        <f>IF(stdProdLT(Main[[#This Row],[Comments]])=0.1,"N/A",IF(stdProdLT(Main[[#This Row],[Comments]])=0,"",stdProdLT(Main[[#This Row],[Comments]])))</f>
        <v/>
      </c>
      <c r="H1067" s="76" t="str">
        <f>IF(AND(Main[[#This Row],[In Stock Date]]&lt;&gt;"",Main[[#This Row],[Revised Due Date]]&lt;&gt;""),Main[[#This Row],[In Stock Date]]-Main[[#This Row],[Revised Due Date]],"")</f>
        <v/>
      </c>
      <c r="I1067" s="72" t="s">
        <v>434</v>
      </c>
      <c r="J1067" s="72" t="s">
        <v>1998</v>
      </c>
      <c r="K1067" s="72" t="s">
        <v>1941</v>
      </c>
      <c r="L1067" s="74"/>
      <c r="M1067" s="77" t="str">
        <f>IF(Main[[#This Row],[Tech Start Date]]&lt;1/1/1990,"",IF(Main[[#This Row],[Class]]="C",WORKDAY(Main[[#This Row],[Tech Start Date]],9),IF(Main[[#This Row],[Class]]="B", WORKDAY(Main[[#This Row],[Tech Start Date]],6),IF(Main[[#This Row],[Class]]="A",WORKDAY(Main[[#This Row],[Tech Start Date]],2),""))))</f>
        <v/>
      </c>
      <c r="N1067" s="77" t="str">
        <f>IF(Main[[#This Row],[Tech Start Date]]&lt;1/1/1990,"",IF(Main[[#This Row],[Class]]="C",WORKDAY(Main[[#This Row],[Tech Start Date]],19),IF(Main[[#This Row],[Class]]="B", WORKDAY(Main[[#This Row],[Tech Start Date]],12),IF(Main[[#This Row],[Class]]="A",WORKDAY(Main[[#This Row],[Tech Start Date]],4),""))))</f>
        <v/>
      </c>
      <c r="O1067" s="77" t="str">
        <f>IF(Main[[#This Row],[Tech Start Date]]&lt;1/1/1990,"",IF(Main[[#This Row],[Class]]="C",WORKDAY(Main[[#This Row],[Tech Start Date]],23),IF(Main[[#This Row],[Class]]="B", WORKDAY(Main[[#This Row],[Tech Start Date]],15),IF(Main[[#This Row],[Class]]="A",WORKDAY(Main[[#This Row],[Tech Start Date]],5),""))))</f>
        <v/>
      </c>
      <c r="P1067" s="77" t="str">
        <f>IF(Main[[#This Row],[Tech Start Date]]&lt;1/1/1990,"",IF(Main[[#This Row],[Class]]="C",WORKDAY(Main[[#This Row],[Tech Start Date]],28),IF(Main[[#This Row],[Class]]="B", WORKDAY(Main[[#This Row],[Tech Start Date]],19),IF(Main[[#This Row],[Class]]="A",WORKDAY(Main[[#This Row],[Tech Start Date]],9),""))))</f>
        <v/>
      </c>
      <c r="Q1067" s="74">
        <v>40847</v>
      </c>
      <c r="R1067" s="74"/>
      <c r="S1067" s="72" t="s">
        <v>6</v>
      </c>
      <c r="T1067" s="80" t="s">
        <v>4</v>
      </c>
      <c r="U1067" s="72" t="s">
        <v>29</v>
      </c>
      <c r="V1067" s="72" t="s">
        <v>1935</v>
      </c>
      <c r="W1067" s="72" t="s">
        <v>1936</v>
      </c>
      <c r="X1067" s="72" t="s">
        <v>30</v>
      </c>
      <c r="Y1067" s="72" t="s">
        <v>3027</v>
      </c>
      <c r="Z1067" s="72" t="s">
        <v>30</v>
      </c>
      <c r="AA1067" s="147" t="s">
        <v>30</v>
      </c>
    </row>
    <row r="1068" spans="1:27" ht="18.600000000000001" customHeight="1">
      <c r="A1068" s="140" t="str">
        <f>IF(priority(Main[[#This Row],[Comments]])&lt;&gt;0, priority(Main[[#This Row],[Comments]]),"")</f>
        <v/>
      </c>
      <c r="B1068" s="90" t="s">
        <v>2478</v>
      </c>
      <c r="C1068" s="72" t="s">
        <v>4</v>
      </c>
      <c r="D1068" s="73" t="s">
        <v>2479</v>
      </c>
      <c r="E1068" s="74">
        <v>40834.538703703707</v>
      </c>
      <c r="F1068" s="74"/>
      <c r="G1068" s="75" t="str">
        <f>IF(stdProdLT(Main[[#This Row],[Comments]])=0.1,"N/A",IF(stdProdLT(Main[[#This Row],[Comments]])=0,"",stdProdLT(Main[[#This Row],[Comments]])))</f>
        <v/>
      </c>
      <c r="H1068" s="76" t="str">
        <f>IF(AND(Main[[#This Row],[In Stock Date]]&lt;&gt;"",Main[[#This Row],[Revised Due Date]]&lt;&gt;""),Main[[#This Row],[In Stock Date]]-Main[[#This Row],[Revised Due Date]],"")</f>
        <v/>
      </c>
      <c r="I1068" s="72" t="s">
        <v>4</v>
      </c>
      <c r="J1068" s="72" t="s">
        <v>4</v>
      </c>
      <c r="K1068" s="81" t="s">
        <v>4</v>
      </c>
      <c r="L1068" s="74"/>
      <c r="M1068" s="77" t="str">
        <f>IF(Main[[#This Row],[Tech Start Date]]&lt;1/1/1990,"",IF(Main[[#This Row],[Class]]="C",WORKDAY(Main[[#This Row],[Tech Start Date]],9),IF(Main[[#This Row],[Class]]="B", WORKDAY(Main[[#This Row],[Tech Start Date]],6),IF(Main[[#This Row],[Class]]="A",WORKDAY(Main[[#This Row],[Tech Start Date]],2),""))))</f>
        <v/>
      </c>
      <c r="N1068" s="77" t="str">
        <f>IF(Main[[#This Row],[Tech Start Date]]&lt;1/1/1990,"",IF(Main[[#This Row],[Class]]="C",WORKDAY(Main[[#This Row],[Tech Start Date]],19),IF(Main[[#This Row],[Class]]="B", WORKDAY(Main[[#This Row],[Tech Start Date]],12),IF(Main[[#This Row],[Class]]="A",WORKDAY(Main[[#This Row],[Tech Start Date]],4),""))))</f>
        <v/>
      </c>
      <c r="O1068" s="77" t="str">
        <f>IF(Main[[#This Row],[Tech Start Date]]&lt;1/1/1990,"",IF(Main[[#This Row],[Class]]="C",WORKDAY(Main[[#This Row],[Tech Start Date]],23),IF(Main[[#This Row],[Class]]="B", WORKDAY(Main[[#This Row],[Tech Start Date]],15),IF(Main[[#This Row],[Class]]="A",WORKDAY(Main[[#This Row],[Tech Start Date]],5),""))))</f>
        <v/>
      </c>
      <c r="P1068" s="77" t="str">
        <f>IF(Main[[#This Row],[Tech Start Date]]&lt;1/1/1990,"",IF(Main[[#This Row],[Class]]="C",WORKDAY(Main[[#This Row],[Tech Start Date]],28),IF(Main[[#This Row],[Class]]="B", WORKDAY(Main[[#This Row],[Tech Start Date]],19),IF(Main[[#This Row],[Class]]="A",WORKDAY(Main[[#This Row],[Tech Start Date]],9),""))))</f>
        <v/>
      </c>
      <c r="Q1068" s="74"/>
      <c r="R1068" s="74"/>
      <c r="S1068" s="72" t="s">
        <v>6</v>
      </c>
      <c r="T1068" s="80" t="s">
        <v>4</v>
      </c>
      <c r="U1068" s="72" t="s">
        <v>29</v>
      </c>
      <c r="V1068" s="72" t="s">
        <v>1932</v>
      </c>
      <c r="W1068" s="72" t="s">
        <v>1934</v>
      </c>
      <c r="X1068" s="72" t="s">
        <v>310</v>
      </c>
      <c r="Y1068" s="72" t="s">
        <v>4</v>
      </c>
      <c r="Z1068" s="72" t="s">
        <v>4</v>
      </c>
      <c r="AA1068" s="147" t="s">
        <v>4</v>
      </c>
    </row>
    <row r="1069" spans="1:27" ht="18.600000000000001" customHeight="1">
      <c r="A1069" s="140" t="str">
        <f>IF(priority(Main[[#This Row],[Comments]])&lt;&gt;0, priority(Main[[#This Row],[Comments]]),"")</f>
        <v/>
      </c>
      <c r="B1069" s="90" t="s">
        <v>2481</v>
      </c>
      <c r="C1069" s="72" t="s">
        <v>2384</v>
      </c>
      <c r="D1069" s="73" t="s">
        <v>2482</v>
      </c>
      <c r="E1069" s="74"/>
      <c r="F1069" s="74">
        <v>40940</v>
      </c>
      <c r="G1069" s="75" t="str">
        <f>IF(stdProdLT(Main[[#This Row],[Comments]])=0.1,"N/A",IF(stdProdLT(Main[[#This Row],[Comments]])=0,"",stdProdLT(Main[[#This Row],[Comments]])))</f>
        <v/>
      </c>
      <c r="H1069" s="76" t="str">
        <f>IF(AND(Main[[#This Row],[In Stock Date]]&lt;&gt;"",Main[[#This Row],[Revised Due Date]]&lt;&gt;""),Main[[#This Row],[In Stock Date]]-Main[[#This Row],[Revised Due Date]],"")</f>
        <v/>
      </c>
      <c r="I1069" s="72" t="s">
        <v>4</v>
      </c>
      <c r="J1069" s="72" t="s">
        <v>4</v>
      </c>
      <c r="K1069" s="72" t="s">
        <v>4</v>
      </c>
      <c r="L1069" s="74"/>
      <c r="M1069" s="77" t="str">
        <f>IF(Main[[#This Row],[Tech Start Date]]&lt;1/1/1990,"",IF(Main[[#This Row],[Class]]="C",WORKDAY(Main[[#This Row],[Tech Start Date]],9),IF(Main[[#This Row],[Class]]="B", WORKDAY(Main[[#This Row],[Tech Start Date]],6),IF(Main[[#This Row],[Class]]="A",WORKDAY(Main[[#This Row],[Tech Start Date]],2),""))))</f>
        <v/>
      </c>
      <c r="N1069" s="77" t="str">
        <f>IF(Main[[#This Row],[Tech Start Date]]&lt;1/1/1990,"",IF(Main[[#This Row],[Class]]="C",WORKDAY(Main[[#This Row],[Tech Start Date]],19),IF(Main[[#This Row],[Class]]="B", WORKDAY(Main[[#This Row],[Tech Start Date]],12),IF(Main[[#This Row],[Class]]="A",WORKDAY(Main[[#This Row],[Tech Start Date]],4),""))))</f>
        <v/>
      </c>
      <c r="O1069" s="77" t="str">
        <f>IF(Main[[#This Row],[Tech Start Date]]&lt;1/1/1990,"",IF(Main[[#This Row],[Class]]="C",WORKDAY(Main[[#This Row],[Tech Start Date]],23),IF(Main[[#This Row],[Class]]="B", WORKDAY(Main[[#This Row],[Tech Start Date]],15),IF(Main[[#This Row],[Class]]="A",WORKDAY(Main[[#This Row],[Tech Start Date]],5),""))))</f>
        <v/>
      </c>
      <c r="P1069" s="77" t="str">
        <f>IF(Main[[#This Row],[Tech Start Date]]&lt;1/1/1990,"",IF(Main[[#This Row],[Class]]="C",WORKDAY(Main[[#This Row],[Tech Start Date]],28),IF(Main[[#This Row],[Class]]="B", WORKDAY(Main[[#This Row],[Tech Start Date]],19),IF(Main[[#This Row],[Class]]="A",WORKDAY(Main[[#This Row],[Tech Start Date]],9),""))))</f>
        <v/>
      </c>
      <c r="Q1069" s="74">
        <v>40878</v>
      </c>
      <c r="R1069" s="74"/>
      <c r="S1069" s="72" t="s">
        <v>11</v>
      </c>
      <c r="T1069" s="80" t="s">
        <v>4</v>
      </c>
      <c r="U1069" s="72" t="s">
        <v>14</v>
      </c>
      <c r="V1069" s="72" t="s">
        <v>1942</v>
      </c>
      <c r="W1069" s="72" t="s">
        <v>1940</v>
      </c>
      <c r="X1069" s="72" t="s">
        <v>2932</v>
      </c>
      <c r="Y1069" s="72" t="s">
        <v>3066</v>
      </c>
      <c r="Z1069" s="72" t="s">
        <v>4</v>
      </c>
      <c r="AA1069" s="147" t="s">
        <v>2932</v>
      </c>
    </row>
    <row r="1070" spans="1:27" ht="18.600000000000001" customHeight="1">
      <c r="A1070" s="140" t="str">
        <f>IF(priority(Main[[#This Row],[Comments]])&lt;&gt;0, priority(Main[[#This Row],[Comments]]),"")</f>
        <v/>
      </c>
      <c r="B1070" s="90" t="s">
        <v>2005</v>
      </c>
      <c r="C1070" s="72" t="s">
        <v>4</v>
      </c>
      <c r="D1070" s="73" t="s">
        <v>2484</v>
      </c>
      <c r="E1070" s="74">
        <v>40737.702951388892</v>
      </c>
      <c r="F1070" s="74">
        <v>40755</v>
      </c>
      <c r="G1070" s="75" t="str">
        <f>IF(stdProdLT(Main[[#This Row],[Comments]])=0.1,"N/A",IF(stdProdLT(Main[[#This Row],[Comments]])=0,"",stdProdLT(Main[[#This Row],[Comments]])))</f>
        <v/>
      </c>
      <c r="H1070" s="76" t="str">
        <f>IF(AND(Main[[#This Row],[In Stock Date]]&lt;&gt;"",Main[[#This Row],[Revised Due Date]]&lt;&gt;""),Main[[#This Row],[In Stock Date]]-Main[[#This Row],[Revised Due Date]],"")</f>
        <v/>
      </c>
      <c r="I1070" s="72" t="s">
        <v>535</v>
      </c>
      <c r="J1070" s="72" t="s">
        <v>21</v>
      </c>
      <c r="K1070" s="72" t="s">
        <v>1941</v>
      </c>
      <c r="L1070" s="74"/>
      <c r="M1070" s="77" t="str">
        <f>IF(Main[[#This Row],[Tech Start Date]]&lt;1/1/1990,"",IF(Main[[#This Row],[Class]]="C",WORKDAY(Main[[#This Row],[Tech Start Date]],9),IF(Main[[#This Row],[Class]]="B", WORKDAY(Main[[#This Row],[Tech Start Date]],6),IF(Main[[#This Row],[Class]]="A",WORKDAY(Main[[#This Row],[Tech Start Date]],2),""))))</f>
        <v/>
      </c>
      <c r="N1070" s="77" t="str">
        <f>IF(Main[[#This Row],[Tech Start Date]]&lt;1/1/1990,"",IF(Main[[#This Row],[Class]]="C",WORKDAY(Main[[#This Row],[Tech Start Date]],19),IF(Main[[#This Row],[Class]]="B", WORKDAY(Main[[#This Row],[Tech Start Date]],12),IF(Main[[#This Row],[Class]]="A",WORKDAY(Main[[#This Row],[Tech Start Date]],4),""))))</f>
        <v/>
      </c>
      <c r="O1070" s="77" t="str">
        <f>IF(Main[[#This Row],[Tech Start Date]]&lt;1/1/1990,"",IF(Main[[#This Row],[Class]]="C",WORKDAY(Main[[#This Row],[Tech Start Date]],23),IF(Main[[#This Row],[Class]]="B", WORKDAY(Main[[#This Row],[Tech Start Date]],15),IF(Main[[#This Row],[Class]]="A",WORKDAY(Main[[#This Row],[Tech Start Date]],5),""))))</f>
        <v/>
      </c>
      <c r="P1070" s="77" t="str">
        <f>IF(Main[[#This Row],[Tech Start Date]]&lt;1/1/1990,"",IF(Main[[#This Row],[Class]]="C",WORKDAY(Main[[#This Row],[Tech Start Date]],28),IF(Main[[#This Row],[Class]]="B", WORKDAY(Main[[#This Row],[Tech Start Date]],19),IF(Main[[#This Row],[Class]]="A",WORKDAY(Main[[#This Row],[Tech Start Date]],9),""))))</f>
        <v/>
      </c>
      <c r="Q1070" s="74">
        <v>40770</v>
      </c>
      <c r="R1070" s="74"/>
      <c r="S1070" s="72" t="s">
        <v>6</v>
      </c>
      <c r="T1070" s="80" t="s">
        <v>4</v>
      </c>
      <c r="U1070" s="72" t="s">
        <v>29</v>
      </c>
      <c r="V1070" s="72" t="s">
        <v>1942</v>
      </c>
      <c r="W1070" s="72" t="s">
        <v>1936</v>
      </c>
      <c r="X1070" s="72" t="s">
        <v>2925</v>
      </c>
      <c r="Y1070" s="72" t="s">
        <v>3058</v>
      </c>
      <c r="Z1070" s="72" t="s">
        <v>30</v>
      </c>
      <c r="AA1070" s="147" t="s">
        <v>2925</v>
      </c>
    </row>
    <row r="1071" spans="1:27" ht="18.600000000000001" customHeight="1">
      <c r="A1071" s="140" t="str">
        <f>IF(priority(Main[[#This Row],[Comments]])&lt;&gt;0, priority(Main[[#This Row],[Comments]]),"")</f>
        <v/>
      </c>
      <c r="B1071" s="90" t="s">
        <v>2818</v>
      </c>
      <c r="C1071" s="72" t="s">
        <v>4</v>
      </c>
      <c r="D1071" s="73" t="s">
        <v>2819</v>
      </c>
      <c r="E1071" s="74">
        <v>40911.432222222225</v>
      </c>
      <c r="F1071" s="74"/>
      <c r="G1071" s="75" t="str">
        <f>IF(stdProdLT(Main[[#This Row],[Comments]])=0.1,"N/A",IF(stdProdLT(Main[[#This Row],[Comments]])=0,"",stdProdLT(Main[[#This Row],[Comments]])))</f>
        <v/>
      </c>
      <c r="H1071" s="76" t="str">
        <f>IF(AND(Main[[#This Row],[In Stock Date]]&lt;&gt;"",Main[[#This Row],[Revised Due Date]]&lt;&gt;""),Main[[#This Row],[In Stock Date]]-Main[[#This Row],[Revised Due Date]],"")</f>
        <v/>
      </c>
      <c r="I1071" s="72" t="s">
        <v>949</v>
      </c>
      <c r="J1071" s="72" t="s">
        <v>52</v>
      </c>
      <c r="K1071" s="72" t="s">
        <v>1941</v>
      </c>
      <c r="L1071" s="74"/>
      <c r="M1071" s="77" t="str">
        <f>IF(Main[[#This Row],[Tech Start Date]]&lt;1/1/1990,"",IF(Main[[#This Row],[Class]]="C",WORKDAY(Main[[#This Row],[Tech Start Date]],9),IF(Main[[#This Row],[Class]]="B", WORKDAY(Main[[#This Row],[Tech Start Date]],6),IF(Main[[#This Row],[Class]]="A",WORKDAY(Main[[#This Row],[Tech Start Date]],2),""))))</f>
        <v/>
      </c>
      <c r="N1071" s="77" t="str">
        <f>IF(Main[[#This Row],[Tech Start Date]]&lt;1/1/1990,"",IF(Main[[#This Row],[Class]]="C",WORKDAY(Main[[#This Row],[Tech Start Date]],19),IF(Main[[#This Row],[Class]]="B", WORKDAY(Main[[#This Row],[Tech Start Date]],12),IF(Main[[#This Row],[Class]]="A",WORKDAY(Main[[#This Row],[Tech Start Date]],4),""))))</f>
        <v/>
      </c>
      <c r="O1071" s="77" t="str">
        <f>IF(Main[[#This Row],[Tech Start Date]]&lt;1/1/1990,"",IF(Main[[#This Row],[Class]]="C",WORKDAY(Main[[#This Row],[Tech Start Date]],23),IF(Main[[#This Row],[Class]]="B", WORKDAY(Main[[#This Row],[Tech Start Date]],15),IF(Main[[#This Row],[Class]]="A",WORKDAY(Main[[#This Row],[Tech Start Date]],5),""))))</f>
        <v/>
      </c>
      <c r="P1071" s="77" t="str">
        <f>IF(Main[[#This Row],[Tech Start Date]]&lt;1/1/1990,"",IF(Main[[#This Row],[Class]]="C",WORKDAY(Main[[#This Row],[Tech Start Date]],28),IF(Main[[#This Row],[Class]]="B", WORKDAY(Main[[#This Row],[Tech Start Date]],19),IF(Main[[#This Row],[Class]]="A",WORKDAY(Main[[#This Row],[Tech Start Date]],9),""))))</f>
        <v/>
      </c>
      <c r="Q1071" s="74"/>
      <c r="R1071" s="74"/>
      <c r="S1071" s="72" t="s">
        <v>6</v>
      </c>
      <c r="T1071" s="80" t="s">
        <v>4</v>
      </c>
      <c r="U1071" s="72" t="s">
        <v>29</v>
      </c>
      <c r="V1071" s="72" t="s">
        <v>1932</v>
      </c>
      <c r="W1071" s="72" t="s">
        <v>1936</v>
      </c>
      <c r="X1071" s="72" t="s">
        <v>2234</v>
      </c>
      <c r="Y1071" s="72" t="s">
        <v>3216</v>
      </c>
      <c r="Z1071" s="72" t="s">
        <v>923</v>
      </c>
      <c r="AA1071" s="147" t="s">
        <v>2234</v>
      </c>
    </row>
    <row r="1072" spans="1:27" ht="18.600000000000001" customHeight="1">
      <c r="A1072" s="140" t="str">
        <f>IF(priority(Main[[#This Row],[Comments]])&lt;&gt;0, priority(Main[[#This Row],[Comments]]),"")</f>
        <v/>
      </c>
      <c r="B1072" s="90" t="s">
        <v>2715</v>
      </c>
      <c r="C1072" s="72" t="s">
        <v>4</v>
      </c>
      <c r="D1072" s="73" t="s">
        <v>2716</v>
      </c>
      <c r="E1072" s="74">
        <v>40879.618761574071</v>
      </c>
      <c r="F1072" s="74"/>
      <c r="G1072" s="75" t="str">
        <f>IF(stdProdLT(Main[[#This Row],[Comments]])=0.1,"N/A",IF(stdProdLT(Main[[#This Row],[Comments]])=0,"",stdProdLT(Main[[#This Row],[Comments]])))</f>
        <v/>
      </c>
      <c r="H1072" s="76" t="str">
        <f>IF(AND(Main[[#This Row],[In Stock Date]]&lt;&gt;"",Main[[#This Row],[Revised Due Date]]&lt;&gt;""),Main[[#This Row],[In Stock Date]]-Main[[#This Row],[Revised Due Date]],"")</f>
        <v/>
      </c>
      <c r="I1072" s="72" t="s">
        <v>4</v>
      </c>
      <c r="J1072" s="72" t="s">
        <v>4</v>
      </c>
      <c r="K1072" s="72" t="s">
        <v>4</v>
      </c>
      <c r="L1072" s="74"/>
      <c r="M1072" s="77" t="str">
        <f>IF(Main[[#This Row],[Tech Start Date]]&lt;1/1/1990,"",IF(Main[[#This Row],[Class]]="C",WORKDAY(Main[[#This Row],[Tech Start Date]],9),IF(Main[[#This Row],[Class]]="B", WORKDAY(Main[[#This Row],[Tech Start Date]],6),IF(Main[[#This Row],[Class]]="A",WORKDAY(Main[[#This Row],[Tech Start Date]],2),""))))</f>
        <v/>
      </c>
      <c r="N1072" s="77" t="str">
        <f>IF(Main[[#This Row],[Tech Start Date]]&lt;1/1/1990,"",IF(Main[[#This Row],[Class]]="C",WORKDAY(Main[[#This Row],[Tech Start Date]],19),IF(Main[[#This Row],[Class]]="B", WORKDAY(Main[[#This Row],[Tech Start Date]],12),IF(Main[[#This Row],[Class]]="A",WORKDAY(Main[[#This Row],[Tech Start Date]],4),""))))</f>
        <v/>
      </c>
      <c r="O1072" s="77" t="str">
        <f>IF(Main[[#This Row],[Tech Start Date]]&lt;1/1/1990,"",IF(Main[[#This Row],[Class]]="C",WORKDAY(Main[[#This Row],[Tech Start Date]],23),IF(Main[[#This Row],[Class]]="B", WORKDAY(Main[[#This Row],[Tech Start Date]],15),IF(Main[[#This Row],[Class]]="A",WORKDAY(Main[[#This Row],[Tech Start Date]],5),""))))</f>
        <v/>
      </c>
      <c r="P1072" s="77" t="str">
        <f>IF(Main[[#This Row],[Tech Start Date]]&lt;1/1/1990,"",IF(Main[[#This Row],[Class]]="C",WORKDAY(Main[[#This Row],[Tech Start Date]],28),IF(Main[[#This Row],[Class]]="B", WORKDAY(Main[[#This Row],[Tech Start Date]],19),IF(Main[[#This Row],[Class]]="A",WORKDAY(Main[[#This Row],[Tech Start Date]],9),""))))</f>
        <v/>
      </c>
      <c r="Q1072" s="74"/>
      <c r="R1072" s="74"/>
      <c r="S1072" s="72" t="s">
        <v>17</v>
      </c>
      <c r="T1072" s="80" t="s">
        <v>4</v>
      </c>
      <c r="U1072" s="72" t="s">
        <v>7</v>
      </c>
      <c r="V1072" s="72" t="s">
        <v>1935</v>
      </c>
      <c r="W1072" s="72" t="s">
        <v>1937</v>
      </c>
      <c r="X1072" s="72" t="s">
        <v>559</v>
      </c>
      <c r="Y1072" s="72" t="s">
        <v>3039</v>
      </c>
      <c r="Z1072" s="72" t="s">
        <v>4</v>
      </c>
      <c r="AA1072" s="147" t="s">
        <v>559</v>
      </c>
    </row>
    <row r="1073" spans="1:27" ht="18.600000000000001" customHeight="1">
      <c r="A1073" s="140" t="str">
        <f>IF(priority(Main[[#This Row],[Comments]])&lt;&gt;0, priority(Main[[#This Row],[Comments]]),"")</f>
        <v/>
      </c>
      <c r="B1073" s="90" t="s">
        <v>1923</v>
      </c>
      <c r="C1073" s="72" t="s">
        <v>31</v>
      </c>
      <c r="D1073" s="73" t="s">
        <v>967</v>
      </c>
      <c r="E1073" s="74">
        <v>40528.412233796298</v>
      </c>
      <c r="F1073" s="74">
        <v>40634</v>
      </c>
      <c r="G1073" s="75" t="str">
        <f>IF(stdProdLT(Main[[#This Row],[Comments]])=0.1,"N/A",IF(stdProdLT(Main[[#This Row],[Comments]])=0,"",stdProdLT(Main[[#This Row],[Comments]])))</f>
        <v/>
      </c>
      <c r="H1073" s="76">
        <f>IF(AND(Main[[#This Row],[In Stock Date]]&lt;&gt;"",Main[[#This Row],[Revised Due Date]]&lt;&gt;""),Main[[#This Row],[In Stock Date]]-Main[[#This Row],[Revised Due Date]],"")</f>
        <v>-255</v>
      </c>
      <c r="I1073" s="72" t="s">
        <v>436</v>
      </c>
      <c r="J1073" s="72" t="s">
        <v>28</v>
      </c>
      <c r="K1073" s="81" t="s">
        <v>1944</v>
      </c>
      <c r="L1073" s="74"/>
      <c r="M1073" s="77" t="str">
        <f>IF(Main[[#This Row],[Tech Start Date]]&lt;1/1/1990,"",IF(Main[[#This Row],[Class]]="C",WORKDAY(Main[[#This Row],[Tech Start Date]],9),IF(Main[[#This Row],[Class]]="B", WORKDAY(Main[[#This Row],[Tech Start Date]],6),IF(Main[[#This Row],[Class]]="A",WORKDAY(Main[[#This Row],[Tech Start Date]],2),""))))</f>
        <v/>
      </c>
      <c r="N1073" s="77" t="str">
        <f>IF(Main[[#This Row],[Tech Start Date]]&lt;1/1/1990,"",IF(Main[[#This Row],[Class]]="C",WORKDAY(Main[[#This Row],[Tech Start Date]],19),IF(Main[[#This Row],[Class]]="B", WORKDAY(Main[[#This Row],[Tech Start Date]],12),IF(Main[[#This Row],[Class]]="A",WORKDAY(Main[[#This Row],[Tech Start Date]],4),""))))</f>
        <v/>
      </c>
      <c r="O1073" s="77" t="str">
        <f>IF(Main[[#This Row],[Tech Start Date]]&lt;1/1/1990,"",IF(Main[[#This Row],[Class]]="C",WORKDAY(Main[[#This Row],[Tech Start Date]],23),IF(Main[[#This Row],[Class]]="B", WORKDAY(Main[[#This Row],[Tech Start Date]],15),IF(Main[[#This Row],[Class]]="A",WORKDAY(Main[[#This Row],[Tech Start Date]],5),""))))</f>
        <v/>
      </c>
      <c r="P1073" s="77" t="str">
        <f>IF(Main[[#This Row],[Tech Start Date]]&lt;1/1/1990,"",IF(Main[[#This Row],[Class]]="C",WORKDAY(Main[[#This Row],[Tech Start Date]],28),IF(Main[[#This Row],[Class]]="B", WORKDAY(Main[[#This Row],[Tech Start Date]],19),IF(Main[[#This Row],[Class]]="A",WORKDAY(Main[[#This Row],[Tech Start Date]],9),""))))</f>
        <v/>
      </c>
      <c r="Q1073" s="74">
        <v>40634</v>
      </c>
      <c r="R1073" s="74">
        <v>40889</v>
      </c>
      <c r="S1073" s="72" t="s">
        <v>17</v>
      </c>
      <c r="T1073" s="80" t="s">
        <v>4</v>
      </c>
      <c r="U1073" s="72" t="s">
        <v>29</v>
      </c>
      <c r="V1073" s="72" t="s">
        <v>1935</v>
      </c>
      <c r="W1073" s="72" t="s">
        <v>1943</v>
      </c>
      <c r="X1073" s="72" t="s">
        <v>559</v>
      </c>
      <c r="Y1073" s="72" t="s">
        <v>3116</v>
      </c>
      <c r="Z1073" s="72" t="s">
        <v>420</v>
      </c>
      <c r="AA1073" s="147" t="s">
        <v>2976</v>
      </c>
    </row>
    <row r="1074" spans="1:27" ht="18.600000000000001" customHeight="1">
      <c r="A1074" s="140" t="str">
        <f>IF(priority(Main[[#This Row],[Comments]])&lt;&gt;0, priority(Main[[#This Row],[Comments]]),"")</f>
        <v/>
      </c>
      <c r="B1074" s="90" t="s">
        <v>2465</v>
      </c>
      <c r="C1074" s="72" t="s">
        <v>4</v>
      </c>
      <c r="D1074" s="73" t="s">
        <v>2466</v>
      </c>
      <c r="E1074" s="74">
        <v>40822.361354166664</v>
      </c>
      <c r="F1074" s="74"/>
      <c r="G1074" s="75" t="str">
        <f>IF(stdProdLT(Main[[#This Row],[Comments]])=0.1,"N/A",IF(stdProdLT(Main[[#This Row],[Comments]])=0,"",stdProdLT(Main[[#This Row],[Comments]])))</f>
        <v/>
      </c>
      <c r="H1074" s="76" t="str">
        <f>IF(AND(Main[[#This Row],[In Stock Date]]&lt;&gt;"",Main[[#This Row],[Revised Due Date]]&lt;&gt;""),Main[[#This Row],[In Stock Date]]-Main[[#This Row],[Revised Due Date]],"")</f>
        <v/>
      </c>
      <c r="I1074" s="72" t="s">
        <v>4</v>
      </c>
      <c r="J1074" s="72" t="s">
        <v>4</v>
      </c>
      <c r="K1074" s="72" t="s">
        <v>4</v>
      </c>
      <c r="L1074" s="74"/>
      <c r="M1074" s="77" t="str">
        <f>IF(Main[[#This Row],[Tech Start Date]]&lt;1/1/1990,"",IF(Main[[#This Row],[Class]]="C",WORKDAY(Main[[#This Row],[Tech Start Date]],9),IF(Main[[#This Row],[Class]]="B", WORKDAY(Main[[#This Row],[Tech Start Date]],6),IF(Main[[#This Row],[Class]]="A",WORKDAY(Main[[#This Row],[Tech Start Date]],2),""))))</f>
        <v/>
      </c>
      <c r="N1074" s="77" t="str">
        <f>IF(Main[[#This Row],[Tech Start Date]]&lt;1/1/1990,"",IF(Main[[#This Row],[Class]]="C",WORKDAY(Main[[#This Row],[Tech Start Date]],19),IF(Main[[#This Row],[Class]]="B", WORKDAY(Main[[#This Row],[Tech Start Date]],12),IF(Main[[#This Row],[Class]]="A",WORKDAY(Main[[#This Row],[Tech Start Date]],4),""))))</f>
        <v/>
      </c>
      <c r="O1074" s="77" t="str">
        <f>IF(Main[[#This Row],[Tech Start Date]]&lt;1/1/1990,"",IF(Main[[#This Row],[Class]]="C",WORKDAY(Main[[#This Row],[Tech Start Date]],23),IF(Main[[#This Row],[Class]]="B", WORKDAY(Main[[#This Row],[Tech Start Date]],15),IF(Main[[#This Row],[Class]]="A",WORKDAY(Main[[#This Row],[Tech Start Date]],5),""))))</f>
        <v/>
      </c>
      <c r="P1074" s="77" t="str">
        <f>IF(Main[[#This Row],[Tech Start Date]]&lt;1/1/1990,"",IF(Main[[#This Row],[Class]]="C",WORKDAY(Main[[#This Row],[Tech Start Date]],28),IF(Main[[#This Row],[Class]]="B", WORKDAY(Main[[#This Row],[Tech Start Date]],19),IF(Main[[#This Row],[Class]]="A",WORKDAY(Main[[#This Row],[Tech Start Date]],9),""))))</f>
        <v/>
      </c>
      <c r="Q1074" s="74">
        <v>40872</v>
      </c>
      <c r="R1074" s="74"/>
      <c r="S1074" s="72" t="s">
        <v>6</v>
      </c>
      <c r="T1074" s="80" t="s">
        <v>4</v>
      </c>
      <c r="U1074" s="72" t="s">
        <v>7</v>
      </c>
      <c r="V1074" s="72" t="s">
        <v>1932</v>
      </c>
      <c r="W1074" s="72" t="s">
        <v>4</v>
      </c>
      <c r="X1074" s="72" t="s">
        <v>2906</v>
      </c>
      <c r="Y1074" s="72" t="s">
        <v>3025</v>
      </c>
      <c r="Z1074" s="72" t="s">
        <v>4</v>
      </c>
      <c r="AA1074" s="147" t="s">
        <v>2906</v>
      </c>
    </row>
    <row r="1075" spans="1:27" ht="18.600000000000001" customHeight="1">
      <c r="A1075" s="140" t="str">
        <f>IF(priority(Main[[#This Row],[Comments]])&lt;&gt;0, priority(Main[[#This Row],[Comments]]),"")</f>
        <v/>
      </c>
      <c r="B1075" s="90" t="s">
        <v>3753</v>
      </c>
      <c r="C1075" s="72" t="s">
        <v>3754</v>
      </c>
      <c r="D1075" s="73" t="s">
        <v>3755</v>
      </c>
      <c r="E1075" s="74">
        <v>40947.654293981483</v>
      </c>
      <c r="F1075" s="74">
        <v>41026</v>
      </c>
      <c r="G1075" s="75" t="str">
        <f>IF(stdProdLT(Main[[#This Row],[Comments]])=0.1,"N/A",IF(stdProdLT(Main[[#This Row],[Comments]])=0,"",stdProdLT(Main[[#This Row],[Comments]])))</f>
        <v/>
      </c>
      <c r="H1075" s="76" t="str">
        <f>IF(AND(Main[[#This Row],[In Stock Date]]&lt;&gt;"",Main[[#This Row],[Revised Due Date]]&lt;&gt;""),Main[[#This Row],[In Stock Date]]-Main[[#This Row],[Revised Due Date]],"")</f>
        <v/>
      </c>
      <c r="I1075" s="72" t="s">
        <v>4</v>
      </c>
      <c r="J1075" s="72" t="s">
        <v>75</v>
      </c>
      <c r="K1075" s="72" t="s">
        <v>4</v>
      </c>
      <c r="L1075" s="74"/>
      <c r="M1075" s="77" t="str">
        <f>IF(Main[[#This Row],[Tech Start Date]]&lt;1/1/1990,"",IF(Main[[#This Row],[Class]]="C",WORKDAY(Main[[#This Row],[Tech Start Date]],9),IF(Main[[#This Row],[Class]]="B", WORKDAY(Main[[#This Row],[Tech Start Date]],6),IF(Main[[#This Row],[Class]]="A",WORKDAY(Main[[#This Row],[Tech Start Date]],2),""))))</f>
        <v/>
      </c>
      <c r="N1075" s="77" t="str">
        <f>IF(Main[[#This Row],[Tech Start Date]]&lt;1/1/1990,"",IF(Main[[#This Row],[Class]]="C",WORKDAY(Main[[#This Row],[Tech Start Date]],19),IF(Main[[#This Row],[Class]]="B", WORKDAY(Main[[#This Row],[Tech Start Date]],12),IF(Main[[#This Row],[Class]]="A",WORKDAY(Main[[#This Row],[Tech Start Date]],4),""))))</f>
        <v/>
      </c>
      <c r="O1075" s="77" t="str">
        <f>IF(Main[[#This Row],[Tech Start Date]]&lt;1/1/1990,"",IF(Main[[#This Row],[Class]]="C",WORKDAY(Main[[#This Row],[Tech Start Date]],23),IF(Main[[#This Row],[Class]]="B", WORKDAY(Main[[#This Row],[Tech Start Date]],15),IF(Main[[#This Row],[Class]]="A",WORKDAY(Main[[#This Row],[Tech Start Date]],5),""))))</f>
        <v/>
      </c>
      <c r="P1075" s="77" t="str">
        <f>IF(Main[[#This Row],[Tech Start Date]]&lt;1/1/1990,"",IF(Main[[#This Row],[Class]]="C",WORKDAY(Main[[#This Row],[Tech Start Date]],28),IF(Main[[#This Row],[Class]]="B", WORKDAY(Main[[#This Row],[Tech Start Date]],19),IF(Main[[#This Row],[Class]]="A",WORKDAY(Main[[#This Row],[Tech Start Date]],9),""))))</f>
        <v/>
      </c>
      <c r="Q1075" s="74">
        <v>40954</v>
      </c>
      <c r="R1075" s="74"/>
      <c r="S1075" s="72" t="s">
        <v>11</v>
      </c>
      <c r="T1075" s="80" t="s">
        <v>4</v>
      </c>
      <c r="U1075" s="72" t="s">
        <v>7</v>
      </c>
      <c r="V1075" s="72" t="s">
        <v>1942</v>
      </c>
      <c r="W1075" s="72" t="s">
        <v>1940</v>
      </c>
      <c r="X1075" s="72" t="s">
        <v>2913</v>
      </c>
      <c r="Y1075" s="72" t="s">
        <v>3038</v>
      </c>
      <c r="Z1075" s="72" t="s">
        <v>535</v>
      </c>
      <c r="AA1075" s="147" t="s">
        <v>2913</v>
      </c>
    </row>
    <row r="1076" spans="1:27" ht="18.600000000000001" customHeight="1">
      <c r="A1076" s="140" t="str">
        <f>IF(priority(Main[[#This Row],[Comments]])&lt;&gt;0, priority(Main[[#This Row],[Comments]]),"")</f>
        <v/>
      </c>
      <c r="B1076" s="90" t="s">
        <v>3756</v>
      </c>
      <c r="C1076" s="72" t="s">
        <v>4</v>
      </c>
      <c r="D1076" s="73" t="s">
        <v>3757</v>
      </c>
      <c r="E1076" s="74">
        <v>40947.470821759256</v>
      </c>
      <c r="F1076" s="74"/>
      <c r="G1076" s="75" t="str">
        <f>IF(stdProdLT(Main[[#This Row],[Comments]])=0.1,"N/A",IF(stdProdLT(Main[[#This Row],[Comments]])=0,"",stdProdLT(Main[[#This Row],[Comments]])))</f>
        <v/>
      </c>
      <c r="H1076" s="76" t="str">
        <f>IF(AND(Main[[#This Row],[In Stock Date]]&lt;&gt;"",Main[[#This Row],[Revised Due Date]]&lt;&gt;""),Main[[#This Row],[In Stock Date]]-Main[[#This Row],[Revised Due Date]],"")</f>
        <v/>
      </c>
      <c r="I1076" s="72" t="s">
        <v>4</v>
      </c>
      <c r="J1076" s="72" t="s">
        <v>4</v>
      </c>
      <c r="K1076" s="81" t="s">
        <v>4</v>
      </c>
      <c r="L1076" s="74"/>
      <c r="M1076" s="77" t="str">
        <f>IF(Main[[#This Row],[Tech Start Date]]&lt;1/1/1990,"",IF(Main[[#This Row],[Class]]="C",WORKDAY(Main[[#This Row],[Tech Start Date]],9),IF(Main[[#This Row],[Class]]="B", WORKDAY(Main[[#This Row],[Tech Start Date]],6),IF(Main[[#This Row],[Class]]="A",WORKDAY(Main[[#This Row],[Tech Start Date]],2),""))))</f>
        <v/>
      </c>
      <c r="N1076" s="77" t="str">
        <f>IF(Main[[#This Row],[Tech Start Date]]&lt;1/1/1990,"",IF(Main[[#This Row],[Class]]="C",WORKDAY(Main[[#This Row],[Tech Start Date]],19),IF(Main[[#This Row],[Class]]="B", WORKDAY(Main[[#This Row],[Tech Start Date]],12),IF(Main[[#This Row],[Class]]="A",WORKDAY(Main[[#This Row],[Tech Start Date]],4),""))))</f>
        <v/>
      </c>
      <c r="O1076" s="77" t="str">
        <f>IF(Main[[#This Row],[Tech Start Date]]&lt;1/1/1990,"",IF(Main[[#This Row],[Class]]="C",WORKDAY(Main[[#This Row],[Tech Start Date]],23),IF(Main[[#This Row],[Class]]="B", WORKDAY(Main[[#This Row],[Tech Start Date]],15),IF(Main[[#This Row],[Class]]="A",WORKDAY(Main[[#This Row],[Tech Start Date]],5),""))))</f>
        <v/>
      </c>
      <c r="P1076" s="77" t="str">
        <f>IF(Main[[#This Row],[Tech Start Date]]&lt;1/1/1990,"",IF(Main[[#This Row],[Class]]="C",WORKDAY(Main[[#This Row],[Tech Start Date]],28),IF(Main[[#This Row],[Class]]="B", WORKDAY(Main[[#This Row],[Tech Start Date]],19),IF(Main[[#This Row],[Class]]="A",WORKDAY(Main[[#This Row],[Tech Start Date]],9),""))))</f>
        <v/>
      </c>
      <c r="Q1076" s="74"/>
      <c r="R1076" s="74"/>
      <c r="S1076" s="72" t="s">
        <v>6</v>
      </c>
      <c r="T1076" s="80" t="s">
        <v>4</v>
      </c>
      <c r="U1076" s="72" t="s">
        <v>29</v>
      </c>
      <c r="V1076" s="72" t="s">
        <v>1933</v>
      </c>
      <c r="W1076" s="72" t="s">
        <v>1936</v>
      </c>
      <c r="X1076" s="72" t="s">
        <v>310</v>
      </c>
      <c r="Y1076" s="72" t="s">
        <v>4</v>
      </c>
      <c r="Z1076" s="72" t="s">
        <v>4</v>
      </c>
      <c r="AA1076" s="147" t="s">
        <v>4</v>
      </c>
    </row>
    <row r="1077" spans="1:27" ht="18.600000000000001" customHeight="1">
      <c r="A1077" s="140" t="str">
        <f>IF(priority(Main[[#This Row],[Comments]])&lt;&gt;0, priority(Main[[#This Row],[Comments]]),"")</f>
        <v/>
      </c>
      <c r="B1077" s="90" t="s">
        <v>2588</v>
      </c>
      <c r="C1077" s="72" t="s">
        <v>2589</v>
      </c>
      <c r="D1077" s="73" t="s">
        <v>3374</v>
      </c>
      <c r="E1077" s="74">
        <v>40855.339328703703</v>
      </c>
      <c r="F1077" s="74">
        <v>40890</v>
      </c>
      <c r="G1077" s="75">
        <f>IF(stdProdLT(Main[[#This Row],[Comments]])=0.1,"N/A",IF(stdProdLT(Main[[#This Row],[Comments]])=0,"",stdProdLT(Main[[#This Row],[Comments]])))</f>
        <v>84</v>
      </c>
      <c r="H1077" s="76" t="str">
        <f>IF(AND(Main[[#This Row],[In Stock Date]]&lt;&gt;"",Main[[#This Row],[Revised Due Date]]&lt;&gt;""),Main[[#This Row],[In Stock Date]]-Main[[#This Row],[Revised Due Date]],"")</f>
        <v/>
      </c>
      <c r="I1077" s="72" t="s">
        <v>126</v>
      </c>
      <c r="J1077" s="72" t="s">
        <v>28</v>
      </c>
      <c r="K1077" s="72" t="s">
        <v>4</v>
      </c>
      <c r="L1077" s="74"/>
      <c r="M1077" s="77" t="str">
        <f>IF(Main[[#This Row],[Tech Start Date]]&lt;1/1/1990,"",IF(Main[[#This Row],[Class]]="C",WORKDAY(Main[[#This Row],[Tech Start Date]],9),IF(Main[[#This Row],[Class]]="B", WORKDAY(Main[[#This Row],[Tech Start Date]],6),IF(Main[[#This Row],[Class]]="A",WORKDAY(Main[[#This Row],[Tech Start Date]],2),""))))</f>
        <v/>
      </c>
      <c r="N1077" s="77" t="str">
        <f>IF(Main[[#This Row],[Tech Start Date]]&lt;1/1/1990,"",IF(Main[[#This Row],[Class]]="C",WORKDAY(Main[[#This Row],[Tech Start Date]],19),IF(Main[[#This Row],[Class]]="B", WORKDAY(Main[[#This Row],[Tech Start Date]],12),IF(Main[[#This Row],[Class]]="A",WORKDAY(Main[[#This Row],[Tech Start Date]],4),""))))</f>
        <v/>
      </c>
      <c r="O1077" s="77" t="str">
        <f>IF(Main[[#This Row],[Tech Start Date]]&lt;1/1/1990,"",IF(Main[[#This Row],[Class]]="C",WORKDAY(Main[[#This Row],[Tech Start Date]],23),IF(Main[[#This Row],[Class]]="B", WORKDAY(Main[[#This Row],[Tech Start Date]],15),IF(Main[[#This Row],[Class]]="A",WORKDAY(Main[[#This Row],[Tech Start Date]],5),""))))</f>
        <v/>
      </c>
      <c r="P1077" s="77" t="str">
        <f>IF(Main[[#This Row],[Tech Start Date]]&lt;1/1/1990,"",IF(Main[[#This Row],[Class]]="C",WORKDAY(Main[[#This Row],[Tech Start Date]],28),IF(Main[[#This Row],[Class]]="B", WORKDAY(Main[[#This Row],[Tech Start Date]],19),IF(Main[[#This Row],[Class]]="A",WORKDAY(Main[[#This Row],[Tech Start Date]],9),""))))</f>
        <v/>
      </c>
      <c r="Q1077" s="74">
        <v>40877</v>
      </c>
      <c r="R1077" s="74"/>
      <c r="S1077" s="72" t="s">
        <v>11</v>
      </c>
      <c r="T1077" s="80" t="s">
        <v>3758</v>
      </c>
      <c r="U1077" s="72" t="s">
        <v>539</v>
      </c>
      <c r="V1077" s="72" t="s">
        <v>1932</v>
      </c>
      <c r="W1077" s="72" t="s">
        <v>1946</v>
      </c>
      <c r="X1077" s="72" t="s">
        <v>2989</v>
      </c>
      <c r="Y1077" s="72" t="s">
        <v>3220</v>
      </c>
      <c r="Z1077" s="72" t="s">
        <v>4</v>
      </c>
      <c r="AA1077" s="147" t="s">
        <v>3652</v>
      </c>
    </row>
    <row r="1078" spans="1:27" ht="18.600000000000001" customHeight="1">
      <c r="A1078" s="140" t="str">
        <f>IF(priority(Main[[#This Row],[Comments]])&lt;&gt;0, priority(Main[[#This Row],[Comments]]),"")</f>
        <v/>
      </c>
      <c r="B1078" s="90" t="s">
        <v>3712</v>
      </c>
      <c r="C1078" s="72" t="s">
        <v>4</v>
      </c>
      <c r="D1078" s="73" t="s">
        <v>3713</v>
      </c>
      <c r="E1078" s="74">
        <v>40942.135775462964</v>
      </c>
      <c r="F1078" s="74"/>
      <c r="G1078" s="75" t="str">
        <f>IF(stdProdLT(Main[[#This Row],[Comments]])=0.1,"N/A",IF(stdProdLT(Main[[#This Row],[Comments]])=0,"",stdProdLT(Main[[#This Row],[Comments]])))</f>
        <v/>
      </c>
      <c r="H1078" s="76" t="str">
        <f>IF(AND(Main[[#This Row],[In Stock Date]]&lt;&gt;"",Main[[#This Row],[Revised Due Date]]&lt;&gt;""),Main[[#This Row],[In Stock Date]]-Main[[#This Row],[Revised Due Date]],"")</f>
        <v/>
      </c>
      <c r="I1078" s="72" t="s">
        <v>4</v>
      </c>
      <c r="J1078" s="72" t="s">
        <v>4</v>
      </c>
      <c r="K1078" s="81" t="s">
        <v>4</v>
      </c>
      <c r="L1078" s="74"/>
      <c r="M1078" s="77" t="str">
        <f>IF(Main[[#This Row],[Tech Start Date]]&lt;1/1/1990,"",IF(Main[[#This Row],[Class]]="C",WORKDAY(Main[[#This Row],[Tech Start Date]],9),IF(Main[[#This Row],[Class]]="B", WORKDAY(Main[[#This Row],[Tech Start Date]],6),IF(Main[[#This Row],[Class]]="A",WORKDAY(Main[[#This Row],[Tech Start Date]],2),""))))</f>
        <v/>
      </c>
      <c r="N1078" s="77" t="str">
        <f>IF(Main[[#This Row],[Tech Start Date]]&lt;1/1/1990,"",IF(Main[[#This Row],[Class]]="C",WORKDAY(Main[[#This Row],[Tech Start Date]],19),IF(Main[[#This Row],[Class]]="B", WORKDAY(Main[[#This Row],[Tech Start Date]],12),IF(Main[[#This Row],[Class]]="A",WORKDAY(Main[[#This Row],[Tech Start Date]],4),""))))</f>
        <v/>
      </c>
      <c r="O1078" s="77" t="str">
        <f>IF(Main[[#This Row],[Tech Start Date]]&lt;1/1/1990,"",IF(Main[[#This Row],[Class]]="C",WORKDAY(Main[[#This Row],[Tech Start Date]],23),IF(Main[[#This Row],[Class]]="B", WORKDAY(Main[[#This Row],[Tech Start Date]],15),IF(Main[[#This Row],[Class]]="A",WORKDAY(Main[[#This Row],[Tech Start Date]],5),""))))</f>
        <v/>
      </c>
      <c r="P1078" s="77" t="str">
        <f>IF(Main[[#This Row],[Tech Start Date]]&lt;1/1/1990,"",IF(Main[[#This Row],[Class]]="C",WORKDAY(Main[[#This Row],[Tech Start Date]],28),IF(Main[[#This Row],[Class]]="B", WORKDAY(Main[[#This Row],[Tech Start Date]],19),IF(Main[[#This Row],[Class]]="A",WORKDAY(Main[[#This Row],[Tech Start Date]],9),""))))</f>
        <v/>
      </c>
      <c r="Q1078" s="74">
        <v>41001</v>
      </c>
      <c r="R1078" s="74"/>
      <c r="S1078" s="72" t="s">
        <v>6</v>
      </c>
      <c r="T1078" s="80" t="s">
        <v>4</v>
      </c>
      <c r="U1078" s="72" t="s">
        <v>7</v>
      </c>
      <c r="V1078" s="72" t="s">
        <v>1935</v>
      </c>
      <c r="W1078" s="72" t="s">
        <v>4</v>
      </c>
      <c r="X1078" s="72" t="s">
        <v>2906</v>
      </c>
      <c r="Y1078" s="72" t="s">
        <v>3025</v>
      </c>
      <c r="Z1078" s="72" t="s">
        <v>4</v>
      </c>
      <c r="AA1078" s="147" t="s">
        <v>2906</v>
      </c>
    </row>
    <row r="1079" spans="1:27" ht="18.600000000000001" customHeight="1">
      <c r="A1079" s="140" t="str">
        <f>IF(priority(Main[[#This Row],[Comments]])&lt;&gt;0, priority(Main[[#This Row],[Comments]]),"")</f>
        <v/>
      </c>
      <c r="B1079" s="90" t="s">
        <v>2461</v>
      </c>
      <c r="C1079" s="72" t="s">
        <v>4</v>
      </c>
      <c r="D1079" s="73" t="s">
        <v>2462</v>
      </c>
      <c r="E1079" s="74"/>
      <c r="F1079" s="74"/>
      <c r="G1079" s="75" t="str">
        <f>IF(stdProdLT(Main[[#This Row],[Comments]])=0.1,"N/A",IF(stdProdLT(Main[[#This Row],[Comments]])=0,"",stdProdLT(Main[[#This Row],[Comments]])))</f>
        <v/>
      </c>
      <c r="H1079" s="76" t="str">
        <f>IF(AND(Main[[#This Row],[In Stock Date]]&lt;&gt;"",Main[[#This Row],[Revised Due Date]]&lt;&gt;""),Main[[#This Row],[In Stock Date]]-Main[[#This Row],[Revised Due Date]],"")</f>
        <v/>
      </c>
      <c r="I1079" s="72" t="s">
        <v>4</v>
      </c>
      <c r="J1079" s="72" t="s">
        <v>4</v>
      </c>
      <c r="K1079" s="81" t="s">
        <v>4</v>
      </c>
      <c r="L1079" s="74"/>
      <c r="M1079" s="77" t="str">
        <f>IF(Main[[#This Row],[Tech Start Date]]&lt;1/1/1990,"",IF(Main[[#This Row],[Class]]="C",WORKDAY(Main[[#This Row],[Tech Start Date]],9),IF(Main[[#This Row],[Class]]="B", WORKDAY(Main[[#This Row],[Tech Start Date]],6),IF(Main[[#This Row],[Class]]="A",WORKDAY(Main[[#This Row],[Tech Start Date]],2),""))))</f>
        <v/>
      </c>
      <c r="N1079" s="77" t="str">
        <f>IF(Main[[#This Row],[Tech Start Date]]&lt;1/1/1990,"",IF(Main[[#This Row],[Class]]="C",WORKDAY(Main[[#This Row],[Tech Start Date]],19),IF(Main[[#This Row],[Class]]="B", WORKDAY(Main[[#This Row],[Tech Start Date]],12),IF(Main[[#This Row],[Class]]="A",WORKDAY(Main[[#This Row],[Tech Start Date]],4),""))))</f>
        <v/>
      </c>
      <c r="O1079" s="77" t="str">
        <f>IF(Main[[#This Row],[Tech Start Date]]&lt;1/1/1990,"",IF(Main[[#This Row],[Class]]="C",WORKDAY(Main[[#This Row],[Tech Start Date]],23),IF(Main[[#This Row],[Class]]="B", WORKDAY(Main[[#This Row],[Tech Start Date]],15),IF(Main[[#This Row],[Class]]="A",WORKDAY(Main[[#This Row],[Tech Start Date]],5),""))))</f>
        <v/>
      </c>
      <c r="P1079" s="77" t="str">
        <f>IF(Main[[#This Row],[Tech Start Date]]&lt;1/1/1990,"",IF(Main[[#This Row],[Class]]="C",WORKDAY(Main[[#This Row],[Tech Start Date]],28),IF(Main[[#This Row],[Class]]="B", WORKDAY(Main[[#This Row],[Tech Start Date]],19),IF(Main[[#This Row],[Class]]="A",WORKDAY(Main[[#This Row],[Tech Start Date]],9),""))))</f>
        <v/>
      </c>
      <c r="Q1079" s="74">
        <v>40907</v>
      </c>
      <c r="R1079" s="74"/>
      <c r="S1079" s="72" t="s">
        <v>6</v>
      </c>
      <c r="T1079" s="80" t="s">
        <v>4</v>
      </c>
      <c r="U1079" s="72" t="s">
        <v>14</v>
      </c>
      <c r="V1079" s="72" t="s">
        <v>1932</v>
      </c>
      <c r="W1079" s="72" t="s">
        <v>1936</v>
      </c>
      <c r="X1079" s="72" t="s">
        <v>2905</v>
      </c>
      <c r="Y1079" s="72" t="s">
        <v>3023</v>
      </c>
      <c r="Z1079" s="72" t="s">
        <v>4</v>
      </c>
      <c r="AA1079" s="147" t="s">
        <v>2905</v>
      </c>
    </row>
    <row r="1080" spans="1:27" ht="18.600000000000001" customHeight="1">
      <c r="A1080" s="140" t="str">
        <f>IF(priority(Main[[#This Row],[Comments]])&lt;&gt;0, priority(Main[[#This Row],[Comments]]),"")</f>
        <v/>
      </c>
      <c r="B1080" s="90" t="s">
        <v>3707</v>
      </c>
      <c r="C1080" s="72" t="s">
        <v>79</v>
      </c>
      <c r="D1080" s="73" t="s">
        <v>3708</v>
      </c>
      <c r="E1080" s="74">
        <v>40942.321122685185</v>
      </c>
      <c r="F1080" s="74"/>
      <c r="G1080" s="75" t="str">
        <f>IF(stdProdLT(Main[[#This Row],[Comments]])=0.1,"N/A",IF(stdProdLT(Main[[#This Row],[Comments]])=0,"",stdProdLT(Main[[#This Row],[Comments]])))</f>
        <v/>
      </c>
      <c r="H1080" s="76" t="str">
        <f>IF(AND(Main[[#This Row],[In Stock Date]]&lt;&gt;"",Main[[#This Row],[Revised Due Date]]&lt;&gt;""),Main[[#This Row],[In Stock Date]]-Main[[#This Row],[Revised Due Date]],"")</f>
        <v/>
      </c>
      <c r="I1080" s="72" t="s">
        <v>4</v>
      </c>
      <c r="J1080" s="72" t="s">
        <v>4</v>
      </c>
      <c r="K1080" s="72" t="s">
        <v>4</v>
      </c>
      <c r="L1080" s="74"/>
      <c r="M1080" s="77" t="str">
        <f>IF(Main[[#This Row],[Tech Start Date]]&lt;1/1/1990,"",IF(Main[[#This Row],[Class]]="C",WORKDAY(Main[[#This Row],[Tech Start Date]],9),IF(Main[[#This Row],[Class]]="B", WORKDAY(Main[[#This Row],[Tech Start Date]],6),IF(Main[[#This Row],[Class]]="A",WORKDAY(Main[[#This Row],[Tech Start Date]],2),""))))</f>
        <v/>
      </c>
      <c r="N1080" s="77" t="str">
        <f>IF(Main[[#This Row],[Tech Start Date]]&lt;1/1/1990,"",IF(Main[[#This Row],[Class]]="C",WORKDAY(Main[[#This Row],[Tech Start Date]],19),IF(Main[[#This Row],[Class]]="B", WORKDAY(Main[[#This Row],[Tech Start Date]],12),IF(Main[[#This Row],[Class]]="A",WORKDAY(Main[[#This Row],[Tech Start Date]],4),""))))</f>
        <v/>
      </c>
      <c r="O1080" s="77" t="str">
        <f>IF(Main[[#This Row],[Tech Start Date]]&lt;1/1/1990,"",IF(Main[[#This Row],[Class]]="C",WORKDAY(Main[[#This Row],[Tech Start Date]],23),IF(Main[[#This Row],[Class]]="B", WORKDAY(Main[[#This Row],[Tech Start Date]],15),IF(Main[[#This Row],[Class]]="A",WORKDAY(Main[[#This Row],[Tech Start Date]],5),""))))</f>
        <v/>
      </c>
      <c r="P1080" s="77" t="str">
        <f>IF(Main[[#This Row],[Tech Start Date]]&lt;1/1/1990,"",IF(Main[[#This Row],[Class]]="C",WORKDAY(Main[[#This Row],[Tech Start Date]],28),IF(Main[[#This Row],[Class]]="B", WORKDAY(Main[[#This Row],[Tech Start Date]],19),IF(Main[[#This Row],[Class]]="A",WORKDAY(Main[[#This Row],[Tech Start Date]],9),""))))</f>
        <v/>
      </c>
      <c r="Q1080" s="74">
        <v>40949</v>
      </c>
      <c r="R1080" s="74"/>
      <c r="S1080" s="72" t="s">
        <v>11</v>
      </c>
      <c r="T1080" s="80" t="s">
        <v>4</v>
      </c>
      <c r="U1080" s="72" t="s">
        <v>7</v>
      </c>
      <c r="V1080" s="72" t="s">
        <v>1942</v>
      </c>
      <c r="W1080" s="72" t="s">
        <v>1937</v>
      </c>
      <c r="X1080" s="72" t="s">
        <v>3709</v>
      </c>
      <c r="Y1080" s="72" t="s">
        <v>3710</v>
      </c>
      <c r="Z1080" s="72" t="s">
        <v>4</v>
      </c>
      <c r="AA1080" s="147" t="s">
        <v>3709</v>
      </c>
    </row>
    <row r="1081" spans="1:27" ht="18.600000000000001" customHeight="1">
      <c r="A1081" s="140" t="str">
        <f>IF(priority(Main[[#This Row],[Comments]])&lt;&gt;0, priority(Main[[#This Row],[Comments]]),"")</f>
        <v/>
      </c>
      <c r="B1081" s="90" t="s">
        <v>1214</v>
      </c>
      <c r="C1081" s="72" t="s">
        <v>4</v>
      </c>
      <c r="D1081" s="73" t="s">
        <v>3436</v>
      </c>
      <c r="E1081" s="74"/>
      <c r="F1081" s="74"/>
      <c r="G1081" s="75" t="str">
        <f>IF(stdProdLT(Main[[#This Row],[Comments]])=0.1,"N/A",IF(stdProdLT(Main[[#This Row],[Comments]])=0,"",stdProdLT(Main[[#This Row],[Comments]])))</f>
        <v/>
      </c>
      <c r="H1081" s="76" t="str">
        <f>IF(AND(Main[[#This Row],[In Stock Date]]&lt;&gt;"",Main[[#This Row],[Revised Due Date]]&lt;&gt;""),Main[[#This Row],[In Stock Date]]-Main[[#This Row],[Revised Due Date]],"")</f>
        <v/>
      </c>
      <c r="I1081" s="72" t="s">
        <v>2073</v>
      </c>
      <c r="J1081" s="72" t="s">
        <v>28</v>
      </c>
      <c r="K1081" s="81" t="s">
        <v>1941</v>
      </c>
      <c r="L1081" s="74"/>
      <c r="M1081" s="77" t="str">
        <f>IF(Main[[#This Row],[Tech Start Date]]&lt;1/1/1990,"",IF(Main[[#This Row],[Class]]="C",WORKDAY(Main[[#This Row],[Tech Start Date]],9),IF(Main[[#This Row],[Class]]="B", WORKDAY(Main[[#This Row],[Tech Start Date]],6),IF(Main[[#This Row],[Class]]="A",WORKDAY(Main[[#This Row],[Tech Start Date]],2),""))))</f>
        <v/>
      </c>
      <c r="N1081" s="77" t="str">
        <f>IF(Main[[#This Row],[Tech Start Date]]&lt;1/1/1990,"",IF(Main[[#This Row],[Class]]="C",WORKDAY(Main[[#This Row],[Tech Start Date]],19),IF(Main[[#This Row],[Class]]="B", WORKDAY(Main[[#This Row],[Tech Start Date]],12),IF(Main[[#This Row],[Class]]="A",WORKDAY(Main[[#This Row],[Tech Start Date]],4),""))))</f>
        <v/>
      </c>
      <c r="O1081" s="77" t="str">
        <f>IF(Main[[#This Row],[Tech Start Date]]&lt;1/1/1990,"",IF(Main[[#This Row],[Class]]="C",WORKDAY(Main[[#This Row],[Tech Start Date]],23),IF(Main[[#This Row],[Class]]="B", WORKDAY(Main[[#This Row],[Tech Start Date]],15),IF(Main[[#This Row],[Class]]="A",WORKDAY(Main[[#This Row],[Tech Start Date]],5),""))))</f>
        <v/>
      </c>
      <c r="P1081" s="77" t="str">
        <f>IF(Main[[#This Row],[Tech Start Date]]&lt;1/1/1990,"",IF(Main[[#This Row],[Class]]="C",WORKDAY(Main[[#This Row],[Tech Start Date]],28),IF(Main[[#This Row],[Class]]="B", WORKDAY(Main[[#This Row],[Tech Start Date]],19),IF(Main[[#This Row],[Class]]="A",WORKDAY(Main[[#This Row],[Tech Start Date]],9),""))))</f>
        <v/>
      </c>
      <c r="Q1081" s="74"/>
      <c r="R1081" s="74"/>
      <c r="S1081" s="72" t="s">
        <v>6</v>
      </c>
      <c r="T1081" s="80" t="s">
        <v>4</v>
      </c>
      <c r="U1081" s="72" t="s">
        <v>14</v>
      </c>
      <c r="V1081" s="72" t="s">
        <v>1935</v>
      </c>
      <c r="W1081" s="72" t="s">
        <v>1936</v>
      </c>
      <c r="X1081" s="72" t="s">
        <v>2903</v>
      </c>
      <c r="Y1081" s="72" t="s">
        <v>3019</v>
      </c>
      <c r="Z1081" s="72" t="s">
        <v>30</v>
      </c>
      <c r="AA1081" s="147" t="s">
        <v>2903</v>
      </c>
    </row>
    <row r="1082" spans="1:27" ht="18.600000000000001" customHeight="1">
      <c r="A1082" s="140" t="str">
        <f>IF(priority(Main[[#This Row],[Comments]])&lt;&gt;0, priority(Main[[#This Row],[Comments]]),"")</f>
        <v/>
      </c>
      <c r="B1082" s="90" t="s">
        <v>2467</v>
      </c>
      <c r="C1082" s="72" t="s">
        <v>4</v>
      </c>
      <c r="D1082" s="73" t="s">
        <v>2468</v>
      </c>
      <c r="E1082" s="74">
        <v>40861.647233796299</v>
      </c>
      <c r="F1082" s="74"/>
      <c r="G1082" s="75" t="str">
        <f>IF(stdProdLT(Main[[#This Row],[Comments]])=0.1,"N/A",IF(stdProdLT(Main[[#This Row],[Comments]])=0,"",stdProdLT(Main[[#This Row],[Comments]])))</f>
        <v/>
      </c>
      <c r="H1082" s="76" t="str">
        <f>IF(AND(Main[[#This Row],[In Stock Date]]&lt;&gt;"",Main[[#This Row],[Revised Due Date]]&lt;&gt;""),Main[[#This Row],[In Stock Date]]-Main[[#This Row],[Revised Due Date]],"")</f>
        <v/>
      </c>
      <c r="I1082" s="72" t="s">
        <v>775</v>
      </c>
      <c r="J1082" s="72" t="s">
        <v>52</v>
      </c>
      <c r="K1082" s="72" t="s">
        <v>1941</v>
      </c>
      <c r="L1082" s="74"/>
      <c r="M1082" s="77" t="str">
        <f>IF(Main[[#This Row],[Tech Start Date]]&lt;1/1/1990,"",IF(Main[[#This Row],[Class]]="C",WORKDAY(Main[[#This Row],[Tech Start Date]],9),IF(Main[[#This Row],[Class]]="B", WORKDAY(Main[[#This Row],[Tech Start Date]],6),IF(Main[[#This Row],[Class]]="A",WORKDAY(Main[[#This Row],[Tech Start Date]],2),""))))</f>
        <v/>
      </c>
      <c r="N1082" s="77" t="str">
        <f>IF(Main[[#This Row],[Tech Start Date]]&lt;1/1/1990,"",IF(Main[[#This Row],[Class]]="C",WORKDAY(Main[[#This Row],[Tech Start Date]],19),IF(Main[[#This Row],[Class]]="B", WORKDAY(Main[[#This Row],[Tech Start Date]],12),IF(Main[[#This Row],[Class]]="A",WORKDAY(Main[[#This Row],[Tech Start Date]],4),""))))</f>
        <v/>
      </c>
      <c r="O1082" s="77" t="str">
        <f>IF(Main[[#This Row],[Tech Start Date]]&lt;1/1/1990,"",IF(Main[[#This Row],[Class]]="C",WORKDAY(Main[[#This Row],[Tech Start Date]],23),IF(Main[[#This Row],[Class]]="B", WORKDAY(Main[[#This Row],[Tech Start Date]],15),IF(Main[[#This Row],[Class]]="A",WORKDAY(Main[[#This Row],[Tech Start Date]],5),""))))</f>
        <v/>
      </c>
      <c r="P1082" s="77" t="str">
        <f>IF(Main[[#This Row],[Tech Start Date]]&lt;1/1/1990,"",IF(Main[[#This Row],[Class]]="C",WORKDAY(Main[[#This Row],[Tech Start Date]],28),IF(Main[[#This Row],[Class]]="B", WORKDAY(Main[[#This Row],[Tech Start Date]],19),IF(Main[[#This Row],[Class]]="A",WORKDAY(Main[[#This Row],[Tech Start Date]],9),""))))</f>
        <v/>
      </c>
      <c r="Q1082" s="74">
        <v>40897</v>
      </c>
      <c r="R1082" s="74"/>
      <c r="S1082" s="72" t="s">
        <v>6</v>
      </c>
      <c r="T1082" s="80" t="s">
        <v>4</v>
      </c>
      <c r="U1082" s="72" t="s">
        <v>29</v>
      </c>
      <c r="V1082" s="72" t="s">
        <v>1935</v>
      </c>
      <c r="W1082" s="72" t="s">
        <v>1936</v>
      </c>
      <c r="X1082" s="72" t="s">
        <v>30</v>
      </c>
      <c r="Y1082" s="72" t="s">
        <v>3027</v>
      </c>
      <c r="Z1082" s="72" t="s">
        <v>30</v>
      </c>
      <c r="AA1082" s="147" t="s">
        <v>30</v>
      </c>
    </row>
    <row r="1083" spans="1:27" ht="18.600000000000001" customHeight="1">
      <c r="A1083" s="140" t="str">
        <f>IF(priority(Main[[#This Row],[Comments]])&lt;&gt;0, priority(Main[[#This Row],[Comments]]),"")</f>
        <v/>
      </c>
      <c r="B1083" s="90" t="s">
        <v>1861</v>
      </c>
      <c r="C1083" s="72" t="s">
        <v>4</v>
      </c>
      <c r="D1083" s="73" t="s">
        <v>911</v>
      </c>
      <c r="E1083" s="74">
        <v>40478.709317129629</v>
      </c>
      <c r="F1083" s="74">
        <v>40492</v>
      </c>
      <c r="G1083" s="75" t="str">
        <f>IF(stdProdLT(Main[[#This Row],[Comments]])=0.1,"N/A",IF(stdProdLT(Main[[#This Row],[Comments]])=0,"",stdProdLT(Main[[#This Row],[Comments]])))</f>
        <v/>
      </c>
      <c r="H1083" s="76">
        <f>IF(AND(Main[[#This Row],[In Stock Date]]&lt;&gt;"",Main[[#This Row],[Revised Due Date]]&lt;&gt;""),Main[[#This Row],[In Stock Date]]-Main[[#This Row],[Revised Due Date]],"")</f>
        <v>-3</v>
      </c>
      <c r="I1083" s="72" t="s">
        <v>4</v>
      </c>
      <c r="J1083" s="72" t="s">
        <v>28</v>
      </c>
      <c r="K1083" s="81" t="s">
        <v>1939</v>
      </c>
      <c r="L1083" s="74"/>
      <c r="M1083" s="77" t="str">
        <f>IF(Main[[#This Row],[Tech Start Date]]&lt;1/1/1990,"",IF(Main[[#This Row],[Class]]="C",WORKDAY(Main[[#This Row],[Tech Start Date]],9),IF(Main[[#This Row],[Class]]="B", WORKDAY(Main[[#This Row],[Tech Start Date]],6),IF(Main[[#This Row],[Class]]="A",WORKDAY(Main[[#This Row],[Tech Start Date]],2),""))))</f>
        <v/>
      </c>
      <c r="N1083" s="77" t="str">
        <f>IF(Main[[#This Row],[Tech Start Date]]&lt;1/1/1990,"",IF(Main[[#This Row],[Class]]="C",WORKDAY(Main[[#This Row],[Tech Start Date]],19),IF(Main[[#This Row],[Class]]="B", WORKDAY(Main[[#This Row],[Tech Start Date]],12),IF(Main[[#This Row],[Class]]="A",WORKDAY(Main[[#This Row],[Tech Start Date]],4),""))))</f>
        <v/>
      </c>
      <c r="O1083" s="77" t="str">
        <f>IF(Main[[#This Row],[Tech Start Date]]&lt;1/1/1990,"",IF(Main[[#This Row],[Class]]="C",WORKDAY(Main[[#This Row],[Tech Start Date]],23),IF(Main[[#This Row],[Class]]="B", WORKDAY(Main[[#This Row],[Tech Start Date]],15),IF(Main[[#This Row],[Class]]="A",WORKDAY(Main[[#This Row],[Tech Start Date]],5),""))))</f>
        <v/>
      </c>
      <c r="P1083" s="77" t="str">
        <f>IF(Main[[#This Row],[Tech Start Date]]&lt;1/1/1990,"",IF(Main[[#This Row],[Class]]="C",WORKDAY(Main[[#This Row],[Tech Start Date]],28),IF(Main[[#This Row],[Class]]="B", WORKDAY(Main[[#This Row],[Tech Start Date]],19),IF(Main[[#This Row],[Class]]="A",WORKDAY(Main[[#This Row],[Tech Start Date]],9),""))))</f>
        <v/>
      </c>
      <c r="Q1083" s="74">
        <v>40908</v>
      </c>
      <c r="R1083" s="74">
        <v>40495</v>
      </c>
      <c r="S1083" s="72" t="s">
        <v>17</v>
      </c>
      <c r="T1083" s="80" t="s">
        <v>2469</v>
      </c>
      <c r="U1083" s="72" t="s">
        <v>29</v>
      </c>
      <c r="V1083" s="72" t="s">
        <v>1933</v>
      </c>
      <c r="W1083" s="72" t="s">
        <v>1934</v>
      </c>
      <c r="X1083" s="72" t="s">
        <v>50</v>
      </c>
      <c r="Y1083" s="72" t="s">
        <v>4</v>
      </c>
      <c r="Z1083" s="72" t="s">
        <v>4</v>
      </c>
      <c r="AA1083" s="147" t="s">
        <v>987</v>
      </c>
    </row>
    <row r="1084" spans="1:27" ht="18.600000000000001" customHeight="1">
      <c r="A1084" s="140" t="str">
        <f>IF(priority(Main[[#This Row],[Comments]])&lt;&gt;0, priority(Main[[#This Row],[Comments]]),"")</f>
        <v/>
      </c>
      <c r="B1084" s="90" t="s">
        <v>1137</v>
      </c>
      <c r="C1084" s="72" t="s">
        <v>4</v>
      </c>
      <c r="D1084" s="73" t="s">
        <v>2470</v>
      </c>
      <c r="E1084" s="74">
        <v>40581.512430555558</v>
      </c>
      <c r="F1084" s="74">
        <v>40627</v>
      </c>
      <c r="G1084" s="75" t="str">
        <f>IF(stdProdLT(Main[[#This Row],[Comments]])=0.1,"N/A",IF(stdProdLT(Main[[#This Row],[Comments]])=0,"",stdProdLT(Main[[#This Row],[Comments]])))</f>
        <v/>
      </c>
      <c r="H1084" s="76" t="str">
        <f>IF(AND(Main[[#This Row],[In Stock Date]]&lt;&gt;"",Main[[#This Row],[Revised Due Date]]&lt;&gt;""),Main[[#This Row],[In Stock Date]]-Main[[#This Row],[Revised Due Date]],"")</f>
        <v/>
      </c>
      <c r="I1084" s="72" t="s">
        <v>923</v>
      </c>
      <c r="J1084" s="72" t="s">
        <v>52</v>
      </c>
      <c r="K1084" s="72" t="s">
        <v>1939</v>
      </c>
      <c r="L1084" s="74"/>
      <c r="M1084" s="77" t="str">
        <f>IF(Main[[#This Row],[Tech Start Date]]&lt;1/1/1990,"",IF(Main[[#This Row],[Class]]="C",WORKDAY(Main[[#This Row],[Tech Start Date]],9),IF(Main[[#This Row],[Class]]="B", WORKDAY(Main[[#This Row],[Tech Start Date]],6),IF(Main[[#This Row],[Class]]="A",WORKDAY(Main[[#This Row],[Tech Start Date]],2),""))))</f>
        <v/>
      </c>
      <c r="N1084" s="77" t="str">
        <f>IF(Main[[#This Row],[Tech Start Date]]&lt;1/1/1990,"",IF(Main[[#This Row],[Class]]="C",WORKDAY(Main[[#This Row],[Tech Start Date]],19),IF(Main[[#This Row],[Class]]="B", WORKDAY(Main[[#This Row],[Tech Start Date]],12),IF(Main[[#This Row],[Class]]="A",WORKDAY(Main[[#This Row],[Tech Start Date]],4),""))))</f>
        <v/>
      </c>
      <c r="O1084" s="77" t="str">
        <f>IF(Main[[#This Row],[Tech Start Date]]&lt;1/1/1990,"",IF(Main[[#This Row],[Class]]="C",WORKDAY(Main[[#This Row],[Tech Start Date]],23),IF(Main[[#This Row],[Class]]="B", WORKDAY(Main[[#This Row],[Tech Start Date]],15),IF(Main[[#This Row],[Class]]="A",WORKDAY(Main[[#This Row],[Tech Start Date]],5),""))))</f>
        <v/>
      </c>
      <c r="P1084" s="77" t="str">
        <f>IF(Main[[#This Row],[Tech Start Date]]&lt;1/1/1990,"",IF(Main[[#This Row],[Class]]="C",WORKDAY(Main[[#This Row],[Tech Start Date]],28),IF(Main[[#This Row],[Class]]="B", WORKDAY(Main[[#This Row],[Tech Start Date]],19),IF(Main[[#This Row],[Class]]="A",WORKDAY(Main[[#This Row],[Tech Start Date]],9),""))))</f>
        <v/>
      </c>
      <c r="Q1084" s="74">
        <v>40627</v>
      </c>
      <c r="R1084" s="74"/>
      <c r="S1084" s="72" t="s">
        <v>6</v>
      </c>
      <c r="T1084" s="80" t="s">
        <v>4</v>
      </c>
      <c r="U1084" s="72" t="s">
        <v>29</v>
      </c>
      <c r="V1084" s="72" t="s">
        <v>1932</v>
      </c>
      <c r="W1084" s="72" t="s">
        <v>1934</v>
      </c>
      <c r="X1084" s="72" t="s">
        <v>2902</v>
      </c>
      <c r="Y1084" s="72" t="s">
        <v>3016</v>
      </c>
      <c r="Z1084" s="72" t="s">
        <v>129</v>
      </c>
      <c r="AA1084" s="147" t="s">
        <v>2902</v>
      </c>
    </row>
    <row r="1085" spans="1:27" ht="18.600000000000001" customHeight="1">
      <c r="A1085" s="140" t="str">
        <f>IF(priority(Main[[#This Row],[Comments]])&lt;&gt;0, priority(Main[[#This Row],[Comments]]),"")</f>
        <v/>
      </c>
      <c r="B1085" s="90" t="s">
        <v>2471</v>
      </c>
      <c r="C1085" s="72" t="s">
        <v>4</v>
      </c>
      <c r="D1085" s="73" t="s">
        <v>2472</v>
      </c>
      <c r="E1085" s="74">
        <v>40843.415925925925</v>
      </c>
      <c r="F1085" s="74"/>
      <c r="G1085" s="75" t="str">
        <f>IF(stdProdLT(Main[[#This Row],[Comments]])=0.1,"N/A",IF(stdProdLT(Main[[#This Row],[Comments]])=0,"",stdProdLT(Main[[#This Row],[Comments]])))</f>
        <v/>
      </c>
      <c r="H1085" s="76" t="str">
        <f>IF(AND(Main[[#This Row],[In Stock Date]]&lt;&gt;"",Main[[#This Row],[Revised Due Date]]&lt;&gt;""),Main[[#This Row],[In Stock Date]]-Main[[#This Row],[Revised Due Date]],"")</f>
        <v/>
      </c>
      <c r="I1085" s="72" t="s">
        <v>4</v>
      </c>
      <c r="J1085" s="72" t="s">
        <v>4</v>
      </c>
      <c r="K1085" s="72" t="s">
        <v>4</v>
      </c>
      <c r="L1085" s="74"/>
      <c r="M1085" s="77" t="str">
        <f>IF(Main[[#This Row],[Tech Start Date]]&lt;1/1/1990,"",IF(Main[[#This Row],[Class]]="C",WORKDAY(Main[[#This Row],[Tech Start Date]],9),IF(Main[[#This Row],[Class]]="B", WORKDAY(Main[[#This Row],[Tech Start Date]],6),IF(Main[[#This Row],[Class]]="A",WORKDAY(Main[[#This Row],[Tech Start Date]],2),""))))</f>
        <v/>
      </c>
      <c r="N1085" s="77" t="str">
        <f>IF(Main[[#This Row],[Tech Start Date]]&lt;1/1/1990,"",IF(Main[[#This Row],[Class]]="C",WORKDAY(Main[[#This Row],[Tech Start Date]],19),IF(Main[[#This Row],[Class]]="B", WORKDAY(Main[[#This Row],[Tech Start Date]],12),IF(Main[[#This Row],[Class]]="A",WORKDAY(Main[[#This Row],[Tech Start Date]],4),""))))</f>
        <v/>
      </c>
      <c r="O1085" s="77" t="str">
        <f>IF(Main[[#This Row],[Tech Start Date]]&lt;1/1/1990,"",IF(Main[[#This Row],[Class]]="C",WORKDAY(Main[[#This Row],[Tech Start Date]],23),IF(Main[[#This Row],[Class]]="B", WORKDAY(Main[[#This Row],[Tech Start Date]],15),IF(Main[[#This Row],[Class]]="A",WORKDAY(Main[[#This Row],[Tech Start Date]],5),""))))</f>
        <v/>
      </c>
      <c r="P1085" s="77" t="str">
        <f>IF(Main[[#This Row],[Tech Start Date]]&lt;1/1/1990,"",IF(Main[[#This Row],[Class]]="C",WORKDAY(Main[[#This Row],[Tech Start Date]],28),IF(Main[[#This Row],[Class]]="B", WORKDAY(Main[[#This Row],[Tech Start Date]],19),IF(Main[[#This Row],[Class]]="A",WORKDAY(Main[[#This Row],[Tech Start Date]],9),""))))</f>
        <v/>
      </c>
      <c r="Q1085" s="74"/>
      <c r="R1085" s="74"/>
      <c r="S1085" s="72" t="s">
        <v>6</v>
      </c>
      <c r="T1085" s="80" t="s">
        <v>4</v>
      </c>
      <c r="U1085" s="72" t="s">
        <v>29</v>
      </c>
      <c r="V1085" s="72" t="s">
        <v>1942</v>
      </c>
      <c r="W1085" s="72" t="s">
        <v>1934</v>
      </c>
      <c r="X1085" s="72" t="s">
        <v>420</v>
      </c>
      <c r="Y1085" s="72" t="s">
        <v>3062</v>
      </c>
      <c r="Z1085" s="72" t="s">
        <v>4</v>
      </c>
      <c r="AA1085" s="147" t="s">
        <v>420</v>
      </c>
    </row>
    <row r="1086" spans="1:27" ht="18.600000000000001" customHeight="1">
      <c r="A1086" s="140" t="str">
        <f>IF(priority(Main[[#This Row],[Comments]])&lt;&gt;0, priority(Main[[#This Row],[Comments]]),"")</f>
        <v/>
      </c>
      <c r="B1086" s="90" t="s">
        <v>2193</v>
      </c>
      <c r="C1086" s="72" t="s">
        <v>2186</v>
      </c>
      <c r="D1086" s="73" t="s">
        <v>2187</v>
      </c>
      <c r="E1086" s="74">
        <v>40781.399756944447</v>
      </c>
      <c r="F1086" s="74"/>
      <c r="G1086" s="75" t="str">
        <f>IF(stdProdLT(Main[[#This Row],[Comments]])=0.1,"N/A",IF(stdProdLT(Main[[#This Row],[Comments]])=0,"",stdProdLT(Main[[#This Row],[Comments]])))</f>
        <v/>
      </c>
      <c r="H1086" s="76" t="str">
        <f>IF(AND(Main[[#This Row],[In Stock Date]]&lt;&gt;"",Main[[#This Row],[Revised Due Date]]&lt;&gt;""),Main[[#This Row],[In Stock Date]]-Main[[#This Row],[Revised Due Date]],"")</f>
        <v/>
      </c>
      <c r="I1086" s="72" t="s">
        <v>4</v>
      </c>
      <c r="J1086" s="72" t="s">
        <v>28</v>
      </c>
      <c r="K1086" s="72" t="s">
        <v>1941</v>
      </c>
      <c r="L1086" s="74"/>
      <c r="M1086" s="77" t="str">
        <f>IF(Main[[#This Row],[Tech Start Date]]&lt;1/1/1990,"",IF(Main[[#This Row],[Class]]="C",WORKDAY(Main[[#This Row],[Tech Start Date]],9),IF(Main[[#This Row],[Class]]="B", WORKDAY(Main[[#This Row],[Tech Start Date]],6),IF(Main[[#This Row],[Class]]="A",WORKDAY(Main[[#This Row],[Tech Start Date]],2),""))))</f>
        <v/>
      </c>
      <c r="N1086" s="77" t="str">
        <f>IF(Main[[#This Row],[Tech Start Date]]&lt;1/1/1990,"",IF(Main[[#This Row],[Class]]="C",WORKDAY(Main[[#This Row],[Tech Start Date]],19),IF(Main[[#This Row],[Class]]="B", WORKDAY(Main[[#This Row],[Tech Start Date]],12),IF(Main[[#This Row],[Class]]="A",WORKDAY(Main[[#This Row],[Tech Start Date]],4),""))))</f>
        <v/>
      </c>
      <c r="O1086" s="77" t="str">
        <f>IF(Main[[#This Row],[Tech Start Date]]&lt;1/1/1990,"",IF(Main[[#This Row],[Class]]="C",WORKDAY(Main[[#This Row],[Tech Start Date]],23),IF(Main[[#This Row],[Class]]="B", WORKDAY(Main[[#This Row],[Tech Start Date]],15),IF(Main[[#This Row],[Class]]="A",WORKDAY(Main[[#This Row],[Tech Start Date]],5),""))))</f>
        <v/>
      </c>
      <c r="P1086" s="77" t="str">
        <f>IF(Main[[#This Row],[Tech Start Date]]&lt;1/1/1990,"",IF(Main[[#This Row],[Class]]="C",WORKDAY(Main[[#This Row],[Tech Start Date]],28),IF(Main[[#This Row],[Class]]="B", WORKDAY(Main[[#This Row],[Tech Start Date]],19),IF(Main[[#This Row],[Class]]="A",WORKDAY(Main[[#This Row],[Tech Start Date]],9),""))))</f>
        <v/>
      </c>
      <c r="Q1086" s="74">
        <v>40836</v>
      </c>
      <c r="R1086" s="74"/>
      <c r="S1086" s="72" t="s">
        <v>6</v>
      </c>
      <c r="T1086" s="80" t="s">
        <v>4</v>
      </c>
      <c r="U1086" s="72" t="s">
        <v>29</v>
      </c>
      <c r="V1086" s="72" t="s">
        <v>1935</v>
      </c>
      <c r="W1086" s="72" t="s">
        <v>1936</v>
      </c>
      <c r="X1086" s="72" t="s">
        <v>2920</v>
      </c>
      <c r="Y1086" s="72" t="s">
        <v>3052</v>
      </c>
      <c r="Z1086" s="72" t="s">
        <v>30</v>
      </c>
      <c r="AA1086" s="147" t="s">
        <v>2920</v>
      </c>
    </row>
    <row r="1087" spans="1:27" ht="18.600000000000001" customHeight="1">
      <c r="A1087" s="140" t="str">
        <f>IF(priority(Main[[#This Row],[Comments]])&lt;&gt;0, priority(Main[[#This Row],[Comments]]),"")</f>
        <v/>
      </c>
      <c r="B1087" s="90" t="s">
        <v>1327</v>
      </c>
      <c r="C1087" s="72" t="s">
        <v>4</v>
      </c>
      <c r="D1087" s="73" t="s">
        <v>2333</v>
      </c>
      <c r="E1087" s="74">
        <v>40627.285358796296</v>
      </c>
      <c r="F1087" s="74"/>
      <c r="G1087" s="75" t="str">
        <f>IF(stdProdLT(Main[[#This Row],[Comments]])=0.1,"N/A",IF(stdProdLT(Main[[#This Row],[Comments]])=0,"",stdProdLT(Main[[#This Row],[Comments]])))</f>
        <v/>
      </c>
      <c r="H1087" s="76" t="str">
        <f>IF(AND(Main[[#This Row],[In Stock Date]]&lt;&gt;"",Main[[#This Row],[Revised Due Date]]&lt;&gt;""),Main[[#This Row],[In Stock Date]]-Main[[#This Row],[Revised Due Date]],"")</f>
        <v/>
      </c>
      <c r="I1087" s="72" t="s">
        <v>567</v>
      </c>
      <c r="J1087" s="72" t="s">
        <v>21</v>
      </c>
      <c r="K1087" s="72" t="s">
        <v>1941</v>
      </c>
      <c r="L1087" s="74"/>
      <c r="M1087" s="77" t="str">
        <f>IF(Main[[#This Row],[Tech Start Date]]&lt;1/1/1990,"",IF(Main[[#This Row],[Class]]="C",WORKDAY(Main[[#This Row],[Tech Start Date]],9),IF(Main[[#This Row],[Class]]="B", WORKDAY(Main[[#This Row],[Tech Start Date]],6),IF(Main[[#This Row],[Class]]="A",WORKDAY(Main[[#This Row],[Tech Start Date]],2),""))))</f>
        <v/>
      </c>
      <c r="N1087" s="77" t="str">
        <f>IF(Main[[#This Row],[Tech Start Date]]&lt;1/1/1990,"",IF(Main[[#This Row],[Class]]="C",WORKDAY(Main[[#This Row],[Tech Start Date]],19),IF(Main[[#This Row],[Class]]="B", WORKDAY(Main[[#This Row],[Tech Start Date]],12),IF(Main[[#This Row],[Class]]="A",WORKDAY(Main[[#This Row],[Tech Start Date]],4),""))))</f>
        <v/>
      </c>
      <c r="O1087" s="77" t="str">
        <f>IF(Main[[#This Row],[Tech Start Date]]&lt;1/1/1990,"",IF(Main[[#This Row],[Class]]="C",WORKDAY(Main[[#This Row],[Tech Start Date]],23),IF(Main[[#This Row],[Class]]="B", WORKDAY(Main[[#This Row],[Tech Start Date]],15),IF(Main[[#This Row],[Class]]="A",WORKDAY(Main[[#This Row],[Tech Start Date]],5),""))))</f>
        <v/>
      </c>
      <c r="P1087" s="77" t="str">
        <f>IF(Main[[#This Row],[Tech Start Date]]&lt;1/1/1990,"",IF(Main[[#This Row],[Class]]="C",WORKDAY(Main[[#This Row],[Tech Start Date]],28),IF(Main[[#This Row],[Class]]="B", WORKDAY(Main[[#This Row],[Tech Start Date]],19),IF(Main[[#This Row],[Class]]="A",WORKDAY(Main[[#This Row],[Tech Start Date]],9),""))))</f>
        <v/>
      </c>
      <c r="Q1087" s="74">
        <v>40658</v>
      </c>
      <c r="R1087" s="74"/>
      <c r="S1087" s="72" t="s">
        <v>6</v>
      </c>
      <c r="T1087" s="80" t="s">
        <v>4</v>
      </c>
      <c r="U1087" s="72" t="s">
        <v>29</v>
      </c>
      <c r="V1087" s="72" t="s">
        <v>1932</v>
      </c>
      <c r="W1087" s="72" t="s">
        <v>1934</v>
      </c>
      <c r="X1087" s="72" t="s">
        <v>2902</v>
      </c>
      <c r="Y1087" s="72" t="s">
        <v>3016</v>
      </c>
      <c r="Z1087" s="72" t="s">
        <v>535</v>
      </c>
      <c r="AA1087" s="147" t="s">
        <v>2902</v>
      </c>
    </row>
    <row r="1088" spans="1:27" ht="18.600000000000001" customHeight="1">
      <c r="A1088" s="140" t="str">
        <f>IF(priority(Main[[#This Row],[Comments]])&lt;&gt;0, priority(Main[[#This Row],[Comments]]),"")</f>
        <v/>
      </c>
      <c r="B1088" s="90" t="s">
        <v>2473</v>
      </c>
      <c r="C1088" s="72" t="s">
        <v>4</v>
      </c>
      <c r="D1088" s="73" t="s">
        <v>2474</v>
      </c>
      <c r="E1088" s="74"/>
      <c r="F1088" s="74"/>
      <c r="G1088" s="75" t="str">
        <f>IF(stdProdLT(Main[[#This Row],[Comments]])=0.1,"N/A",IF(stdProdLT(Main[[#This Row],[Comments]])=0,"",stdProdLT(Main[[#This Row],[Comments]])))</f>
        <v/>
      </c>
      <c r="H1088" s="76" t="str">
        <f>IF(AND(Main[[#This Row],[In Stock Date]]&lt;&gt;"",Main[[#This Row],[Revised Due Date]]&lt;&gt;""),Main[[#This Row],[In Stock Date]]-Main[[#This Row],[Revised Due Date]],"")</f>
        <v/>
      </c>
      <c r="I1088" s="72" t="s">
        <v>4</v>
      </c>
      <c r="J1088" s="72" t="s">
        <v>4</v>
      </c>
      <c r="K1088" s="72" t="s">
        <v>4</v>
      </c>
      <c r="L1088" s="74"/>
      <c r="M1088" s="77" t="str">
        <f>IF(Main[[#This Row],[Tech Start Date]]&lt;1/1/1990,"",IF(Main[[#This Row],[Class]]="C",WORKDAY(Main[[#This Row],[Tech Start Date]],9),IF(Main[[#This Row],[Class]]="B", WORKDAY(Main[[#This Row],[Tech Start Date]],6),IF(Main[[#This Row],[Class]]="A",WORKDAY(Main[[#This Row],[Tech Start Date]],2),""))))</f>
        <v/>
      </c>
      <c r="N1088" s="77" t="str">
        <f>IF(Main[[#This Row],[Tech Start Date]]&lt;1/1/1990,"",IF(Main[[#This Row],[Class]]="C",WORKDAY(Main[[#This Row],[Tech Start Date]],19),IF(Main[[#This Row],[Class]]="B", WORKDAY(Main[[#This Row],[Tech Start Date]],12),IF(Main[[#This Row],[Class]]="A",WORKDAY(Main[[#This Row],[Tech Start Date]],4),""))))</f>
        <v/>
      </c>
      <c r="O1088" s="77" t="str">
        <f>IF(Main[[#This Row],[Tech Start Date]]&lt;1/1/1990,"",IF(Main[[#This Row],[Class]]="C",WORKDAY(Main[[#This Row],[Tech Start Date]],23),IF(Main[[#This Row],[Class]]="B", WORKDAY(Main[[#This Row],[Tech Start Date]],15),IF(Main[[#This Row],[Class]]="A",WORKDAY(Main[[#This Row],[Tech Start Date]],5),""))))</f>
        <v/>
      </c>
      <c r="P1088" s="77" t="str">
        <f>IF(Main[[#This Row],[Tech Start Date]]&lt;1/1/1990,"",IF(Main[[#This Row],[Class]]="C",WORKDAY(Main[[#This Row],[Tech Start Date]],28),IF(Main[[#This Row],[Class]]="B", WORKDAY(Main[[#This Row],[Tech Start Date]],19),IF(Main[[#This Row],[Class]]="A",WORKDAY(Main[[#This Row],[Tech Start Date]],9),""))))</f>
        <v/>
      </c>
      <c r="Q1088" s="74">
        <v>40877</v>
      </c>
      <c r="R1088" s="74"/>
      <c r="S1088" s="72" t="s">
        <v>6</v>
      </c>
      <c r="T1088" s="80" t="s">
        <v>4</v>
      </c>
      <c r="U1088" s="72" t="s">
        <v>14</v>
      </c>
      <c r="V1088" s="72" t="s">
        <v>1932</v>
      </c>
      <c r="W1088" s="72" t="s">
        <v>1936</v>
      </c>
      <c r="X1088" s="72" t="s">
        <v>2905</v>
      </c>
      <c r="Y1088" s="72" t="s">
        <v>3023</v>
      </c>
      <c r="Z1088" s="72" t="s">
        <v>4</v>
      </c>
      <c r="AA1088" s="147" t="s">
        <v>2905</v>
      </c>
    </row>
    <row r="1089" spans="1:27" ht="18.600000000000001" customHeight="1">
      <c r="A1089" s="140" t="str">
        <f>IF(priority(Main[[#This Row],[Comments]])&lt;&gt;0, priority(Main[[#This Row],[Comments]]),"")</f>
        <v/>
      </c>
      <c r="B1089" s="90" t="s">
        <v>2475</v>
      </c>
      <c r="C1089" s="72" t="s">
        <v>2386</v>
      </c>
      <c r="D1089" s="73" t="s">
        <v>2387</v>
      </c>
      <c r="E1089" s="74"/>
      <c r="F1089" s="74">
        <v>41008</v>
      </c>
      <c r="G1089" s="75" t="str">
        <f>IF(stdProdLT(Main[[#This Row],[Comments]])=0.1,"N/A",IF(stdProdLT(Main[[#This Row],[Comments]])=0,"",stdProdLT(Main[[#This Row],[Comments]])))</f>
        <v/>
      </c>
      <c r="H1089" s="76" t="str">
        <f>IF(AND(Main[[#This Row],[In Stock Date]]&lt;&gt;"",Main[[#This Row],[Revised Due Date]]&lt;&gt;""),Main[[#This Row],[In Stock Date]]-Main[[#This Row],[Revised Due Date]],"")</f>
        <v/>
      </c>
      <c r="I1089" s="72" t="s">
        <v>4</v>
      </c>
      <c r="J1089" s="72" t="s">
        <v>4</v>
      </c>
      <c r="K1089" s="72" t="s">
        <v>4</v>
      </c>
      <c r="L1089" s="74"/>
      <c r="M1089" s="77" t="str">
        <f>IF(Main[[#This Row],[Tech Start Date]]&lt;1/1/1990,"",IF(Main[[#This Row],[Class]]="C",WORKDAY(Main[[#This Row],[Tech Start Date]],9),IF(Main[[#This Row],[Class]]="B", WORKDAY(Main[[#This Row],[Tech Start Date]],6),IF(Main[[#This Row],[Class]]="A",WORKDAY(Main[[#This Row],[Tech Start Date]],2),""))))</f>
        <v/>
      </c>
      <c r="N1089" s="77" t="str">
        <f>IF(Main[[#This Row],[Tech Start Date]]&lt;1/1/1990,"",IF(Main[[#This Row],[Class]]="C",WORKDAY(Main[[#This Row],[Tech Start Date]],19),IF(Main[[#This Row],[Class]]="B", WORKDAY(Main[[#This Row],[Tech Start Date]],12),IF(Main[[#This Row],[Class]]="A",WORKDAY(Main[[#This Row],[Tech Start Date]],4),""))))</f>
        <v/>
      </c>
      <c r="O1089" s="77" t="str">
        <f>IF(Main[[#This Row],[Tech Start Date]]&lt;1/1/1990,"",IF(Main[[#This Row],[Class]]="C",WORKDAY(Main[[#This Row],[Tech Start Date]],23),IF(Main[[#This Row],[Class]]="B", WORKDAY(Main[[#This Row],[Tech Start Date]],15),IF(Main[[#This Row],[Class]]="A",WORKDAY(Main[[#This Row],[Tech Start Date]],5),""))))</f>
        <v/>
      </c>
      <c r="P1089" s="77" t="str">
        <f>IF(Main[[#This Row],[Tech Start Date]]&lt;1/1/1990,"",IF(Main[[#This Row],[Class]]="C",WORKDAY(Main[[#This Row],[Tech Start Date]],28),IF(Main[[#This Row],[Class]]="B", WORKDAY(Main[[#This Row],[Tech Start Date]],19),IF(Main[[#This Row],[Class]]="A",WORKDAY(Main[[#This Row],[Tech Start Date]],9),""))))</f>
        <v/>
      </c>
      <c r="Q1089" s="74">
        <v>40826</v>
      </c>
      <c r="R1089" s="74"/>
      <c r="S1089" s="72" t="s">
        <v>11</v>
      </c>
      <c r="T1089" s="80" t="s">
        <v>4</v>
      </c>
      <c r="U1089" s="72" t="s">
        <v>12</v>
      </c>
      <c r="V1089" s="72" t="s">
        <v>1935</v>
      </c>
      <c r="W1089" s="72" t="s">
        <v>1938</v>
      </c>
      <c r="X1089" s="72" t="s">
        <v>2927</v>
      </c>
      <c r="Y1089" s="72" t="s">
        <v>4</v>
      </c>
      <c r="Z1089" s="72" t="s">
        <v>4</v>
      </c>
      <c r="AA1089" s="147" t="s">
        <v>2927</v>
      </c>
    </row>
    <row r="1090" spans="1:27" ht="18.600000000000001" customHeight="1">
      <c r="A1090" s="140" t="str">
        <f>IF(priority(Main[[#This Row],[Comments]])&lt;&gt;0, priority(Main[[#This Row],[Comments]]),"")</f>
        <v/>
      </c>
      <c r="B1090" s="90" t="s">
        <v>2089</v>
      </c>
      <c r="C1090" s="72" t="s">
        <v>4</v>
      </c>
      <c r="D1090" s="73" t="s">
        <v>2485</v>
      </c>
      <c r="E1090" s="74">
        <v>40772.422800925924</v>
      </c>
      <c r="F1090" s="74"/>
      <c r="G1090" s="75" t="str">
        <f>IF(stdProdLT(Main[[#This Row],[Comments]])=0.1,"N/A",IF(stdProdLT(Main[[#This Row],[Comments]])=0,"",stdProdLT(Main[[#This Row],[Comments]])))</f>
        <v/>
      </c>
      <c r="H1090" s="76" t="str">
        <f>IF(AND(Main[[#This Row],[In Stock Date]]&lt;&gt;"",Main[[#This Row],[Revised Due Date]]&lt;&gt;""),Main[[#This Row],[In Stock Date]]-Main[[#This Row],[Revised Due Date]],"")</f>
        <v/>
      </c>
      <c r="I1090" s="72" t="s">
        <v>923</v>
      </c>
      <c r="J1090" s="72" t="s">
        <v>52</v>
      </c>
      <c r="K1090" s="72" t="s">
        <v>4</v>
      </c>
      <c r="L1090" s="74"/>
      <c r="M1090" s="77" t="str">
        <f>IF(Main[[#This Row],[Tech Start Date]]&lt;1/1/1990,"",IF(Main[[#This Row],[Class]]="C",WORKDAY(Main[[#This Row],[Tech Start Date]],9),IF(Main[[#This Row],[Class]]="B", WORKDAY(Main[[#This Row],[Tech Start Date]],6),IF(Main[[#This Row],[Class]]="A",WORKDAY(Main[[#This Row],[Tech Start Date]],2),""))))</f>
        <v/>
      </c>
      <c r="N1090" s="77" t="str">
        <f>IF(Main[[#This Row],[Tech Start Date]]&lt;1/1/1990,"",IF(Main[[#This Row],[Class]]="C",WORKDAY(Main[[#This Row],[Tech Start Date]],19),IF(Main[[#This Row],[Class]]="B", WORKDAY(Main[[#This Row],[Tech Start Date]],12),IF(Main[[#This Row],[Class]]="A",WORKDAY(Main[[#This Row],[Tech Start Date]],4),""))))</f>
        <v/>
      </c>
      <c r="O1090" s="77" t="str">
        <f>IF(Main[[#This Row],[Tech Start Date]]&lt;1/1/1990,"",IF(Main[[#This Row],[Class]]="C",WORKDAY(Main[[#This Row],[Tech Start Date]],23),IF(Main[[#This Row],[Class]]="B", WORKDAY(Main[[#This Row],[Tech Start Date]],15),IF(Main[[#This Row],[Class]]="A",WORKDAY(Main[[#This Row],[Tech Start Date]],5),""))))</f>
        <v/>
      </c>
      <c r="P1090" s="77" t="str">
        <f>IF(Main[[#This Row],[Tech Start Date]]&lt;1/1/1990,"",IF(Main[[#This Row],[Class]]="C",WORKDAY(Main[[#This Row],[Tech Start Date]],28),IF(Main[[#This Row],[Class]]="B", WORKDAY(Main[[#This Row],[Tech Start Date]],19),IF(Main[[#This Row],[Class]]="A",WORKDAY(Main[[#This Row],[Tech Start Date]],9),""))))</f>
        <v/>
      </c>
      <c r="Q1090" s="74"/>
      <c r="R1090" s="74"/>
      <c r="S1090" s="72" t="s">
        <v>6</v>
      </c>
      <c r="T1090" s="80" t="s">
        <v>4</v>
      </c>
      <c r="U1090" s="72" t="s">
        <v>29</v>
      </c>
      <c r="V1090" s="72" t="s">
        <v>1932</v>
      </c>
      <c r="W1090" s="72" t="s">
        <v>1936</v>
      </c>
      <c r="X1090" s="72" t="s">
        <v>949</v>
      </c>
      <c r="Y1090" s="72" t="s">
        <v>3071</v>
      </c>
      <c r="Z1090" s="72" t="s">
        <v>129</v>
      </c>
      <c r="AA1090" s="147" t="s">
        <v>949</v>
      </c>
    </row>
    <row r="1091" spans="1:27" ht="18.600000000000001" customHeight="1">
      <c r="A1091" s="140" t="str">
        <f>IF(priority(Main[[#This Row],[Comments]])&lt;&gt;0, priority(Main[[#This Row],[Comments]]),"")</f>
        <v/>
      </c>
      <c r="B1091" s="90" t="s">
        <v>2486</v>
      </c>
      <c r="C1091" s="72" t="s">
        <v>4</v>
      </c>
      <c r="D1091" s="73" t="s">
        <v>2487</v>
      </c>
      <c r="E1091" s="74">
        <v>40834.417719907404</v>
      </c>
      <c r="F1091" s="74"/>
      <c r="G1091" s="75" t="str">
        <f>IF(stdProdLT(Main[[#This Row],[Comments]])=0.1,"N/A",IF(stdProdLT(Main[[#This Row],[Comments]])=0,"",stdProdLT(Main[[#This Row],[Comments]])))</f>
        <v/>
      </c>
      <c r="H1091" s="76" t="str">
        <f>IF(AND(Main[[#This Row],[In Stock Date]]&lt;&gt;"",Main[[#This Row],[Revised Due Date]]&lt;&gt;""),Main[[#This Row],[In Stock Date]]-Main[[#This Row],[Revised Due Date]],"")</f>
        <v/>
      </c>
      <c r="I1091" s="72" t="s">
        <v>4</v>
      </c>
      <c r="J1091" s="72" t="s">
        <v>4</v>
      </c>
      <c r="K1091" s="72" t="s">
        <v>4</v>
      </c>
      <c r="L1091" s="74"/>
      <c r="M1091" s="77" t="str">
        <f>IF(Main[[#This Row],[Tech Start Date]]&lt;1/1/1990,"",IF(Main[[#This Row],[Class]]="C",WORKDAY(Main[[#This Row],[Tech Start Date]],9),IF(Main[[#This Row],[Class]]="B", WORKDAY(Main[[#This Row],[Tech Start Date]],6),IF(Main[[#This Row],[Class]]="A",WORKDAY(Main[[#This Row],[Tech Start Date]],2),""))))</f>
        <v/>
      </c>
      <c r="N1091" s="77" t="str">
        <f>IF(Main[[#This Row],[Tech Start Date]]&lt;1/1/1990,"",IF(Main[[#This Row],[Class]]="C",WORKDAY(Main[[#This Row],[Tech Start Date]],19),IF(Main[[#This Row],[Class]]="B", WORKDAY(Main[[#This Row],[Tech Start Date]],12),IF(Main[[#This Row],[Class]]="A",WORKDAY(Main[[#This Row],[Tech Start Date]],4),""))))</f>
        <v/>
      </c>
      <c r="O1091" s="77" t="str">
        <f>IF(Main[[#This Row],[Tech Start Date]]&lt;1/1/1990,"",IF(Main[[#This Row],[Class]]="C",WORKDAY(Main[[#This Row],[Tech Start Date]],23),IF(Main[[#This Row],[Class]]="B", WORKDAY(Main[[#This Row],[Tech Start Date]],15),IF(Main[[#This Row],[Class]]="A",WORKDAY(Main[[#This Row],[Tech Start Date]],5),""))))</f>
        <v/>
      </c>
      <c r="P1091" s="77" t="str">
        <f>IF(Main[[#This Row],[Tech Start Date]]&lt;1/1/1990,"",IF(Main[[#This Row],[Class]]="C",WORKDAY(Main[[#This Row],[Tech Start Date]],28),IF(Main[[#This Row],[Class]]="B", WORKDAY(Main[[#This Row],[Tech Start Date]],19),IF(Main[[#This Row],[Class]]="A",WORKDAY(Main[[#This Row],[Tech Start Date]],9),""))))</f>
        <v/>
      </c>
      <c r="Q1091" s="74"/>
      <c r="R1091" s="74"/>
      <c r="S1091" s="72" t="s">
        <v>6</v>
      </c>
      <c r="T1091" s="80" t="s">
        <v>4</v>
      </c>
      <c r="U1091" s="72" t="s">
        <v>29</v>
      </c>
      <c r="V1091" s="72" t="s">
        <v>1935</v>
      </c>
      <c r="W1091" s="72" t="s">
        <v>1936</v>
      </c>
      <c r="X1091" s="72" t="s">
        <v>310</v>
      </c>
      <c r="Y1091" s="72" t="s">
        <v>4</v>
      </c>
      <c r="Z1091" s="72" t="s">
        <v>4</v>
      </c>
      <c r="AA1091" s="147" t="s">
        <v>4</v>
      </c>
    </row>
    <row r="1092" spans="1:27" ht="18.600000000000001" customHeight="1">
      <c r="A1092" s="140" t="str">
        <f>IF(priority(Main[[#This Row],[Comments]])&lt;&gt;0, priority(Main[[#This Row],[Comments]]),"")</f>
        <v/>
      </c>
      <c r="B1092" s="90" t="s">
        <v>2270</v>
      </c>
      <c r="C1092" s="72" t="s">
        <v>4</v>
      </c>
      <c r="D1092" s="73" t="s">
        <v>2488</v>
      </c>
      <c r="E1092" s="74">
        <v>40798.432673611111</v>
      </c>
      <c r="F1092" s="74"/>
      <c r="G1092" s="75" t="str">
        <f>IF(stdProdLT(Main[[#This Row],[Comments]])=0.1,"N/A",IF(stdProdLT(Main[[#This Row],[Comments]])=0,"",stdProdLT(Main[[#This Row],[Comments]])))</f>
        <v/>
      </c>
      <c r="H1092" s="76" t="str">
        <f>IF(AND(Main[[#This Row],[In Stock Date]]&lt;&gt;"",Main[[#This Row],[Revised Due Date]]&lt;&gt;""),Main[[#This Row],[In Stock Date]]-Main[[#This Row],[Revised Due Date]],"")</f>
        <v/>
      </c>
      <c r="I1092" s="72" t="s">
        <v>923</v>
      </c>
      <c r="J1092" s="72" t="s">
        <v>52</v>
      </c>
      <c r="K1092" s="72" t="s">
        <v>4</v>
      </c>
      <c r="L1092" s="74"/>
      <c r="M1092" s="77" t="str">
        <f>IF(Main[[#This Row],[Tech Start Date]]&lt;1/1/1990,"",IF(Main[[#This Row],[Class]]="C",WORKDAY(Main[[#This Row],[Tech Start Date]],9),IF(Main[[#This Row],[Class]]="B", WORKDAY(Main[[#This Row],[Tech Start Date]],6),IF(Main[[#This Row],[Class]]="A",WORKDAY(Main[[#This Row],[Tech Start Date]],2),""))))</f>
        <v/>
      </c>
      <c r="N1092" s="77" t="str">
        <f>IF(Main[[#This Row],[Tech Start Date]]&lt;1/1/1990,"",IF(Main[[#This Row],[Class]]="C",WORKDAY(Main[[#This Row],[Tech Start Date]],19),IF(Main[[#This Row],[Class]]="B", WORKDAY(Main[[#This Row],[Tech Start Date]],12),IF(Main[[#This Row],[Class]]="A",WORKDAY(Main[[#This Row],[Tech Start Date]],4),""))))</f>
        <v/>
      </c>
      <c r="O1092" s="77" t="str">
        <f>IF(Main[[#This Row],[Tech Start Date]]&lt;1/1/1990,"",IF(Main[[#This Row],[Class]]="C",WORKDAY(Main[[#This Row],[Tech Start Date]],23),IF(Main[[#This Row],[Class]]="B", WORKDAY(Main[[#This Row],[Tech Start Date]],15),IF(Main[[#This Row],[Class]]="A",WORKDAY(Main[[#This Row],[Tech Start Date]],5),""))))</f>
        <v/>
      </c>
      <c r="P1092" s="77" t="str">
        <f>IF(Main[[#This Row],[Tech Start Date]]&lt;1/1/1990,"",IF(Main[[#This Row],[Class]]="C",WORKDAY(Main[[#This Row],[Tech Start Date]],28),IF(Main[[#This Row],[Class]]="B", WORKDAY(Main[[#This Row],[Tech Start Date]],19),IF(Main[[#This Row],[Class]]="A",WORKDAY(Main[[#This Row],[Tech Start Date]],9),""))))</f>
        <v/>
      </c>
      <c r="Q1092" s="74"/>
      <c r="R1092" s="74"/>
      <c r="S1092" s="72" t="s">
        <v>6</v>
      </c>
      <c r="T1092" s="80" t="s">
        <v>4</v>
      </c>
      <c r="U1092" s="72" t="s">
        <v>29</v>
      </c>
      <c r="V1092" s="72" t="s">
        <v>1932</v>
      </c>
      <c r="W1092" s="72" t="s">
        <v>1936</v>
      </c>
      <c r="X1092" s="72" t="s">
        <v>567</v>
      </c>
      <c r="Y1092" s="72" t="s">
        <v>4</v>
      </c>
      <c r="Z1092" s="72" t="s">
        <v>129</v>
      </c>
      <c r="AA1092" s="147" t="s">
        <v>4</v>
      </c>
    </row>
    <row r="1093" spans="1:27" ht="18.600000000000001" customHeight="1">
      <c r="A1093" s="140" t="str">
        <f>IF(priority(Main[[#This Row],[Comments]])&lt;&gt;0, priority(Main[[#This Row],[Comments]]),"")</f>
        <v/>
      </c>
      <c r="B1093" s="90" t="s">
        <v>2489</v>
      </c>
      <c r="C1093" s="72" t="s">
        <v>4</v>
      </c>
      <c r="D1093" s="73" t="s">
        <v>2490</v>
      </c>
      <c r="E1093" s="74">
        <v>40841.609861111108</v>
      </c>
      <c r="F1093" s="74"/>
      <c r="G1093" s="75" t="str">
        <f>IF(stdProdLT(Main[[#This Row],[Comments]])=0.1,"N/A",IF(stdProdLT(Main[[#This Row],[Comments]])=0,"",stdProdLT(Main[[#This Row],[Comments]])))</f>
        <v/>
      </c>
      <c r="H1093" s="76" t="str">
        <f>IF(AND(Main[[#This Row],[In Stock Date]]&lt;&gt;"",Main[[#This Row],[Revised Due Date]]&lt;&gt;""),Main[[#This Row],[In Stock Date]]-Main[[#This Row],[Revised Due Date]],"")</f>
        <v/>
      </c>
      <c r="I1093" s="72" t="s">
        <v>4</v>
      </c>
      <c r="J1093" s="72" t="s">
        <v>4</v>
      </c>
      <c r="K1093" s="72" t="s">
        <v>4</v>
      </c>
      <c r="L1093" s="74"/>
      <c r="M1093" s="77" t="str">
        <f>IF(Main[[#This Row],[Tech Start Date]]&lt;1/1/1990,"",IF(Main[[#This Row],[Class]]="C",WORKDAY(Main[[#This Row],[Tech Start Date]],9),IF(Main[[#This Row],[Class]]="B", WORKDAY(Main[[#This Row],[Tech Start Date]],6),IF(Main[[#This Row],[Class]]="A",WORKDAY(Main[[#This Row],[Tech Start Date]],2),""))))</f>
        <v/>
      </c>
      <c r="N1093" s="77" t="str">
        <f>IF(Main[[#This Row],[Tech Start Date]]&lt;1/1/1990,"",IF(Main[[#This Row],[Class]]="C",WORKDAY(Main[[#This Row],[Tech Start Date]],19),IF(Main[[#This Row],[Class]]="B", WORKDAY(Main[[#This Row],[Tech Start Date]],12),IF(Main[[#This Row],[Class]]="A",WORKDAY(Main[[#This Row],[Tech Start Date]],4),""))))</f>
        <v/>
      </c>
      <c r="O1093" s="77" t="str">
        <f>IF(Main[[#This Row],[Tech Start Date]]&lt;1/1/1990,"",IF(Main[[#This Row],[Class]]="C",WORKDAY(Main[[#This Row],[Tech Start Date]],23),IF(Main[[#This Row],[Class]]="B", WORKDAY(Main[[#This Row],[Tech Start Date]],15),IF(Main[[#This Row],[Class]]="A",WORKDAY(Main[[#This Row],[Tech Start Date]],5),""))))</f>
        <v/>
      </c>
      <c r="P1093" s="77" t="str">
        <f>IF(Main[[#This Row],[Tech Start Date]]&lt;1/1/1990,"",IF(Main[[#This Row],[Class]]="C",WORKDAY(Main[[#This Row],[Tech Start Date]],28),IF(Main[[#This Row],[Class]]="B", WORKDAY(Main[[#This Row],[Tech Start Date]],19),IF(Main[[#This Row],[Class]]="A",WORKDAY(Main[[#This Row],[Tech Start Date]],9),""))))</f>
        <v/>
      </c>
      <c r="Q1093" s="74"/>
      <c r="R1093" s="74"/>
      <c r="S1093" s="72" t="s">
        <v>6</v>
      </c>
      <c r="T1093" s="80" t="s">
        <v>4</v>
      </c>
      <c r="U1093" s="72" t="s">
        <v>7</v>
      </c>
      <c r="V1093" s="72" t="s">
        <v>1932</v>
      </c>
      <c r="W1093" s="72" t="s">
        <v>4</v>
      </c>
      <c r="X1093" s="72" t="s">
        <v>923</v>
      </c>
      <c r="Y1093" s="72" t="s">
        <v>3144</v>
      </c>
      <c r="Z1093" s="72" t="s">
        <v>4</v>
      </c>
      <c r="AA1093" s="147" t="s">
        <v>923</v>
      </c>
    </row>
    <row r="1094" spans="1:27" ht="18.600000000000001" customHeight="1">
      <c r="A1094" s="140" t="str">
        <f>IF(priority(Main[[#This Row],[Comments]])&lt;&gt;0, priority(Main[[#This Row],[Comments]]),"")</f>
        <v/>
      </c>
      <c r="B1094" s="90" t="s">
        <v>1653</v>
      </c>
      <c r="C1094" s="72" t="s">
        <v>4</v>
      </c>
      <c r="D1094" s="73" t="s">
        <v>717</v>
      </c>
      <c r="E1094" s="74">
        <v>40634.328217592592</v>
      </c>
      <c r="F1094" s="74"/>
      <c r="G1094" s="75" t="str">
        <f>IF(stdProdLT(Main[[#This Row],[Comments]])=0.1,"N/A",IF(stdProdLT(Main[[#This Row],[Comments]])=0,"",stdProdLT(Main[[#This Row],[Comments]])))</f>
        <v/>
      </c>
      <c r="H1094" s="76" t="str">
        <f>IF(AND(Main[[#This Row],[In Stock Date]]&lt;&gt;"",Main[[#This Row],[Revised Due Date]]&lt;&gt;""),Main[[#This Row],[In Stock Date]]-Main[[#This Row],[Revised Due Date]],"")</f>
        <v/>
      </c>
      <c r="I1094" s="72" t="s">
        <v>923</v>
      </c>
      <c r="J1094" s="72" t="s">
        <v>4</v>
      </c>
      <c r="K1094" s="72" t="s">
        <v>4</v>
      </c>
      <c r="L1094" s="74"/>
      <c r="M1094" s="77" t="str">
        <f>IF(Main[[#This Row],[Tech Start Date]]&lt;1/1/1990,"",IF(Main[[#This Row],[Class]]="C",WORKDAY(Main[[#This Row],[Tech Start Date]],9),IF(Main[[#This Row],[Class]]="B", WORKDAY(Main[[#This Row],[Tech Start Date]],6),IF(Main[[#This Row],[Class]]="A",WORKDAY(Main[[#This Row],[Tech Start Date]],2),""))))</f>
        <v/>
      </c>
      <c r="N1094" s="77" t="str">
        <f>IF(Main[[#This Row],[Tech Start Date]]&lt;1/1/1990,"",IF(Main[[#This Row],[Class]]="C",WORKDAY(Main[[#This Row],[Tech Start Date]],19),IF(Main[[#This Row],[Class]]="B", WORKDAY(Main[[#This Row],[Tech Start Date]],12),IF(Main[[#This Row],[Class]]="A",WORKDAY(Main[[#This Row],[Tech Start Date]],4),""))))</f>
        <v/>
      </c>
      <c r="O1094" s="77" t="str">
        <f>IF(Main[[#This Row],[Tech Start Date]]&lt;1/1/1990,"",IF(Main[[#This Row],[Class]]="C",WORKDAY(Main[[#This Row],[Tech Start Date]],23),IF(Main[[#This Row],[Class]]="B", WORKDAY(Main[[#This Row],[Tech Start Date]],15),IF(Main[[#This Row],[Class]]="A",WORKDAY(Main[[#This Row],[Tech Start Date]],5),""))))</f>
        <v/>
      </c>
      <c r="P1094" s="77" t="str">
        <f>IF(Main[[#This Row],[Tech Start Date]]&lt;1/1/1990,"",IF(Main[[#This Row],[Class]]="C",WORKDAY(Main[[#This Row],[Tech Start Date]],28),IF(Main[[#This Row],[Class]]="B", WORKDAY(Main[[#This Row],[Tech Start Date]],19),IF(Main[[#This Row],[Class]]="A",WORKDAY(Main[[#This Row],[Tech Start Date]],9),""))))</f>
        <v/>
      </c>
      <c r="Q1094" s="74"/>
      <c r="R1094" s="74"/>
      <c r="S1094" s="72" t="s">
        <v>6</v>
      </c>
      <c r="T1094" s="80" t="s">
        <v>4</v>
      </c>
      <c r="U1094" s="72" t="s">
        <v>7</v>
      </c>
      <c r="V1094" s="72" t="s">
        <v>1932</v>
      </c>
      <c r="W1094" s="72" t="s">
        <v>1936</v>
      </c>
      <c r="X1094" s="72" t="s">
        <v>403</v>
      </c>
      <c r="Y1094" s="72" t="s">
        <v>4</v>
      </c>
      <c r="Z1094" s="72" t="s">
        <v>4</v>
      </c>
      <c r="AA1094" s="147" t="s">
        <v>3643</v>
      </c>
    </row>
    <row r="1095" spans="1:27" ht="18.600000000000001" customHeight="1">
      <c r="A1095" s="140" t="str">
        <f>IF(priority(Main[[#This Row],[Comments]])&lt;&gt;0, priority(Main[[#This Row],[Comments]]),"")</f>
        <v/>
      </c>
      <c r="B1095" s="90" t="s">
        <v>1853</v>
      </c>
      <c r="C1095" s="72" t="s">
        <v>4</v>
      </c>
      <c r="D1095" s="73" t="s">
        <v>901</v>
      </c>
      <c r="E1095" s="74">
        <v>40351.730219907404</v>
      </c>
      <c r="F1095" s="74"/>
      <c r="G1095" s="75" t="str">
        <f>IF(stdProdLT(Main[[#This Row],[Comments]])=0.1,"N/A",IF(stdProdLT(Main[[#This Row],[Comments]])=0,"",stdProdLT(Main[[#This Row],[Comments]])))</f>
        <v/>
      </c>
      <c r="H1095" s="76" t="str">
        <f>IF(AND(Main[[#This Row],[In Stock Date]]&lt;&gt;"",Main[[#This Row],[Revised Due Date]]&lt;&gt;""),Main[[#This Row],[In Stock Date]]-Main[[#This Row],[Revised Due Date]],"")</f>
        <v/>
      </c>
      <c r="I1095" s="72" t="s">
        <v>2075</v>
      </c>
      <c r="J1095" s="72" t="s">
        <v>28</v>
      </c>
      <c r="K1095" s="72" t="s">
        <v>1944</v>
      </c>
      <c r="L1095" s="74"/>
      <c r="M1095" s="77" t="str">
        <f>IF(Main[[#This Row],[Tech Start Date]]&lt;1/1/1990,"",IF(Main[[#This Row],[Class]]="C",WORKDAY(Main[[#This Row],[Tech Start Date]],9),IF(Main[[#This Row],[Class]]="B", WORKDAY(Main[[#This Row],[Tech Start Date]],6),IF(Main[[#This Row],[Class]]="A",WORKDAY(Main[[#This Row],[Tech Start Date]],2),""))))</f>
        <v/>
      </c>
      <c r="N1095" s="77" t="str">
        <f>IF(Main[[#This Row],[Tech Start Date]]&lt;1/1/1990,"",IF(Main[[#This Row],[Class]]="C",WORKDAY(Main[[#This Row],[Tech Start Date]],19),IF(Main[[#This Row],[Class]]="B", WORKDAY(Main[[#This Row],[Tech Start Date]],12),IF(Main[[#This Row],[Class]]="A",WORKDAY(Main[[#This Row],[Tech Start Date]],4),""))))</f>
        <v/>
      </c>
      <c r="O1095" s="77" t="str">
        <f>IF(Main[[#This Row],[Tech Start Date]]&lt;1/1/1990,"",IF(Main[[#This Row],[Class]]="C",WORKDAY(Main[[#This Row],[Tech Start Date]],23),IF(Main[[#This Row],[Class]]="B", WORKDAY(Main[[#This Row],[Tech Start Date]],15),IF(Main[[#This Row],[Class]]="A",WORKDAY(Main[[#This Row],[Tech Start Date]],5),""))))</f>
        <v/>
      </c>
      <c r="P1095" s="77" t="str">
        <f>IF(Main[[#This Row],[Tech Start Date]]&lt;1/1/1990,"",IF(Main[[#This Row],[Class]]="C",WORKDAY(Main[[#This Row],[Tech Start Date]],28),IF(Main[[#This Row],[Class]]="B", WORKDAY(Main[[#This Row],[Tech Start Date]],19),IF(Main[[#This Row],[Class]]="A",WORKDAY(Main[[#This Row],[Tech Start Date]],9),""))))</f>
        <v/>
      </c>
      <c r="Q1095" s="74">
        <v>40906</v>
      </c>
      <c r="R1095" s="74">
        <v>40436</v>
      </c>
      <c r="S1095" s="72" t="s">
        <v>17</v>
      </c>
      <c r="T1095" s="80" t="s">
        <v>4</v>
      </c>
      <c r="U1095" s="72" t="s">
        <v>29</v>
      </c>
      <c r="V1095" s="72" t="s">
        <v>1933</v>
      </c>
      <c r="W1095" s="72" t="s">
        <v>1937</v>
      </c>
      <c r="X1095" s="72" t="s">
        <v>2946</v>
      </c>
      <c r="Y1095" s="72" t="s">
        <v>3093</v>
      </c>
      <c r="Z1095" s="72" t="s">
        <v>108</v>
      </c>
      <c r="AA1095" s="147" t="s">
        <v>2946</v>
      </c>
    </row>
    <row r="1096" spans="1:27" ht="18.600000000000001" customHeight="1">
      <c r="A1096" s="140" t="str">
        <f>IF(priority(Main[[#This Row],[Comments]])&lt;&gt;0, priority(Main[[#This Row],[Comments]]),"")</f>
        <v/>
      </c>
      <c r="B1096" s="90" t="s">
        <v>2437</v>
      </c>
      <c r="C1096" s="72" t="s">
        <v>4</v>
      </c>
      <c r="D1096" s="73" t="s">
        <v>2438</v>
      </c>
      <c r="E1096" s="74">
        <v>40820.81591435185</v>
      </c>
      <c r="F1096" s="74"/>
      <c r="G1096" s="75" t="str">
        <f>IF(stdProdLT(Main[[#This Row],[Comments]])=0.1,"N/A",IF(stdProdLT(Main[[#This Row],[Comments]])=0,"",stdProdLT(Main[[#This Row],[Comments]])))</f>
        <v/>
      </c>
      <c r="H1096" s="76" t="str">
        <f>IF(AND(Main[[#This Row],[In Stock Date]]&lt;&gt;"",Main[[#This Row],[Revised Due Date]]&lt;&gt;""),Main[[#This Row],[In Stock Date]]-Main[[#This Row],[Revised Due Date]],"")</f>
        <v/>
      </c>
      <c r="I1096" s="72" t="s">
        <v>242</v>
      </c>
      <c r="J1096" s="72" t="s">
        <v>28</v>
      </c>
      <c r="K1096" s="72" t="s">
        <v>1941</v>
      </c>
      <c r="L1096" s="74"/>
      <c r="M1096" s="77" t="str">
        <f>IF(Main[[#This Row],[Tech Start Date]]&lt;1/1/1990,"",IF(Main[[#This Row],[Class]]="C",WORKDAY(Main[[#This Row],[Tech Start Date]],9),IF(Main[[#This Row],[Class]]="B", WORKDAY(Main[[#This Row],[Tech Start Date]],6),IF(Main[[#This Row],[Class]]="A",WORKDAY(Main[[#This Row],[Tech Start Date]],2),""))))</f>
        <v/>
      </c>
      <c r="N1096" s="77" t="str">
        <f>IF(Main[[#This Row],[Tech Start Date]]&lt;1/1/1990,"",IF(Main[[#This Row],[Class]]="C",WORKDAY(Main[[#This Row],[Tech Start Date]],19),IF(Main[[#This Row],[Class]]="B", WORKDAY(Main[[#This Row],[Tech Start Date]],12),IF(Main[[#This Row],[Class]]="A",WORKDAY(Main[[#This Row],[Tech Start Date]],4),""))))</f>
        <v/>
      </c>
      <c r="O1096" s="77" t="str">
        <f>IF(Main[[#This Row],[Tech Start Date]]&lt;1/1/1990,"",IF(Main[[#This Row],[Class]]="C",WORKDAY(Main[[#This Row],[Tech Start Date]],23),IF(Main[[#This Row],[Class]]="B", WORKDAY(Main[[#This Row],[Tech Start Date]],15),IF(Main[[#This Row],[Class]]="A",WORKDAY(Main[[#This Row],[Tech Start Date]],5),""))))</f>
        <v/>
      </c>
      <c r="P1096" s="77" t="str">
        <f>IF(Main[[#This Row],[Tech Start Date]]&lt;1/1/1990,"",IF(Main[[#This Row],[Class]]="C",WORKDAY(Main[[#This Row],[Tech Start Date]],28),IF(Main[[#This Row],[Class]]="B", WORKDAY(Main[[#This Row],[Tech Start Date]],19),IF(Main[[#This Row],[Class]]="A",WORKDAY(Main[[#This Row],[Tech Start Date]],9),""))))</f>
        <v/>
      </c>
      <c r="Q1096" s="74">
        <v>40847</v>
      </c>
      <c r="R1096" s="74"/>
      <c r="S1096" s="72" t="s">
        <v>6</v>
      </c>
      <c r="T1096" s="80" t="s">
        <v>4</v>
      </c>
      <c r="U1096" s="72" t="s">
        <v>29</v>
      </c>
      <c r="V1096" s="72" t="s">
        <v>1935</v>
      </c>
      <c r="W1096" s="72" t="s">
        <v>1936</v>
      </c>
      <c r="X1096" s="72" t="s">
        <v>30</v>
      </c>
      <c r="Y1096" s="72" t="s">
        <v>3027</v>
      </c>
      <c r="Z1096" s="72" t="s">
        <v>30</v>
      </c>
      <c r="AA1096" s="147" t="s">
        <v>30</v>
      </c>
    </row>
    <row r="1097" spans="1:27" ht="18.600000000000001" customHeight="1">
      <c r="A1097" s="140" t="str">
        <f>IF(priority(Main[[#This Row],[Comments]])&lt;&gt;0, priority(Main[[#This Row],[Comments]]),"")</f>
        <v/>
      </c>
      <c r="B1097" s="90" t="s">
        <v>2318</v>
      </c>
      <c r="C1097" s="72" t="s">
        <v>67</v>
      </c>
      <c r="D1097" s="73" t="s">
        <v>2314</v>
      </c>
      <c r="E1097" s="74">
        <v>40813.66920138889</v>
      </c>
      <c r="F1097" s="74">
        <v>41075</v>
      </c>
      <c r="G1097" s="75" t="str">
        <f>IF(stdProdLT(Main[[#This Row],[Comments]])=0.1,"N/A",IF(stdProdLT(Main[[#This Row],[Comments]])=0,"",stdProdLT(Main[[#This Row],[Comments]])))</f>
        <v/>
      </c>
      <c r="H1097" s="76" t="str">
        <f>IF(AND(Main[[#This Row],[In Stock Date]]&lt;&gt;"",Main[[#This Row],[Revised Due Date]]&lt;&gt;""),Main[[#This Row],[In Stock Date]]-Main[[#This Row],[Revised Due Date]],"")</f>
        <v/>
      </c>
      <c r="I1097" s="72" t="s">
        <v>242</v>
      </c>
      <c r="J1097" s="72" t="s">
        <v>28</v>
      </c>
      <c r="K1097" s="72" t="s">
        <v>1944</v>
      </c>
      <c r="L1097" s="74"/>
      <c r="M1097" s="77" t="str">
        <f>IF(Main[[#This Row],[Tech Start Date]]&lt;1/1/1990,"",IF(Main[[#This Row],[Class]]="C",WORKDAY(Main[[#This Row],[Tech Start Date]],9),IF(Main[[#This Row],[Class]]="B", WORKDAY(Main[[#This Row],[Tech Start Date]],6),IF(Main[[#This Row],[Class]]="A",WORKDAY(Main[[#This Row],[Tech Start Date]],2),""))))</f>
        <v/>
      </c>
      <c r="N1097" s="77" t="str">
        <f>IF(Main[[#This Row],[Tech Start Date]]&lt;1/1/1990,"",IF(Main[[#This Row],[Class]]="C",WORKDAY(Main[[#This Row],[Tech Start Date]],19),IF(Main[[#This Row],[Class]]="B", WORKDAY(Main[[#This Row],[Tech Start Date]],12),IF(Main[[#This Row],[Class]]="A",WORKDAY(Main[[#This Row],[Tech Start Date]],4),""))))</f>
        <v/>
      </c>
      <c r="O1097" s="77" t="str">
        <f>IF(Main[[#This Row],[Tech Start Date]]&lt;1/1/1990,"",IF(Main[[#This Row],[Class]]="C",WORKDAY(Main[[#This Row],[Tech Start Date]],23),IF(Main[[#This Row],[Class]]="B", WORKDAY(Main[[#This Row],[Tech Start Date]],15),IF(Main[[#This Row],[Class]]="A",WORKDAY(Main[[#This Row],[Tech Start Date]],5),""))))</f>
        <v/>
      </c>
      <c r="P1097" s="77" t="str">
        <f>IF(Main[[#This Row],[Tech Start Date]]&lt;1/1/1990,"",IF(Main[[#This Row],[Class]]="C",WORKDAY(Main[[#This Row],[Tech Start Date]],28),IF(Main[[#This Row],[Class]]="B", WORKDAY(Main[[#This Row],[Tech Start Date]],19),IF(Main[[#This Row],[Class]]="A",WORKDAY(Main[[#This Row],[Tech Start Date]],9),""))))</f>
        <v/>
      </c>
      <c r="Q1097" s="74">
        <v>41258</v>
      </c>
      <c r="R1097" s="74"/>
      <c r="S1097" s="72" t="s">
        <v>17</v>
      </c>
      <c r="T1097" s="80" t="s">
        <v>4</v>
      </c>
      <c r="U1097" s="72" t="s">
        <v>29</v>
      </c>
      <c r="V1097" s="72" t="s">
        <v>1942</v>
      </c>
      <c r="W1097" s="72" t="s">
        <v>1943</v>
      </c>
      <c r="X1097" s="72" t="s">
        <v>559</v>
      </c>
      <c r="Y1097" s="72" t="s">
        <v>3039</v>
      </c>
      <c r="Z1097" s="72" t="s">
        <v>242</v>
      </c>
      <c r="AA1097" s="147" t="s">
        <v>559</v>
      </c>
    </row>
    <row r="1098" spans="1:27" ht="18.600000000000001" customHeight="1">
      <c r="A1098" s="140" t="str">
        <f>IF(priority(Main[[#This Row],[Comments]])&lt;&gt;0, priority(Main[[#This Row],[Comments]]),"")</f>
        <v/>
      </c>
      <c r="B1098" s="90" t="s">
        <v>2185</v>
      </c>
      <c r="C1098" s="72" t="s">
        <v>2186</v>
      </c>
      <c r="D1098" s="73" t="s">
        <v>2371</v>
      </c>
      <c r="E1098" s="74">
        <v>40781.400787037041</v>
      </c>
      <c r="F1098" s="74"/>
      <c r="G1098" s="75" t="str">
        <f>IF(stdProdLT(Main[[#This Row],[Comments]])=0.1,"N/A",IF(stdProdLT(Main[[#This Row],[Comments]])=0,"",stdProdLT(Main[[#This Row],[Comments]])))</f>
        <v/>
      </c>
      <c r="H1098" s="76" t="str">
        <f>IF(AND(Main[[#This Row],[In Stock Date]]&lt;&gt;"",Main[[#This Row],[Revised Due Date]]&lt;&gt;""),Main[[#This Row],[In Stock Date]]-Main[[#This Row],[Revised Due Date]],"")</f>
        <v/>
      </c>
      <c r="I1098" s="72" t="s">
        <v>4</v>
      </c>
      <c r="J1098" s="72" t="s">
        <v>28</v>
      </c>
      <c r="K1098" s="72" t="s">
        <v>1941</v>
      </c>
      <c r="L1098" s="74"/>
      <c r="M1098" s="77" t="str">
        <f>IF(Main[[#This Row],[Tech Start Date]]&lt;1/1/1990,"",IF(Main[[#This Row],[Class]]="C",WORKDAY(Main[[#This Row],[Tech Start Date]],9),IF(Main[[#This Row],[Class]]="B", WORKDAY(Main[[#This Row],[Tech Start Date]],6),IF(Main[[#This Row],[Class]]="A",WORKDAY(Main[[#This Row],[Tech Start Date]],2),""))))</f>
        <v/>
      </c>
      <c r="N1098" s="77" t="str">
        <f>IF(Main[[#This Row],[Tech Start Date]]&lt;1/1/1990,"",IF(Main[[#This Row],[Class]]="C",WORKDAY(Main[[#This Row],[Tech Start Date]],19),IF(Main[[#This Row],[Class]]="B", WORKDAY(Main[[#This Row],[Tech Start Date]],12),IF(Main[[#This Row],[Class]]="A",WORKDAY(Main[[#This Row],[Tech Start Date]],4),""))))</f>
        <v/>
      </c>
      <c r="O1098" s="77" t="str">
        <f>IF(Main[[#This Row],[Tech Start Date]]&lt;1/1/1990,"",IF(Main[[#This Row],[Class]]="C",WORKDAY(Main[[#This Row],[Tech Start Date]],23),IF(Main[[#This Row],[Class]]="B", WORKDAY(Main[[#This Row],[Tech Start Date]],15),IF(Main[[#This Row],[Class]]="A",WORKDAY(Main[[#This Row],[Tech Start Date]],5),""))))</f>
        <v/>
      </c>
      <c r="P1098" s="77" t="str">
        <f>IF(Main[[#This Row],[Tech Start Date]]&lt;1/1/1990,"",IF(Main[[#This Row],[Class]]="C",WORKDAY(Main[[#This Row],[Tech Start Date]],28),IF(Main[[#This Row],[Class]]="B", WORKDAY(Main[[#This Row],[Tech Start Date]],19),IF(Main[[#This Row],[Class]]="A",WORKDAY(Main[[#This Row],[Tech Start Date]],9),""))))</f>
        <v/>
      </c>
      <c r="Q1098" s="74">
        <v>40836</v>
      </c>
      <c r="R1098" s="74"/>
      <c r="S1098" s="72" t="s">
        <v>6</v>
      </c>
      <c r="T1098" s="80" t="s">
        <v>4</v>
      </c>
      <c r="U1098" s="72" t="s">
        <v>29</v>
      </c>
      <c r="V1098" s="72" t="s">
        <v>1935</v>
      </c>
      <c r="W1098" s="72" t="s">
        <v>1936</v>
      </c>
      <c r="X1098" s="72" t="s">
        <v>2920</v>
      </c>
      <c r="Y1098" s="72" t="s">
        <v>3052</v>
      </c>
      <c r="Z1098" s="72" t="s">
        <v>30</v>
      </c>
      <c r="AA1098" s="147" t="s">
        <v>2920</v>
      </c>
    </row>
    <row r="1099" spans="1:27" ht="18.600000000000001" customHeight="1">
      <c r="A1099" s="140" t="str">
        <f>IF(priority(Main[[#This Row],[Comments]])&lt;&gt;0, priority(Main[[#This Row],[Comments]]),"")</f>
        <v/>
      </c>
      <c r="B1099" s="90" t="s">
        <v>2810</v>
      </c>
      <c r="C1099" s="72" t="s">
        <v>4</v>
      </c>
      <c r="D1099" s="73" t="s">
        <v>2811</v>
      </c>
      <c r="E1099" s="74">
        <v>40883.642361111109</v>
      </c>
      <c r="F1099" s="74"/>
      <c r="G1099" s="75" t="str">
        <f>IF(stdProdLT(Main[[#This Row],[Comments]])=0.1,"N/A",IF(stdProdLT(Main[[#This Row],[Comments]])=0,"",stdProdLT(Main[[#This Row],[Comments]])))</f>
        <v/>
      </c>
      <c r="H1099" s="76" t="str">
        <f>IF(AND(Main[[#This Row],[In Stock Date]]&lt;&gt;"",Main[[#This Row],[Revised Due Date]]&lt;&gt;""),Main[[#This Row],[In Stock Date]]-Main[[#This Row],[Revised Due Date]],"")</f>
        <v/>
      </c>
      <c r="I1099" s="72" t="s">
        <v>74</v>
      </c>
      <c r="J1099" s="72" t="s">
        <v>4</v>
      </c>
      <c r="K1099" s="72" t="s">
        <v>1944</v>
      </c>
      <c r="L1099" s="74"/>
      <c r="M1099" s="77" t="str">
        <f>IF(Main[[#This Row],[Tech Start Date]]&lt;1/1/1990,"",IF(Main[[#This Row],[Class]]="C",WORKDAY(Main[[#This Row],[Tech Start Date]],9),IF(Main[[#This Row],[Class]]="B", WORKDAY(Main[[#This Row],[Tech Start Date]],6),IF(Main[[#This Row],[Class]]="A",WORKDAY(Main[[#This Row],[Tech Start Date]],2),""))))</f>
        <v/>
      </c>
      <c r="N1099" s="77" t="str">
        <f>IF(Main[[#This Row],[Tech Start Date]]&lt;1/1/1990,"",IF(Main[[#This Row],[Class]]="C",WORKDAY(Main[[#This Row],[Tech Start Date]],19),IF(Main[[#This Row],[Class]]="B", WORKDAY(Main[[#This Row],[Tech Start Date]],12),IF(Main[[#This Row],[Class]]="A",WORKDAY(Main[[#This Row],[Tech Start Date]],4),""))))</f>
        <v/>
      </c>
      <c r="O1099" s="77" t="str">
        <f>IF(Main[[#This Row],[Tech Start Date]]&lt;1/1/1990,"",IF(Main[[#This Row],[Class]]="C",WORKDAY(Main[[#This Row],[Tech Start Date]],23),IF(Main[[#This Row],[Class]]="B", WORKDAY(Main[[#This Row],[Tech Start Date]],15),IF(Main[[#This Row],[Class]]="A",WORKDAY(Main[[#This Row],[Tech Start Date]],5),""))))</f>
        <v/>
      </c>
      <c r="P1099" s="77" t="str">
        <f>IF(Main[[#This Row],[Tech Start Date]]&lt;1/1/1990,"",IF(Main[[#This Row],[Class]]="C",WORKDAY(Main[[#This Row],[Tech Start Date]],28),IF(Main[[#This Row],[Class]]="B", WORKDAY(Main[[#This Row],[Tech Start Date]],19),IF(Main[[#This Row],[Class]]="A",WORKDAY(Main[[#This Row],[Tech Start Date]],9),""))))</f>
        <v/>
      </c>
      <c r="Q1099" s="74"/>
      <c r="R1099" s="74"/>
      <c r="S1099" s="72" t="s">
        <v>17</v>
      </c>
      <c r="T1099" s="80" t="s">
        <v>4</v>
      </c>
      <c r="U1099" s="72" t="s">
        <v>29</v>
      </c>
      <c r="V1099" s="72" t="s">
        <v>1935</v>
      </c>
      <c r="W1099" s="72" t="s">
        <v>1937</v>
      </c>
      <c r="X1099" s="72" t="s">
        <v>420</v>
      </c>
      <c r="Y1099" s="72" t="s">
        <v>3062</v>
      </c>
      <c r="Z1099" s="72" t="s">
        <v>420</v>
      </c>
      <c r="AA1099" s="147" t="s">
        <v>420</v>
      </c>
    </row>
    <row r="1100" spans="1:27" ht="18.600000000000001" customHeight="1">
      <c r="A1100" s="140" t="str">
        <f>IF(priority(Main[[#This Row],[Comments]])&lt;&gt;0, priority(Main[[#This Row],[Comments]]),"")</f>
        <v/>
      </c>
      <c r="B1100" s="90" t="s">
        <v>2542</v>
      </c>
      <c r="C1100" s="72" t="s">
        <v>4</v>
      </c>
      <c r="D1100" s="73" t="s">
        <v>2543</v>
      </c>
      <c r="E1100" s="74">
        <v>40849.455775462964</v>
      </c>
      <c r="F1100" s="74"/>
      <c r="G1100" s="75" t="str">
        <f>IF(stdProdLT(Main[[#This Row],[Comments]])=0.1,"N/A",IF(stdProdLT(Main[[#This Row],[Comments]])=0,"",stdProdLT(Main[[#This Row],[Comments]])))</f>
        <v/>
      </c>
      <c r="H1100" s="76" t="str">
        <f>IF(AND(Main[[#This Row],[In Stock Date]]&lt;&gt;"",Main[[#This Row],[Revised Due Date]]&lt;&gt;""),Main[[#This Row],[In Stock Date]]-Main[[#This Row],[Revised Due Date]],"")</f>
        <v/>
      </c>
      <c r="I1100" s="72" t="s">
        <v>69</v>
      </c>
      <c r="J1100" s="72" t="s">
        <v>70</v>
      </c>
      <c r="K1100" s="72" t="s">
        <v>1941</v>
      </c>
      <c r="L1100" s="74"/>
      <c r="M1100" s="77" t="str">
        <f>IF(Main[[#This Row],[Tech Start Date]]&lt;1/1/1990,"",IF(Main[[#This Row],[Class]]="C",WORKDAY(Main[[#This Row],[Tech Start Date]],9),IF(Main[[#This Row],[Class]]="B", WORKDAY(Main[[#This Row],[Tech Start Date]],6),IF(Main[[#This Row],[Class]]="A",WORKDAY(Main[[#This Row],[Tech Start Date]],2),""))))</f>
        <v/>
      </c>
      <c r="N1100" s="77" t="str">
        <f>IF(Main[[#This Row],[Tech Start Date]]&lt;1/1/1990,"",IF(Main[[#This Row],[Class]]="C",WORKDAY(Main[[#This Row],[Tech Start Date]],19),IF(Main[[#This Row],[Class]]="B", WORKDAY(Main[[#This Row],[Tech Start Date]],12),IF(Main[[#This Row],[Class]]="A",WORKDAY(Main[[#This Row],[Tech Start Date]],4),""))))</f>
        <v/>
      </c>
      <c r="O1100" s="77" t="str">
        <f>IF(Main[[#This Row],[Tech Start Date]]&lt;1/1/1990,"",IF(Main[[#This Row],[Class]]="C",WORKDAY(Main[[#This Row],[Tech Start Date]],23),IF(Main[[#This Row],[Class]]="B", WORKDAY(Main[[#This Row],[Tech Start Date]],15),IF(Main[[#This Row],[Class]]="A",WORKDAY(Main[[#This Row],[Tech Start Date]],5),""))))</f>
        <v/>
      </c>
      <c r="P1100" s="77" t="str">
        <f>IF(Main[[#This Row],[Tech Start Date]]&lt;1/1/1990,"",IF(Main[[#This Row],[Class]]="C",WORKDAY(Main[[#This Row],[Tech Start Date]],28),IF(Main[[#This Row],[Class]]="B", WORKDAY(Main[[#This Row],[Tech Start Date]],19),IF(Main[[#This Row],[Class]]="A",WORKDAY(Main[[#This Row],[Tech Start Date]],9),""))))</f>
        <v/>
      </c>
      <c r="Q1100" s="74">
        <v>40879</v>
      </c>
      <c r="R1100" s="74"/>
      <c r="S1100" s="72" t="s">
        <v>6</v>
      </c>
      <c r="T1100" s="80" t="s">
        <v>4</v>
      </c>
      <c r="U1100" s="72" t="s">
        <v>29</v>
      </c>
      <c r="V1100" s="72" t="s">
        <v>1935</v>
      </c>
      <c r="W1100" s="72" t="s">
        <v>1936</v>
      </c>
      <c r="X1100" s="72" t="s">
        <v>2987</v>
      </c>
      <c r="Y1100" s="72" t="s">
        <v>3170</v>
      </c>
      <c r="Z1100" s="72" t="s">
        <v>30</v>
      </c>
      <c r="AA1100" s="147" t="s">
        <v>2987</v>
      </c>
    </row>
    <row r="1101" spans="1:27" ht="18.600000000000001" customHeight="1">
      <c r="A1101" s="140" t="str">
        <f>IF(priority(Main[[#This Row],[Comments]])&lt;&gt;0, priority(Main[[#This Row],[Comments]]),"")</f>
        <v/>
      </c>
      <c r="B1101" s="90" t="s">
        <v>3329</v>
      </c>
      <c r="C1101" s="72" t="s">
        <v>4</v>
      </c>
      <c r="D1101" s="73" t="s">
        <v>3330</v>
      </c>
      <c r="E1101" s="74">
        <v>40924.459930555553</v>
      </c>
      <c r="F1101" s="74"/>
      <c r="G1101" s="75" t="str">
        <f>IF(stdProdLT(Main[[#This Row],[Comments]])=0.1,"N/A",IF(stdProdLT(Main[[#This Row],[Comments]])=0,"",stdProdLT(Main[[#This Row],[Comments]])))</f>
        <v/>
      </c>
      <c r="H1101" s="76" t="str">
        <f>IF(AND(Main[[#This Row],[In Stock Date]]&lt;&gt;"",Main[[#This Row],[Revised Due Date]]&lt;&gt;""),Main[[#This Row],[In Stock Date]]-Main[[#This Row],[Revised Due Date]],"")</f>
        <v/>
      </c>
      <c r="I1101" s="72" t="s">
        <v>4</v>
      </c>
      <c r="J1101" s="72" t="s">
        <v>28</v>
      </c>
      <c r="K1101" s="72" t="s">
        <v>4</v>
      </c>
      <c r="L1101" s="74"/>
      <c r="M1101" s="77" t="str">
        <f>IF(Main[[#This Row],[Tech Start Date]]&lt;1/1/1990,"",IF(Main[[#This Row],[Class]]="C",WORKDAY(Main[[#This Row],[Tech Start Date]],9),IF(Main[[#This Row],[Class]]="B", WORKDAY(Main[[#This Row],[Tech Start Date]],6),IF(Main[[#This Row],[Class]]="A",WORKDAY(Main[[#This Row],[Tech Start Date]],2),""))))</f>
        <v/>
      </c>
      <c r="N1101" s="77" t="str">
        <f>IF(Main[[#This Row],[Tech Start Date]]&lt;1/1/1990,"",IF(Main[[#This Row],[Class]]="C",WORKDAY(Main[[#This Row],[Tech Start Date]],19),IF(Main[[#This Row],[Class]]="B", WORKDAY(Main[[#This Row],[Tech Start Date]],12),IF(Main[[#This Row],[Class]]="A",WORKDAY(Main[[#This Row],[Tech Start Date]],4),""))))</f>
        <v/>
      </c>
      <c r="O1101" s="77" t="str">
        <f>IF(Main[[#This Row],[Tech Start Date]]&lt;1/1/1990,"",IF(Main[[#This Row],[Class]]="C",WORKDAY(Main[[#This Row],[Tech Start Date]],23),IF(Main[[#This Row],[Class]]="B", WORKDAY(Main[[#This Row],[Tech Start Date]],15),IF(Main[[#This Row],[Class]]="A",WORKDAY(Main[[#This Row],[Tech Start Date]],5),""))))</f>
        <v/>
      </c>
      <c r="P1101" s="77" t="str">
        <f>IF(Main[[#This Row],[Tech Start Date]]&lt;1/1/1990,"",IF(Main[[#This Row],[Class]]="C",WORKDAY(Main[[#This Row],[Tech Start Date]],28),IF(Main[[#This Row],[Class]]="B", WORKDAY(Main[[#This Row],[Tech Start Date]],19),IF(Main[[#This Row],[Class]]="A",WORKDAY(Main[[#This Row],[Tech Start Date]],9),""))))</f>
        <v/>
      </c>
      <c r="Q1101" s="74"/>
      <c r="R1101" s="74"/>
      <c r="S1101" s="72" t="s">
        <v>6</v>
      </c>
      <c r="T1101" s="80" t="s">
        <v>4</v>
      </c>
      <c r="U1101" s="72" t="s">
        <v>29</v>
      </c>
      <c r="V1101" s="72" t="s">
        <v>1935</v>
      </c>
      <c r="W1101" s="72" t="s">
        <v>1936</v>
      </c>
      <c r="X1101" s="72" t="s">
        <v>102</v>
      </c>
      <c r="Y1101" s="72" t="s">
        <v>3331</v>
      </c>
      <c r="Z1101" s="72" t="s">
        <v>30</v>
      </c>
      <c r="AA1101" s="147" t="s">
        <v>3644</v>
      </c>
    </row>
    <row r="1102" spans="1:27" ht="18.600000000000001" customHeight="1">
      <c r="A1102" s="140" t="str">
        <f>IF(priority(Main[[#This Row],[Comments]])&lt;&gt;0, priority(Main[[#This Row],[Comments]]),"")</f>
        <v/>
      </c>
      <c r="B1102" s="90" t="s">
        <v>2738</v>
      </c>
      <c r="C1102" s="72" t="s">
        <v>4</v>
      </c>
      <c r="D1102" s="73" t="s">
        <v>2739</v>
      </c>
      <c r="E1102" s="74">
        <v>40890.683576388888</v>
      </c>
      <c r="F1102" s="74"/>
      <c r="G1102" s="75" t="str">
        <f>IF(stdProdLT(Main[[#This Row],[Comments]])=0.1,"N/A",IF(stdProdLT(Main[[#This Row],[Comments]])=0,"",stdProdLT(Main[[#This Row],[Comments]])))</f>
        <v/>
      </c>
      <c r="H1102" s="76" t="str">
        <f>IF(AND(Main[[#This Row],[In Stock Date]]&lt;&gt;"",Main[[#This Row],[Revised Due Date]]&lt;&gt;""),Main[[#This Row],[In Stock Date]]-Main[[#This Row],[Revised Due Date]],"")</f>
        <v/>
      </c>
      <c r="I1102" s="72" t="s">
        <v>242</v>
      </c>
      <c r="J1102" s="72" t="s">
        <v>21</v>
      </c>
      <c r="K1102" s="72" t="s">
        <v>1941</v>
      </c>
      <c r="L1102" s="74"/>
      <c r="M1102" s="77" t="str">
        <f>IF(Main[[#This Row],[Tech Start Date]]&lt;1/1/1990,"",IF(Main[[#This Row],[Class]]="C",WORKDAY(Main[[#This Row],[Tech Start Date]],9),IF(Main[[#This Row],[Class]]="B", WORKDAY(Main[[#This Row],[Tech Start Date]],6),IF(Main[[#This Row],[Class]]="A",WORKDAY(Main[[#This Row],[Tech Start Date]],2),""))))</f>
        <v/>
      </c>
      <c r="N1102" s="77" t="str">
        <f>IF(Main[[#This Row],[Tech Start Date]]&lt;1/1/1990,"",IF(Main[[#This Row],[Class]]="C",WORKDAY(Main[[#This Row],[Tech Start Date]],19),IF(Main[[#This Row],[Class]]="B", WORKDAY(Main[[#This Row],[Tech Start Date]],12),IF(Main[[#This Row],[Class]]="A",WORKDAY(Main[[#This Row],[Tech Start Date]],4),""))))</f>
        <v/>
      </c>
      <c r="O1102" s="77" t="str">
        <f>IF(Main[[#This Row],[Tech Start Date]]&lt;1/1/1990,"",IF(Main[[#This Row],[Class]]="C",WORKDAY(Main[[#This Row],[Tech Start Date]],23),IF(Main[[#This Row],[Class]]="B", WORKDAY(Main[[#This Row],[Tech Start Date]],15),IF(Main[[#This Row],[Class]]="A",WORKDAY(Main[[#This Row],[Tech Start Date]],5),""))))</f>
        <v/>
      </c>
      <c r="P1102" s="77" t="str">
        <f>IF(Main[[#This Row],[Tech Start Date]]&lt;1/1/1990,"",IF(Main[[#This Row],[Class]]="C",WORKDAY(Main[[#This Row],[Tech Start Date]],28),IF(Main[[#This Row],[Class]]="B", WORKDAY(Main[[#This Row],[Tech Start Date]],19),IF(Main[[#This Row],[Class]]="A",WORKDAY(Main[[#This Row],[Tech Start Date]],9),""))))</f>
        <v/>
      </c>
      <c r="Q1102" s="74">
        <v>40939</v>
      </c>
      <c r="R1102" s="74"/>
      <c r="S1102" s="72" t="s">
        <v>6</v>
      </c>
      <c r="T1102" s="80" t="s">
        <v>4</v>
      </c>
      <c r="U1102" s="72" t="s">
        <v>29</v>
      </c>
      <c r="V1102" s="72" t="s">
        <v>1935</v>
      </c>
      <c r="W1102" s="72" t="s">
        <v>1936</v>
      </c>
      <c r="X1102" s="72" t="s">
        <v>775</v>
      </c>
      <c r="Y1102" s="72" t="s">
        <v>3022</v>
      </c>
      <c r="Z1102" s="72" t="s">
        <v>30</v>
      </c>
      <c r="AA1102" s="147" t="s">
        <v>775</v>
      </c>
    </row>
    <row r="1103" spans="1:27" ht="18.600000000000001" customHeight="1">
      <c r="A1103" s="140" t="str">
        <f>IF(priority(Main[[#This Row],[Comments]])&lt;&gt;0, priority(Main[[#This Row],[Comments]]),"")</f>
        <v/>
      </c>
      <c r="B1103" s="90" t="s">
        <v>2122</v>
      </c>
      <c r="C1103" s="72" t="s">
        <v>4</v>
      </c>
      <c r="D1103" s="73" t="s">
        <v>3391</v>
      </c>
      <c r="E1103" s="74">
        <v>40763.171296296299</v>
      </c>
      <c r="F1103" s="74"/>
      <c r="G1103" s="75" t="str">
        <f>IF(stdProdLT(Main[[#This Row],[Comments]])=0.1,"N/A",IF(stdProdLT(Main[[#This Row],[Comments]])=0,"",stdProdLT(Main[[#This Row],[Comments]])))</f>
        <v/>
      </c>
      <c r="H1103" s="76" t="str">
        <f>IF(AND(Main[[#This Row],[In Stock Date]]&lt;&gt;"",Main[[#This Row],[Revised Due Date]]&lt;&gt;""),Main[[#This Row],[In Stock Date]]-Main[[#This Row],[Revised Due Date]],"")</f>
        <v/>
      </c>
      <c r="I1103" s="72" t="s">
        <v>535</v>
      </c>
      <c r="J1103" s="72" t="s">
        <v>3392</v>
      </c>
      <c r="K1103" s="72" t="s">
        <v>1941</v>
      </c>
      <c r="L1103" s="74"/>
      <c r="M1103" s="77" t="str">
        <f>IF(Main[[#This Row],[Tech Start Date]]&lt;1/1/1990,"",IF(Main[[#This Row],[Class]]="C",WORKDAY(Main[[#This Row],[Tech Start Date]],9),IF(Main[[#This Row],[Class]]="B", WORKDAY(Main[[#This Row],[Tech Start Date]],6),IF(Main[[#This Row],[Class]]="A",WORKDAY(Main[[#This Row],[Tech Start Date]],2),""))))</f>
        <v/>
      </c>
      <c r="N1103" s="77" t="str">
        <f>IF(Main[[#This Row],[Tech Start Date]]&lt;1/1/1990,"",IF(Main[[#This Row],[Class]]="C",WORKDAY(Main[[#This Row],[Tech Start Date]],19),IF(Main[[#This Row],[Class]]="B", WORKDAY(Main[[#This Row],[Tech Start Date]],12),IF(Main[[#This Row],[Class]]="A",WORKDAY(Main[[#This Row],[Tech Start Date]],4),""))))</f>
        <v/>
      </c>
      <c r="O1103" s="77" t="str">
        <f>IF(Main[[#This Row],[Tech Start Date]]&lt;1/1/1990,"",IF(Main[[#This Row],[Class]]="C",WORKDAY(Main[[#This Row],[Tech Start Date]],23),IF(Main[[#This Row],[Class]]="B", WORKDAY(Main[[#This Row],[Tech Start Date]],15),IF(Main[[#This Row],[Class]]="A",WORKDAY(Main[[#This Row],[Tech Start Date]],5),""))))</f>
        <v/>
      </c>
      <c r="P1103" s="77" t="str">
        <f>IF(Main[[#This Row],[Tech Start Date]]&lt;1/1/1990,"",IF(Main[[#This Row],[Class]]="C",WORKDAY(Main[[#This Row],[Tech Start Date]],28),IF(Main[[#This Row],[Class]]="B", WORKDAY(Main[[#This Row],[Tech Start Date]],19),IF(Main[[#This Row],[Class]]="A",WORKDAY(Main[[#This Row],[Tech Start Date]],9),""))))</f>
        <v/>
      </c>
      <c r="Q1103" s="74">
        <v>40784</v>
      </c>
      <c r="R1103" s="74"/>
      <c r="S1103" s="72" t="s">
        <v>6</v>
      </c>
      <c r="T1103" s="80" t="s">
        <v>4</v>
      </c>
      <c r="U1103" s="72" t="s">
        <v>29</v>
      </c>
      <c r="V1103" s="72" t="s">
        <v>1935</v>
      </c>
      <c r="W1103" s="72" t="s">
        <v>1936</v>
      </c>
      <c r="X1103" s="72" t="s">
        <v>2935</v>
      </c>
      <c r="Y1103" s="72" t="s">
        <v>3073</v>
      </c>
      <c r="Z1103" s="72" t="s">
        <v>30</v>
      </c>
      <c r="AA1103" s="147" t="s">
        <v>2935</v>
      </c>
    </row>
    <row r="1104" spans="1:27" ht="18.600000000000001" customHeight="1">
      <c r="A1104" s="140" t="str">
        <f>IF(priority(Main[[#This Row],[Comments]])&lt;&gt;0, priority(Main[[#This Row],[Comments]]),"")</f>
        <v/>
      </c>
      <c r="B1104" s="90" t="s">
        <v>2491</v>
      </c>
      <c r="C1104" s="72" t="s">
        <v>4</v>
      </c>
      <c r="D1104" s="73" t="s">
        <v>2492</v>
      </c>
      <c r="E1104" s="74"/>
      <c r="F1104" s="74"/>
      <c r="G1104" s="75" t="str">
        <f>IF(stdProdLT(Main[[#This Row],[Comments]])=0.1,"N/A",IF(stdProdLT(Main[[#This Row],[Comments]])=0,"",stdProdLT(Main[[#This Row],[Comments]])))</f>
        <v/>
      </c>
      <c r="H1104" s="76" t="str">
        <f>IF(AND(Main[[#This Row],[In Stock Date]]&lt;&gt;"",Main[[#This Row],[Revised Due Date]]&lt;&gt;""),Main[[#This Row],[In Stock Date]]-Main[[#This Row],[Revised Due Date]],"")</f>
        <v/>
      </c>
      <c r="I1104" s="72" t="s">
        <v>535</v>
      </c>
      <c r="J1104" s="72" t="s">
        <v>28</v>
      </c>
      <c r="K1104" s="72" t="s">
        <v>1941</v>
      </c>
      <c r="L1104" s="74"/>
      <c r="M1104" s="77" t="str">
        <f>IF(Main[[#This Row],[Tech Start Date]]&lt;1/1/1990,"",IF(Main[[#This Row],[Class]]="C",WORKDAY(Main[[#This Row],[Tech Start Date]],9),IF(Main[[#This Row],[Class]]="B", WORKDAY(Main[[#This Row],[Tech Start Date]],6),IF(Main[[#This Row],[Class]]="A",WORKDAY(Main[[#This Row],[Tech Start Date]],2),""))))</f>
        <v/>
      </c>
      <c r="N1104" s="77" t="str">
        <f>IF(Main[[#This Row],[Tech Start Date]]&lt;1/1/1990,"",IF(Main[[#This Row],[Class]]="C",WORKDAY(Main[[#This Row],[Tech Start Date]],19),IF(Main[[#This Row],[Class]]="B", WORKDAY(Main[[#This Row],[Tech Start Date]],12),IF(Main[[#This Row],[Class]]="A",WORKDAY(Main[[#This Row],[Tech Start Date]],4),""))))</f>
        <v/>
      </c>
      <c r="O1104" s="77" t="str">
        <f>IF(Main[[#This Row],[Tech Start Date]]&lt;1/1/1990,"",IF(Main[[#This Row],[Class]]="C",WORKDAY(Main[[#This Row],[Tech Start Date]],23),IF(Main[[#This Row],[Class]]="B", WORKDAY(Main[[#This Row],[Tech Start Date]],15),IF(Main[[#This Row],[Class]]="A",WORKDAY(Main[[#This Row],[Tech Start Date]],5),""))))</f>
        <v/>
      </c>
      <c r="P1104" s="77" t="str">
        <f>IF(Main[[#This Row],[Tech Start Date]]&lt;1/1/1990,"",IF(Main[[#This Row],[Class]]="C",WORKDAY(Main[[#This Row],[Tech Start Date]],28),IF(Main[[#This Row],[Class]]="B", WORKDAY(Main[[#This Row],[Tech Start Date]],19),IF(Main[[#This Row],[Class]]="A",WORKDAY(Main[[#This Row],[Tech Start Date]],9),""))))</f>
        <v/>
      </c>
      <c r="Q1104" s="74">
        <v>40954</v>
      </c>
      <c r="R1104" s="74"/>
      <c r="S1104" s="72" t="s">
        <v>6</v>
      </c>
      <c r="T1104" s="80" t="s">
        <v>4</v>
      </c>
      <c r="U1104" s="72" t="s">
        <v>14</v>
      </c>
      <c r="V1104" s="72" t="s">
        <v>1935</v>
      </c>
      <c r="W1104" s="72" t="s">
        <v>1936</v>
      </c>
      <c r="X1104" s="72" t="s">
        <v>559</v>
      </c>
      <c r="Y1104" s="72" t="s">
        <v>3039</v>
      </c>
      <c r="Z1104" s="72" t="s">
        <v>30</v>
      </c>
      <c r="AA1104" s="147" t="s">
        <v>559</v>
      </c>
    </row>
    <row r="1105" spans="1:27" ht="18.600000000000001" customHeight="1">
      <c r="A1105" s="140" t="str">
        <f>IF(priority(Main[[#This Row],[Comments]])&lt;&gt;0, priority(Main[[#This Row],[Comments]]),"")</f>
        <v/>
      </c>
      <c r="B1105" s="90" t="s">
        <v>2493</v>
      </c>
      <c r="C1105" s="72" t="s">
        <v>113</v>
      </c>
      <c r="D1105" s="73" t="s">
        <v>2494</v>
      </c>
      <c r="E1105" s="74"/>
      <c r="F1105" s="74">
        <v>40841</v>
      </c>
      <c r="G1105" s="75" t="str">
        <f>IF(stdProdLT(Main[[#This Row],[Comments]])=0.1,"N/A",IF(stdProdLT(Main[[#This Row],[Comments]])=0,"",stdProdLT(Main[[#This Row],[Comments]])))</f>
        <v/>
      </c>
      <c r="H1105" s="76" t="str">
        <f>IF(AND(Main[[#This Row],[In Stock Date]]&lt;&gt;"",Main[[#This Row],[Revised Due Date]]&lt;&gt;""),Main[[#This Row],[In Stock Date]]-Main[[#This Row],[Revised Due Date]],"")</f>
        <v/>
      </c>
      <c r="I1105" s="72" t="s">
        <v>4</v>
      </c>
      <c r="J1105" s="72" t="s">
        <v>4</v>
      </c>
      <c r="K1105" s="72" t="s">
        <v>4</v>
      </c>
      <c r="L1105" s="74"/>
      <c r="M1105" s="77" t="str">
        <f>IF(Main[[#This Row],[Tech Start Date]]&lt;1/1/1990,"",IF(Main[[#This Row],[Class]]="C",WORKDAY(Main[[#This Row],[Tech Start Date]],9),IF(Main[[#This Row],[Class]]="B", WORKDAY(Main[[#This Row],[Tech Start Date]],6),IF(Main[[#This Row],[Class]]="A",WORKDAY(Main[[#This Row],[Tech Start Date]],2),""))))</f>
        <v/>
      </c>
      <c r="N1105" s="77" t="str">
        <f>IF(Main[[#This Row],[Tech Start Date]]&lt;1/1/1990,"",IF(Main[[#This Row],[Class]]="C",WORKDAY(Main[[#This Row],[Tech Start Date]],19),IF(Main[[#This Row],[Class]]="B", WORKDAY(Main[[#This Row],[Tech Start Date]],12),IF(Main[[#This Row],[Class]]="A",WORKDAY(Main[[#This Row],[Tech Start Date]],4),""))))</f>
        <v/>
      </c>
      <c r="O1105" s="77" t="str">
        <f>IF(Main[[#This Row],[Tech Start Date]]&lt;1/1/1990,"",IF(Main[[#This Row],[Class]]="C",WORKDAY(Main[[#This Row],[Tech Start Date]],23),IF(Main[[#This Row],[Class]]="B", WORKDAY(Main[[#This Row],[Tech Start Date]],15),IF(Main[[#This Row],[Class]]="A",WORKDAY(Main[[#This Row],[Tech Start Date]],5),""))))</f>
        <v/>
      </c>
      <c r="P1105" s="77" t="str">
        <f>IF(Main[[#This Row],[Tech Start Date]]&lt;1/1/1990,"",IF(Main[[#This Row],[Class]]="C",WORKDAY(Main[[#This Row],[Tech Start Date]],28),IF(Main[[#This Row],[Class]]="B", WORKDAY(Main[[#This Row],[Tech Start Date]],19),IF(Main[[#This Row],[Class]]="A",WORKDAY(Main[[#This Row],[Tech Start Date]],9),""))))</f>
        <v/>
      </c>
      <c r="Q1105" s="74"/>
      <c r="R1105" s="74"/>
      <c r="S1105" s="72" t="s">
        <v>11</v>
      </c>
      <c r="T1105" s="80" t="s">
        <v>4</v>
      </c>
      <c r="U1105" s="72" t="s">
        <v>12</v>
      </c>
      <c r="V1105" s="72" t="s">
        <v>1932</v>
      </c>
      <c r="W1105" s="72" t="s">
        <v>1934</v>
      </c>
      <c r="X1105" s="72" t="s">
        <v>2917</v>
      </c>
      <c r="Y1105" s="72" t="s">
        <v>3026</v>
      </c>
      <c r="Z1105" s="72" t="s">
        <v>4</v>
      </c>
      <c r="AA1105" s="147" t="s">
        <v>2917</v>
      </c>
    </row>
    <row r="1106" spans="1:27" ht="18.600000000000001" customHeight="1">
      <c r="A1106" s="140" t="str">
        <f>IF(priority(Main[[#This Row],[Comments]])&lt;&gt;0, priority(Main[[#This Row],[Comments]]),"")</f>
        <v/>
      </c>
      <c r="B1106" s="90" t="s">
        <v>2634</v>
      </c>
      <c r="C1106" s="72" t="s">
        <v>31</v>
      </c>
      <c r="D1106" s="73" t="s">
        <v>2635</v>
      </c>
      <c r="E1106" s="74">
        <v>40820.728263888886</v>
      </c>
      <c r="F1106" s="74"/>
      <c r="G1106" s="75" t="str">
        <f>IF(stdProdLT(Main[[#This Row],[Comments]])=0.1,"N/A",IF(stdProdLT(Main[[#This Row],[Comments]])=0,"",stdProdLT(Main[[#This Row],[Comments]])))</f>
        <v/>
      </c>
      <c r="H1106" s="76" t="str">
        <f>IF(AND(Main[[#This Row],[In Stock Date]]&lt;&gt;"",Main[[#This Row],[Revised Due Date]]&lt;&gt;""),Main[[#This Row],[In Stock Date]]-Main[[#This Row],[Revised Due Date]],"")</f>
        <v/>
      </c>
      <c r="I1106" s="72" t="s">
        <v>933</v>
      </c>
      <c r="J1106" s="72" t="s">
        <v>4</v>
      </c>
      <c r="K1106" s="72" t="s">
        <v>4</v>
      </c>
      <c r="L1106" s="74"/>
      <c r="M1106" s="77" t="str">
        <f>IF(Main[[#This Row],[Tech Start Date]]&lt;1/1/1990,"",IF(Main[[#This Row],[Class]]="C",WORKDAY(Main[[#This Row],[Tech Start Date]],9),IF(Main[[#This Row],[Class]]="B", WORKDAY(Main[[#This Row],[Tech Start Date]],6),IF(Main[[#This Row],[Class]]="A",WORKDAY(Main[[#This Row],[Tech Start Date]],2),""))))</f>
        <v/>
      </c>
      <c r="N1106" s="77" t="str">
        <f>IF(Main[[#This Row],[Tech Start Date]]&lt;1/1/1990,"",IF(Main[[#This Row],[Class]]="C",WORKDAY(Main[[#This Row],[Tech Start Date]],19),IF(Main[[#This Row],[Class]]="B", WORKDAY(Main[[#This Row],[Tech Start Date]],12),IF(Main[[#This Row],[Class]]="A",WORKDAY(Main[[#This Row],[Tech Start Date]],4),""))))</f>
        <v/>
      </c>
      <c r="O1106" s="77" t="str">
        <f>IF(Main[[#This Row],[Tech Start Date]]&lt;1/1/1990,"",IF(Main[[#This Row],[Class]]="C",WORKDAY(Main[[#This Row],[Tech Start Date]],23),IF(Main[[#This Row],[Class]]="B", WORKDAY(Main[[#This Row],[Tech Start Date]],15),IF(Main[[#This Row],[Class]]="A",WORKDAY(Main[[#This Row],[Tech Start Date]],5),""))))</f>
        <v/>
      </c>
      <c r="P1106" s="77" t="str">
        <f>IF(Main[[#This Row],[Tech Start Date]]&lt;1/1/1990,"",IF(Main[[#This Row],[Class]]="C",WORKDAY(Main[[#This Row],[Tech Start Date]],28),IF(Main[[#This Row],[Class]]="B", WORKDAY(Main[[#This Row],[Tech Start Date]],19),IF(Main[[#This Row],[Class]]="A",WORKDAY(Main[[#This Row],[Tech Start Date]],9),""))))</f>
        <v/>
      </c>
      <c r="Q1106" s="74">
        <v>40841</v>
      </c>
      <c r="R1106" s="74"/>
      <c r="S1106" s="72" t="s">
        <v>11</v>
      </c>
      <c r="T1106" s="80" t="s">
        <v>2636</v>
      </c>
      <c r="U1106" s="72" t="s">
        <v>7</v>
      </c>
      <c r="V1106" s="72" t="s">
        <v>1947</v>
      </c>
      <c r="W1106" s="72" t="s">
        <v>1940</v>
      </c>
      <c r="X1106" s="72" t="s">
        <v>2905</v>
      </c>
      <c r="Y1106" s="72" t="s">
        <v>3023</v>
      </c>
      <c r="Z1106" s="72" t="s">
        <v>4</v>
      </c>
      <c r="AA1106" s="147" t="s">
        <v>2905</v>
      </c>
    </row>
    <row r="1107" spans="1:27" ht="18.600000000000001" customHeight="1">
      <c r="A1107" s="140" t="str">
        <f>IF(priority(Main[[#This Row],[Comments]])&lt;&gt;0, priority(Main[[#This Row],[Comments]]),"")</f>
        <v/>
      </c>
      <c r="B1107" s="90" t="s">
        <v>1864</v>
      </c>
      <c r="C1107" s="72" t="s">
        <v>67</v>
      </c>
      <c r="D1107" s="73" t="s">
        <v>913</v>
      </c>
      <c r="E1107" s="74">
        <v>39937.597453703704</v>
      </c>
      <c r="F1107" s="74">
        <v>40533</v>
      </c>
      <c r="G1107" s="75" t="str">
        <f>IF(stdProdLT(Main[[#This Row],[Comments]])=0.1,"N/A",IF(stdProdLT(Main[[#This Row],[Comments]])=0,"",stdProdLT(Main[[#This Row],[Comments]])))</f>
        <v/>
      </c>
      <c r="H1107" s="76">
        <f>IF(AND(Main[[#This Row],[In Stock Date]]&lt;&gt;"",Main[[#This Row],[Revised Due Date]]&lt;&gt;""),Main[[#This Row],[In Stock Date]]-Main[[#This Row],[Revised Due Date]],"")</f>
        <v>-342</v>
      </c>
      <c r="I1107" s="72" t="s">
        <v>74</v>
      </c>
      <c r="J1107" s="72" t="s">
        <v>28</v>
      </c>
      <c r="K1107" s="72" t="s">
        <v>1944</v>
      </c>
      <c r="L1107" s="74"/>
      <c r="M1107" s="77" t="str">
        <f>IF(Main[[#This Row],[Tech Start Date]]&lt;1/1/1990,"",IF(Main[[#This Row],[Class]]="C",WORKDAY(Main[[#This Row],[Tech Start Date]],9),IF(Main[[#This Row],[Class]]="B", WORKDAY(Main[[#This Row],[Tech Start Date]],6),IF(Main[[#This Row],[Class]]="A",WORKDAY(Main[[#This Row],[Tech Start Date]],2),""))))</f>
        <v/>
      </c>
      <c r="N1107" s="77" t="str">
        <f>IF(Main[[#This Row],[Tech Start Date]]&lt;1/1/1990,"",IF(Main[[#This Row],[Class]]="C",WORKDAY(Main[[#This Row],[Tech Start Date]],19),IF(Main[[#This Row],[Class]]="B", WORKDAY(Main[[#This Row],[Tech Start Date]],12),IF(Main[[#This Row],[Class]]="A",WORKDAY(Main[[#This Row],[Tech Start Date]],4),""))))</f>
        <v/>
      </c>
      <c r="O1107" s="77" t="str">
        <f>IF(Main[[#This Row],[Tech Start Date]]&lt;1/1/1990,"",IF(Main[[#This Row],[Class]]="C",WORKDAY(Main[[#This Row],[Tech Start Date]],23),IF(Main[[#This Row],[Class]]="B", WORKDAY(Main[[#This Row],[Tech Start Date]],15),IF(Main[[#This Row],[Class]]="A",WORKDAY(Main[[#This Row],[Tech Start Date]],5),""))))</f>
        <v/>
      </c>
      <c r="P1107" s="77" t="str">
        <f>IF(Main[[#This Row],[Tech Start Date]]&lt;1/1/1990,"",IF(Main[[#This Row],[Class]]="C",WORKDAY(Main[[#This Row],[Tech Start Date]],28),IF(Main[[#This Row],[Class]]="B", WORKDAY(Main[[#This Row],[Tech Start Date]],19),IF(Main[[#This Row],[Class]]="A",WORKDAY(Main[[#This Row],[Tech Start Date]],9),""))))</f>
        <v/>
      </c>
      <c r="Q1107" s="74"/>
      <c r="R1107" s="74">
        <v>40875</v>
      </c>
      <c r="S1107" s="72" t="s">
        <v>17</v>
      </c>
      <c r="T1107" s="80" t="s">
        <v>4</v>
      </c>
      <c r="U1107" s="72" t="s">
        <v>29</v>
      </c>
      <c r="V1107" s="72" t="s">
        <v>1935</v>
      </c>
      <c r="W1107" s="72" t="s">
        <v>1940</v>
      </c>
      <c r="X1107" s="72" t="s">
        <v>403</v>
      </c>
      <c r="Y1107" s="72" t="s">
        <v>4</v>
      </c>
      <c r="Z1107" s="72" t="s">
        <v>420</v>
      </c>
      <c r="AA1107" s="147" t="s">
        <v>3646</v>
      </c>
    </row>
    <row r="1108" spans="1:27" ht="18.600000000000001" customHeight="1">
      <c r="A1108" s="140" t="str">
        <f>IF(priority(Main[[#This Row],[Comments]])&lt;&gt;0, priority(Main[[#This Row],[Comments]]),"")</f>
        <v/>
      </c>
      <c r="B1108" s="90" t="s">
        <v>3437</v>
      </c>
      <c r="C1108" s="72" t="s">
        <v>3380</v>
      </c>
      <c r="D1108" s="73" t="s">
        <v>3674</v>
      </c>
      <c r="E1108" s="74">
        <v>40934.65960648148</v>
      </c>
      <c r="F1108" s="74">
        <v>41065</v>
      </c>
      <c r="G1108" s="75">
        <f>IF(stdProdLT(Main[[#This Row],[Comments]])=0.1,"N/A",IF(stdProdLT(Main[[#This Row],[Comments]])=0,"",stdProdLT(Main[[#This Row],[Comments]])))</f>
        <v>84</v>
      </c>
      <c r="H1108" s="76" t="str">
        <f>IF(AND(Main[[#This Row],[In Stock Date]]&lt;&gt;"",Main[[#This Row],[Revised Due Date]]&lt;&gt;""),Main[[#This Row],[In Stock Date]]-Main[[#This Row],[Revised Due Date]],"")</f>
        <v/>
      </c>
      <c r="I1108" s="72" t="s">
        <v>4</v>
      </c>
      <c r="J1108" s="72" t="s">
        <v>4</v>
      </c>
      <c r="K1108" s="72" t="s">
        <v>4</v>
      </c>
      <c r="L1108" s="74"/>
      <c r="M1108" s="77" t="str">
        <f>IF(Main[[#This Row],[Tech Start Date]]&lt;1/1/1990,"",IF(Main[[#This Row],[Class]]="C",WORKDAY(Main[[#This Row],[Tech Start Date]],9),IF(Main[[#This Row],[Class]]="B", WORKDAY(Main[[#This Row],[Tech Start Date]],6),IF(Main[[#This Row],[Class]]="A",WORKDAY(Main[[#This Row],[Tech Start Date]],2),""))))</f>
        <v/>
      </c>
      <c r="N1108" s="77" t="str">
        <f>IF(Main[[#This Row],[Tech Start Date]]&lt;1/1/1990,"",IF(Main[[#This Row],[Class]]="C",WORKDAY(Main[[#This Row],[Tech Start Date]],19),IF(Main[[#This Row],[Class]]="B", WORKDAY(Main[[#This Row],[Tech Start Date]],12),IF(Main[[#This Row],[Class]]="A",WORKDAY(Main[[#This Row],[Tech Start Date]],4),""))))</f>
        <v/>
      </c>
      <c r="O1108" s="77" t="str">
        <f>IF(Main[[#This Row],[Tech Start Date]]&lt;1/1/1990,"",IF(Main[[#This Row],[Class]]="C",WORKDAY(Main[[#This Row],[Tech Start Date]],23),IF(Main[[#This Row],[Class]]="B", WORKDAY(Main[[#This Row],[Tech Start Date]],15),IF(Main[[#This Row],[Class]]="A",WORKDAY(Main[[#This Row],[Tech Start Date]],5),""))))</f>
        <v/>
      </c>
      <c r="P1108" s="77" t="str">
        <f>IF(Main[[#This Row],[Tech Start Date]]&lt;1/1/1990,"",IF(Main[[#This Row],[Class]]="C",WORKDAY(Main[[#This Row],[Tech Start Date]],28),IF(Main[[#This Row],[Class]]="B", WORKDAY(Main[[#This Row],[Tech Start Date]],19),IF(Main[[#This Row],[Class]]="A",WORKDAY(Main[[#This Row],[Tech Start Date]],9),""))))</f>
        <v/>
      </c>
      <c r="Q1108" s="74">
        <v>40945</v>
      </c>
      <c r="R1108" s="74"/>
      <c r="S1108" s="72" t="s">
        <v>11</v>
      </c>
      <c r="T1108" s="80" t="s">
        <v>3381</v>
      </c>
      <c r="U1108" s="72" t="s">
        <v>7</v>
      </c>
      <c r="V1108" s="72" t="s">
        <v>1932</v>
      </c>
      <c r="W1108" s="72" t="s">
        <v>1940</v>
      </c>
      <c r="X1108" s="72" t="s">
        <v>2913</v>
      </c>
      <c r="Y1108" s="72" t="s">
        <v>3038</v>
      </c>
      <c r="Z1108" s="72" t="s">
        <v>4</v>
      </c>
      <c r="AA1108" s="147" t="s">
        <v>2913</v>
      </c>
    </row>
    <row r="1109" spans="1:27" ht="18.600000000000001" customHeight="1">
      <c r="A1109" s="140" t="str">
        <f>IF(priority(Main[[#This Row],[Comments]])&lt;&gt;0, priority(Main[[#This Row],[Comments]]),"")</f>
        <v/>
      </c>
      <c r="B1109" s="90" t="s">
        <v>2528</v>
      </c>
      <c r="C1109" s="72" t="s">
        <v>4</v>
      </c>
      <c r="D1109" s="73" t="s">
        <v>2529</v>
      </c>
      <c r="E1109" s="74">
        <v>40833.637280092589</v>
      </c>
      <c r="F1109" s="74"/>
      <c r="G1109" s="75" t="str">
        <f>IF(stdProdLT(Main[[#This Row],[Comments]])=0.1,"N/A",IF(stdProdLT(Main[[#This Row],[Comments]])=0,"",stdProdLT(Main[[#This Row],[Comments]])))</f>
        <v/>
      </c>
      <c r="H1109" s="76" t="str">
        <f>IF(AND(Main[[#This Row],[In Stock Date]]&lt;&gt;"",Main[[#This Row],[Revised Due Date]]&lt;&gt;""),Main[[#This Row],[In Stock Date]]-Main[[#This Row],[Revised Due Date]],"")</f>
        <v/>
      </c>
      <c r="I1109" s="72" t="s">
        <v>535</v>
      </c>
      <c r="J1109" s="72" t="s">
        <v>21</v>
      </c>
      <c r="K1109" s="72" t="s">
        <v>1941</v>
      </c>
      <c r="L1109" s="74"/>
      <c r="M1109" s="77" t="str">
        <f>IF(Main[[#This Row],[Tech Start Date]]&lt;1/1/1990,"",IF(Main[[#This Row],[Class]]="C",WORKDAY(Main[[#This Row],[Tech Start Date]],9),IF(Main[[#This Row],[Class]]="B", WORKDAY(Main[[#This Row],[Tech Start Date]],6),IF(Main[[#This Row],[Class]]="A",WORKDAY(Main[[#This Row],[Tech Start Date]],2),""))))</f>
        <v/>
      </c>
      <c r="N1109" s="77" t="str">
        <f>IF(Main[[#This Row],[Tech Start Date]]&lt;1/1/1990,"",IF(Main[[#This Row],[Class]]="C",WORKDAY(Main[[#This Row],[Tech Start Date]],19),IF(Main[[#This Row],[Class]]="B", WORKDAY(Main[[#This Row],[Tech Start Date]],12),IF(Main[[#This Row],[Class]]="A",WORKDAY(Main[[#This Row],[Tech Start Date]],4),""))))</f>
        <v/>
      </c>
      <c r="O1109" s="77" t="str">
        <f>IF(Main[[#This Row],[Tech Start Date]]&lt;1/1/1990,"",IF(Main[[#This Row],[Class]]="C",WORKDAY(Main[[#This Row],[Tech Start Date]],23),IF(Main[[#This Row],[Class]]="B", WORKDAY(Main[[#This Row],[Tech Start Date]],15),IF(Main[[#This Row],[Class]]="A",WORKDAY(Main[[#This Row],[Tech Start Date]],5),""))))</f>
        <v/>
      </c>
      <c r="P1109" s="77" t="str">
        <f>IF(Main[[#This Row],[Tech Start Date]]&lt;1/1/1990,"",IF(Main[[#This Row],[Class]]="C",WORKDAY(Main[[#This Row],[Tech Start Date]],28),IF(Main[[#This Row],[Class]]="B", WORKDAY(Main[[#This Row],[Tech Start Date]],19),IF(Main[[#This Row],[Class]]="A",WORKDAY(Main[[#This Row],[Tech Start Date]],9),""))))</f>
        <v/>
      </c>
      <c r="Q1109" s="74">
        <v>40939</v>
      </c>
      <c r="R1109" s="74"/>
      <c r="S1109" s="72" t="s">
        <v>6</v>
      </c>
      <c r="T1109" s="80" t="s">
        <v>4</v>
      </c>
      <c r="U1109" s="72" t="s">
        <v>29</v>
      </c>
      <c r="V1109" s="72" t="s">
        <v>1935</v>
      </c>
      <c r="W1109" s="72" t="s">
        <v>1936</v>
      </c>
      <c r="X1109" s="72" t="s">
        <v>559</v>
      </c>
      <c r="Y1109" s="72" t="s">
        <v>3039</v>
      </c>
      <c r="Z1109" s="72" t="s">
        <v>30</v>
      </c>
      <c r="AA1109" s="147" t="s">
        <v>559</v>
      </c>
    </row>
    <row r="1110" spans="1:27" ht="18.600000000000001" customHeight="1">
      <c r="A1110" s="140" t="str">
        <f>IF(priority(Main[[#This Row],[Comments]])&lt;&gt;0, priority(Main[[#This Row],[Comments]]),"")</f>
        <v/>
      </c>
      <c r="B1110" s="90" t="s">
        <v>2497</v>
      </c>
      <c r="C1110" s="72" t="s">
        <v>4</v>
      </c>
      <c r="D1110" s="73" t="s">
        <v>2720</v>
      </c>
      <c r="E1110" s="74">
        <v>40865.334965277776</v>
      </c>
      <c r="F1110" s="74"/>
      <c r="G1110" s="75" t="str">
        <f>IF(stdProdLT(Main[[#This Row],[Comments]])=0.1,"N/A",IF(stdProdLT(Main[[#This Row],[Comments]])=0,"",stdProdLT(Main[[#This Row],[Comments]])))</f>
        <v/>
      </c>
      <c r="H1110" s="76" t="str">
        <f>IF(AND(Main[[#This Row],[In Stock Date]]&lt;&gt;"",Main[[#This Row],[Revised Due Date]]&lt;&gt;""),Main[[#This Row],[In Stock Date]]-Main[[#This Row],[Revised Due Date]],"")</f>
        <v/>
      </c>
      <c r="I1110" s="72" t="s">
        <v>4</v>
      </c>
      <c r="J1110" s="72" t="s">
        <v>4</v>
      </c>
      <c r="K1110" s="72" t="s">
        <v>4</v>
      </c>
      <c r="L1110" s="74"/>
      <c r="M1110" s="77" t="str">
        <f>IF(Main[[#This Row],[Tech Start Date]]&lt;1/1/1990,"",IF(Main[[#This Row],[Class]]="C",WORKDAY(Main[[#This Row],[Tech Start Date]],9),IF(Main[[#This Row],[Class]]="B", WORKDAY(Main[[#This Row],[Tech Start Date]],6),IF(Main[[#This Row],[Class]]="A",WORKDAY(Main[[#This Row],[Tech Start Date]],2),""))))</f>
        <v/>
      </c>
      <c r="N1110" s="77" t="str">
        <f>IF(Main[[#This Row],[Tech Start Date]]&lt;1/1/1990,"",IF(Main[[#This Row],[Class]]="C",WORKDAY(Main[[#This Row],[Tech Start Date]],19),IF(Main[[#This Row],[Class]]="B", WORKDAY(Main[[#This Row],[Tech Start Date]],12),IF(Main[[#This Row],[Class]]="A",WORKDAY(Main[[#This Row],[Tech Start Date]],4),""))))</f>
        <v/>
      </c>
      <c r="O1110" s="77" t="str">
        <f>IF(Main[[#This Row],[Tech Start Date]]&lt;1/1/1990,"",IF(Main[[#This Row],[Class]]="C",WORKDAY(Main[[#This Row],[Tech Start Date]],23),IF(Main[[#This Row],[Class]]="B", WORKDAY(Main[[#This Row],[Tech Start Date]],15),IF(Main[[#This Row],[Class]]="A",WORKDAY(Main[[#This Row],[Tech Start Date]],5),""))))</f>
        <v/>
      </c>
      <c r="P1110" s="77" t="str">
        <f>IF(Main[[#This Row],[Tech Start Date]]&lt;1/1/1990,"",IF(Main[[#This Row],[Class]]="C",WORKDAY(Main[[#This Row],[Tech Start Date]],28),IF(Main[[#This Row],[Class]]="B", WORKDAY(Main[[#This Row],[Tech Start Date]],19),IF(Main[[#This Row],[Class]]="A",WORKDAY(Main[[#This Row],[Tech Start Date]],9),""))))</f>
        <v/>
      </c>
      <c r="Q1110" s="74"/>
      <c r="R1110" s="74"/>
      <c r="S1110" s="72" t="s">
        <v>6</v>
      </c>
      <c r="T1110" s="80" t="s">
        <v>4</v>
      </c>
      <c r="U1110" s="72" t="s">
        <v>7</v>
      </c>
      <c r="V1110" s="72" t="s">
        <v>1932</v>
      </c>
      <c r="W1110" s="72" t="s">
        <v>1936</v>
      </c>
      <c r="X1110" s="72" t="s">
        <v>102</v>
      </c>
      <c r="Y1110" s="72" t="s">
        <v>3167</v>
      </c>
      <c r="Z1110" s="72" t="s">
        <v>4</v>
      </c>
      <c r="AA1110" s="147" t="s">
        <v>3573</v>
      </c>
    </row>
    <row r="1111" spans="1:27" ht="18.600000000000001" customHeight="1">
      <c r="A1111" s="140" t="str">
        <f>IF(priority(Main[[#This Row],[Comments]])&lt;&gt;0, priority(Main[[#This Row],[Comments]]),"")</f>
        <v/>
      </c>
      <c r="B1111" s="90" t="s">
        <v>3313</v>
      </c>
      <c r="C1111" s="72" t="s">
        <v>4</v>
      </c>
      <c r="D1111" s="73" t="s">
        <v>3314</v>
      </c>
      <c r="E1111" s="74">
        <v>40921.629143518519</v>
      </c>
      <c r="F1111" s="74"/>
      <c r="G1111" s="75" t="str">
        <f>IF(stdProdLT(Main[[#This Row],[Comments]])=0.1,"N/A",IF(stdProdLT(Main[[#This Row],[Comments]])=0,"",stdProdLT(Main[[#This Row],[Comments]])))</f>
        <v/>
      </c>
      <c r="H1111" s="76" t="str">
        <f>IF(AND(Main[[#This Row],[In Stock Date]]&lt;&gt;"",Main[[#This Row],[Revised Due Date]]&lt;&gt;""),Main[[#This Row],[In Stock Date]]-Main[[#This Row],[Revised Due Date]],"")</f>
        <v/>
      </c>
      <c r="I1111" s="72" t="s">
        <v>4</v>
      </c>
      <c r="J1111" s="72" t="s">
        <v>4</v>
      </c>
      <c r="K1111" s="72" t="s">
        <v>4</v>
      </c>
      <c r="L1111" s="74"/>
      <c r="M1111" s="77" t="str">
        <f>IF(Main[[#This Row],[Tech Start Date]]&lt;1/1/1990,"",IF(Main[[#This Row],[Class]]="C",WORKDAY(Main[[#This Row],[Tech Start Date]],9),IF(Main[[#This Row],[Class]]="B", WORKDAY(Main[[#This Row],[Tech Start Date]],6),IF(Main[[#This Row],[Class]]="A",WORKDAY(Main[[#This Row],[Tech Start Date]],2),""))))</f>
        <v/>
      </c>
      <c r="N1111" s="77" t="str">
        <f>IF(Main[[#This Row],[Tech Start Date]]&lt;1/1/1990,"",IF(Main[[#This Row],[Class]]="C",WORKDAY(Main[[#This Row],[Tech Start Date]],19),IF(Main[[#This Row],[Class]]="B", WORKDAY(Main[[#This Row],[Tech Start Date]],12),IF(Main[[#This Row],[Class]]="A",WORKDAY(Main[[#This Row],[Tech Start Date]],4),""))))</f>
        <v/>
      </c>
      <c r="O1111" s="77" t="str">
        <f>IF(Main[[#This Row],[Tech Start Date]]&lt;1/1/1990,"",IF(Main[[#This Row],[Class]]="C",WORKDAY(Main[[#This Row],[Tech Start Date]],23),IF(Main[[#This Row],[Class]]="B", WORKDAY(Main[[#This Row],[Tech Start Date]],15),IF(Main[[#This Row],[Class]]="A",WORKDAY(Main[[#This Row],[Tech Start Date]],5),""))))</f>
        <v/>
      </c>
      <c r="P1111" s="77" t="str">
        <f>IF(Main[[#This Row],[Tech Start Date]]&lt;1/1/1990,"",IF(Main[[#This Row],[Class]]="C",WORKDAY(Main[[#This Row],[Tech Start Date]],28),IF(Main[[#This Row],[Class]]="B", WORKDAY(Main[[#This Row],[Tech Start Date]],19),IF(Main[[#This Row],[Class]]="A",WORKDAY(Main[[#This Row],[Tech Start Date]],9),""))))</f>
        <v/>
      </c>
      <c r="Q1111" s="74"/>
      <c r="R1111" s="74"/>
      <c r="S1111" s="72" t="s">
        <v>6</v>
      </c>
      <c r="T1111" s="80" t="s">
        <v>4</v>
      </c>
      <c r="U1111" s="72" t="s">
        <v>29</v>
      </c>
      <c r="V1111" s="72" t="s">
        <v>1942</v>
      </c>
      <c r="W1111" s="72" t="s">
        <v>1936</v>
      </c>
      <c r="X1111" s="72" t="s">
        <v>310</v>
      </c>
      <c r="Y1111" s="72" t="s">
        <v>4</v>
      </c>
      <c r="Z1111" s="72" t="s">
        <v>4</v>
      </c>
      <c r="AA1111" s="147" t="s">
        <v>4</v>
      </c>
    </row>
    <row r="1112" spans="1:27" ht="18.600000000000001" customHeight="1">
      <c r="A1112" s="140" t="str">
        <f>IF(priority(Main[[#This Row],[Comments]])&lt;&gt;0, priority(Main[[#This Row],[Comments]]),"")</f>
        <v/>
      </c>
      <c r="B1112" s="90" t="s">
        <v>2780</v>
      </c>
      <c r="C1112" s="72" t="s">
        <v>4</v>
      </c>
      <c r="D1112" s="73" t="s">
        <v>3311</v>
      </c>
      <c r="E1112" s="74">
        <v>40899.185671296298</v>
      </c>
      <c r="F1112" s="74"/>
      <c r="G1112" s="75" t="str">
        <f>IF(stdProdLT(Main[[#This Row],[Comments]])=0.1,"N/A",IF(stdProdLT(Main[[#This Row],[Comments]])=0,"",stdProdLT(Main[[#This Row],[Comments]])))</f>
        <v/>
      </c>
      <c r="H1112" s="76" t="str">
        <f>IF(AND(Main[[#This Row],[In Stock Date]]&lt;&gt;"",Main[[#This Row],[Revised Due Date]]&lt;&gt;""),Main[[#This Row],[In Stock Date]]-Main[[#This Row],[Revised Due Date]],"")</f>
        <v/>
      </c>
      <c r="I1112" s="72" t="s">
        <v>69</v>
      </c>
      <c r="J1112" s="72" t="s">
        <v>28</v>
      </c>
      <c r="K1112" s="81" t="s">
        <v>1941</v>
      </c>
      <c r="L1112" s="74"/>
      <c r="M1112" s="77" t="str">
        <f>IF(Main[[#This Row],[Tech Start Date]]&lt;1/1/1990,"",IF(Main[[#This Row],[Class]]="C",WORKDAY(Main[[#This Row],[Tech Start Date]],9),IF(Main[[#This Row],[Class]]="B", WORKDAY(Main[[#This Row],[Tech Start Date]],6),IF(Main[[#This Row],[Class]]="A",WORKDAY(Main[[#This Row],[Tech Start Date]],2),""))))</f>
        <v/>
      </c>
      <c r="N1112" s="77" t="str">
        <f>IF(Main[[#This Row],[Tech Start Date]]&lt;1/1/1990,"",IF(Main[[#This Row],[Class]]="C",WORKDAY(Main[[#This Row],[Tech Start Date]],19),IF(Main[[#This Row],[Class]]="B", WORKDAY(Main[[#This Row],[Tech Start Date]],12),IF(Main[[#This Row],[Class]]="A",WORKDAY(Main[[#This Row],[Tech Start Date]],4),""))))</f>
        <v/>
      </c>
      <c r="O1112" s="77" t="str">
        <f>IF(Main[[#This Row],[Tech Start Date]]&lt;1/1/1990,"",IF(Main[[#This Row],[Class]]="C",WORKDAY(Main[[#This Row],[Tech Start Date]],23),IF(Main[[#This Row],[Class]]="B", WORKDAY(Main[[#This Row],[Tech Start Date]],15),IF(Main[[#This Row],[Class]]="A",WORKDAY(Main[[#This Row],[Tech Start Date]],5),""))))</f>
        <v/>
      </c>
      <c r="P1112" s="77" t="str">
        <f>IF(Main[[#This Row],[Tech Start Date]]&lt;1/1/1990,"",IF(Main[[#This Row],[Class]]="C",WORKDAY(Main[[#This Row],[Tech Start Date]],28),IF(Main[[#This Row],[Class]]="B", WORKDAY(Main[[#This Row],[Tech Start Date]],19),IF(Main[[#This Row],[Class]]="A",WORKDAY(Main[[#This Row],[Tech Start Date]],9),""))))</f>
        <v/>
      </c>
      <c r="Q1112" s="74">
        <v>40931</v>
      </c>
      <c r="R1112" s="74"/>
      <c r="S1112" s="72" t="s">
        <v>6</v>
      </c>
      <c r="T1112" s="80" t="s">
        <v>4</v>
      </c>
      <c r="U1112" s="72" t="s">
        <v>29</v>
      </c>
      <c r="V1112" s="72" t="s">
        <v>1935</v>
      </c>
      <c r="W1112" s="72" t="s">
        <v>1936</v>
      </c>
      <c r="X1112" s="72" t="s">
        <v>2906</v>
      </c>
      <c r="Y1112" s="72" t="s">
        <v>3025</v>
      </c>
      <c r="Z1112" s="72" t="s">
        <v>30</v>
      </c>
      <c r="AA1112" s="147" t="s">
        <v>2906</v>
      </c>
    </row>
    <row r="1113" spans="1:27" ht="18.600000000000001" customHeight="1">
      <c r="A1113" s="140" t="str">
        <f>IF(priority(Main[[#This Row],[Comments]])&lt;&gt;0, priority(Main[[#This Row],[Comments]]),"")</f>
        <v/>
      </c>
      <c r="B1113" s="90" t="s">
        <v>2414</v>
      </c>
      <c r="C1113" s="72" t="s">
        <v>72</v>
      </c>
      <c r="D1113" s="73" t="s">
        <v>2415</v>
      </c>
      <c r="E1113" s="74">
        <v>40856.064849537041</v>
      </c>
      <c r="F1113" s="74"/>
      <c r="G1113" s="75" t="str">
        <f>IF(stdProdLT(Main[[#This Row],[Comments]])=0.1,"N/A",IF(stdProdLT(Main[[#This Row],[Comments]])=0,"",stdProdLT(Main[[#This Row],[Comments]])))</f>
        <v/>
      </c>
      <c r="H1113" s="76" t="str">
        <f>IF(AND(Main[[#This Row],[In Stock Date]]&lt;&gt;"",Main[[#This Row],[Revised Due Date]]&lt;&gt;""),Main[[#This Row],[In Stock Date]]-Main[[#This Row],[Revised Due Date]],"")</f>
        <v/>
      </c>
      <c r="I1113" s="72" t="s">
        <v>4</v>
      </c>
      <c r="J1113" s="72" t="s">
        <v>4</v>
      </c>
      <c r="K1113" s="72" t="s">
        <v>4</v>
      </c>
      <c r="L1113" s="74"/>
      <c r="M1113" s="77" t="str">
        <f>IF(Main[[#This Row],[Tech Start Date]]&lt;1/1/1990,"",IF(Main[[#This Row],[Class]]="C",WORKDAY(Main[[#This Row],[Tech Start Date]],9),IF(Main[[#This Row],[Class]]="B", WORKDAY(Main[[#This Row],[Tech Start Date]],6),IF(Main[[#This Row],[Class]]="A",WORKDAY(Main[[#This Row],[Tech Start Date]],2),""))))</f>
        <v/>
      </c>
      <c r="N1113" s="77" t="str">
        <f>IF(Main[[#This Row],[Tech Start Date]]&lt;1/1/1990,"",IF(Main[[#This Row],[Class]]="C",WORKDAY(Main[[#This Row],[Tech Start Date]],19),IF(Main[[#This Row],[Class]]="B", WORKDAY(Main[[#This Row],[Tech Start Date]],12),IF(Main[[#This Row],[Class]]="A",WORKDAY(Main[[#This Row],[Tech Start Date]],4),""))))</f>
        <v/>
      </c>
      <c r="O1113" s="77" t="str">
        <f>IF(Main[[#This Row],[Tech Start Date]]&lt;1/1/1990,"",IF(Main[[#This Row],[Class]]="C",WORKDAY(Main[[#This Row],[Tech Start Date]],23),IF(Main[[#This Row],[Class]]="B", WORKDAY(Main[[#This Row],[Tech Start Date]],15),IF(Main[[#This Row],[Class]]="A",WORKDAY(Main[[#This Row],[Tech Start Date]],5),""))))</f>
        <v/>
      </c>
      <c r="P1113" s="77" t="str">
        <f>IF(Main[[#This Row],[Tech Start Date]]&lt;1/1/1990,"",IF(Main[[#This Row],[Class]]="C",WORKDAY(Main[[#This Row],[Tech Start Date]],28),IF(Main[[#This Row],[Class]]="B", WORKDAY(Main[[#This Row],[Tech Start Date]],19),IF(Main[[#This Row],[Class]]="A",WORKDAY(Main[[#This Row],[Tech Start Date]],9),""))))</f>
        <v/>
      </c>
      <c r="Q1113" s="74"/>
      <c r="R1113" s="74"/>
      <c r="S1113" s="72" t="s">
        <v>17</v>
      </c>
      <c r="T1113" s="80" t="s">
        <v>4</v>
      </c>
      <c r="U1113" s="72" t="s">
        <v>7</v>
      </c>
      <c r="V1113" s="72" t="s">
        <v>1933</v>
      </c>
      <c r="W1113" s="72" t="s">
        <v>1934</v>
      </c>
      <c r="X1113" s="72" t="s">
        <v>2974</v>
      </c>
      <c r="Y1113" s="72" t="s">
        <v>3134</v>
      </c>
      <c r="Z1113" s="72" t="s">
        <v>4</v>
      </c>
      <c r="AA1113" s="147" t="s">
        <v>2974</v>
      </c>
    </row>
    <row r="1114" spans="1:27" ht="18.600000000000001" customHeight="1">
      <c r="A1114" s="140" t="str">
        <f>IF(priority(Main[[#This Row],[Comments]])&lt;&gt;0, priority(Main[[#This Row],[Comments]]),"")</f>
        <v/>
      </c>
      <c r="B1114" s="90" t="s">
        <v>2504</v>
      </c>
      <c r="C1114" s="72" t="s">
        <v>47</v>
      </c>
      <c r="D1114" s="73" t="s">
        <v>2505</v>
      </c>
      <c r="E1114" s="74">
        <v>40847.703182870369</v>
      </c>
      <c r="F1114" s="74"/>
      <c r="G1114" s="75" t="str">
        <f>IF(stdProdLT(Main[[#This Row],[Comments]])=0.1,"N/A",IF(stdProdLT(Main[[#This Row],[Comments]])=0,"",stdProdLT(Main[[#This Row],[Comments]])))</f>
        <v/>
      </c>
      <c r="H1114" s="76" t="str">
        <f>IF(AND(Main[[#This Row],[In Stock Date]]&lt;&gt;"",Main[[#This Row],[Revised Due Date]]&lt;&gt;""),Main[[#This Row],[In Stock Date]]-Main[[#This Row],[Revised Due Date]],"")</f>
        <v/>
      </c>
      <c r="I1114" s="72" t="s">
        <v>69</v>
      </c>
      <c r="J1114" s="72" t="s">
        <v>28</v>
      </c>
      <c r="K1114" s="72" t="s">
        <v>1941</v>
      </c>
      <c r="L1114" s="74"/>
      <c r="M1114" s="77" t="str">
        <f>IF(Main[[#This Row],[Tech Start Date]]&lt;1/1/1990,"",IF(Main[[#This Row],[Class]]="C",WORKDAY(Main[[#This Row],[Tech Start Date]],9),IF(Main[[#This Row],[Class]]="B", WORKDAY(Main[[#This Row],[Tech Start Date]],6),IF(Main[[#This Row],[Class]]="A",WORKDAY(Main[[#This Row],[Tech Start Date]],2),""))))</f>
        <v/>
      </c>
      <c r="N1114" s="77" t="str">
        <f>IF(Main[[#This Row],[Tech Start Date]]&lt;1/1/1990,"",IF(Main[[#This Row],[Class]]="C",WORKDAY(Main[[#This Row],[Tech Start Date]],19),IF(Main[[#This Row],[Class]]="B", WORKDAY(Main[[#This Row],[Tech Start Date]],12),IF(Main[[#This Row],[Class]]="A",WORKDAY(Main[[#This Row],[Tech Start Date]],4),""))))</f>
        <v/>
      </c>
      <c r="O1114" s="77" t="str">
        <f>IF(Main[[#This Row],[Tech Start Date]]&lt;1/1/1990,"",IF(Main[[#This Row],[Class]]="C",WORKDAY(Main[[#This Row],[Tech Start Date]],23),IF(Main[[#This Row],[Class]]="B", WORKDAY(Main[[#This Row],[Tech Start Date]],15),IF(Main[[#This Row],[Class]]="A",WORKDAY(Main[[#This Row],[Tech Start Date]],5),""))))</f>
        <v/>
      </c>
      <c r="P1114" s="77" t="str">
        <f>IF(Main[[#This Row],[Tech Start Date]]&lt;1/1/1990,"",IF(Main[[#This Row],[Class]]="C",WORKDAY(Main[[#This Row],[Tech Start Date]],28),IF(Main[[#This Row],[Class]]="B", WORKDAY(Main[[#This Row],[Tech Start Date]],19),IF(Main[[#This Row],[Class]]="A",WORKDAY(Main[[#This Row],[Tech Start Date]],9),""))))</f>
        <v/>
      </c>
      <c r="Q1114" s="74">
        <v>40862</v>
      </c>
      <c r="R1114" s="74"/>
      <c r="S1114" s="72" t="s">
        <v>6</v>
      </c>
      <c r="T1114" s="80" t="s">
        <v>4</v>
      </c>
      <c r="U1114" s="72" t="s">
        <v>29</v>
      </c>
      <c r="V1114" s="72" t="s">
        <v>1935</v>
      </c>
      <c r="W1114" s="72" t="s">
        <v>1936</v>
      </c>
      <c r="X1114" s="72" t="s">
        <v>2949</v>
      </c>
      <c r="Y1114" s="72" t="s">
        <v>3097</v>
      </c>
      <c r="Z1114" s="72" t="s">
        <v>30</v>
      </c>
      <c r="AA1114" s="147" t="s">
        <v>2949</v>
      </c>
    </row>
    <row r="1115" spans="1:27" ht="18.600000000000001" customHeight="1">
      <c r="A1115" s="140" t="str">
        <f>IF(priority(Main[[#This Row],[Comments]])&lt;&gt;0, priority(Main[[#This Row],[Comments]]),"")</f>
        <v/>
      </c>
      <c r="B1115" s="90" t="s">
        <v>1893</v>
      </c>
      <c r="C1115" s="72" t="s">
        <v>99</v>
      </c>
      <c r="D1115" s="73" t="s">
        <v>939</v>
      </c>
      <c r="E1115" s="74"/>
      <c r="F1115" s="74">
        <v>40644</v>
      </c>
      <c r="G1115" s="75" t="str">
        <f>IF(stdProdLT(Main[[#This Row],[Comments]])=0.1,"N/A",IF(stdProdLT(Main[[#This Row],[Comments]])=0,"",stdProdLT(Main[[#This Row],[Comments]])))</f>
        <v/>
      </c>
      <c r="H1115" s="76">
        <f>IF(AND(Main[[#This Row],[In Stock Date]]&lt;&gt;"",Main[[#This Row],[Revised Due Date]]&lt;&gt;""),Main[[#This Row],[In Stock Date]]-Main[[#This Row],[Revised Due Date]],"")</f>
        <v>-19</v>
      </c>
      <c r="I1115" s="72" t="s">
        <v>4</v>
      </c>
      <c r="J1115" s="72" t="s">
        <v>21</v>
      </c>
      <c r="K1115" s="72" t="s">
        <v>1944</v>
      </c>
      <c r="L1115" s="74"/>
      <c r="M1115" s="77" t="str">
        <f>IF(Main[[#This Row],[Tech Start Date]]&lt;1/1/1990,"",IF(Main[[#This Row],[Class]]="C",WORKDAY(Main[[#This Row],[Tech Start Date]],9),IF(Main[[#This Row],[Class]]="B", WORKDAY(Main[[#This Row],[Tech Start Date]],6),IF(Main[[#This Row],[Class]]="A",WORKDAY(Main[[#This Row],[Tech Start Date]],2),""))))</f>
        <v/>
      </c>
      <c r="N1115" s="77" t="str">
        <f>IF(Main[[#This Row],[Tech Start Date]]&lt;1/1/1990,"",IF(Main[[#This Row],[Class]]="C",WORKDAY(Main[[#This Row],[Tech Start Date]],19),IF(Main[[#This Row],[Class]]="B", WORKDAY(Main[[#This Row],[Tech Start Date]],12),IF(Main[[#This Row],[Class]]="A",WORKDAY(Main[[#This Row],[Tech Start Date]],4),""))))</f>
        <v/>
      </c>
      <c r="O1115" s="77" t="str">
        <f>IF(Main[[#This Row],[Tech Start Date]]&lt;1/1/1990,"",IF(Main[[#This Row],[Class]]="C",WORKDAY(Main[[#This Row],[Tech Start Date]],23),IF(Main[[#This Row],[Class]]="B", WORKDAY(Main[[#This Row],[Tech Start Date]],15),IF(Main[[#This Row],[Class]]="A",WORKDAY(Main[[#This Row],[Tech Start Date]],5),""))))</f>
        <v/>
      </c>
      <c r="P1115" s="77" t="str">
        <f>IF(Main[[#This Row],[Tech Start Date]]&lt;1/1/1990,"",IF(Main[[#This Row],[Class]]="C",WORKDAY(Main[[#This Row],[Tech Start Date]],28),IF(Main[[#This Row],[Class]]="B", WORKDAY(Main[[#This Row],[Tech Start Date]],19),IF(Main[[#This Row],[Class]]="A",WORKDAY(Main[[#This Row],[Tech Start Date]],9),""))))</f>
        <v/>
      </c>
      <c r="Q1115" s="74">
        <v>40663</v>
      </c>
      <c r="R1115" s="74">
        <v>40663</v>
      </c>
      <c r="S1115" s="72" t="s">
        <v>11</v>
      </c>
      <c r="T1115" s="80" t="s">
        <v>4</v>
      </c>
      <c r="U1115" s="72" t="s">
        <v>14</v>
      </c>
      <c r="V1115" s="72" t="s">
        <v>1932</v>
      </c>
      <c r="W1115" s="72" t="s">
        <v>1937</v>
      </c>
      <c r="X1115" s="72" t="s">
        <v>2921</v>
      </c>
      <c r="Y1115" s="72" t="s">
        <v>3053</v>
      </c>
      <c r="Z1115" s="72" t="s">
        <v>129</v>
      </c>
      <c r="AA1115" s="147" t="s">
        <v>2918</v>
      </c>
    </row>
    <row r="1116" spans="1:27" ht="18.600000000000001" customHeight="1">
      <c r="A1116" s="140" t="str">
        <f>IF(priority(Main[[#This Row],[Comments]])&lt;&gt;0, priority(Main[[#This Row],[Comments]]),"")</f>
        <v/>
      </c>
      <c r="B1116" s="90" t="s">
        <v>2508</v>
      </c>
      <c r="C1116" s="72" t="s">
        <v>2454</v>
      </c>
      <c r="D1116" s="73" t="s">
        <v>2509</v>
      </c>
      <c r="E1116" s="74"/>
      <c r="F1116" s="74">
        <v>40969</v>
      </c>
      <c r="G1116" s="75" t="str">
        <f>IF(stdProdLT(Main[[#This Row],[Comments]])=0.1,"N/A",IF(stdProdLT(Main[[#This Row],[Comments]])=0,"",stdProdLT(Main[[#This Row],[Comments]])))</f>
        <v/>
      </c>
      <c r="H1116" s="76" t="str">
        <f>IF(AND(Main[[#This Row],[In Stock Date]]&lt;&gt;"",Main[[#This Row],[Revised Due Date]]&lt;&gt;""),Main[[#This Row],[In Stock Date]]-Main[[#This Row],[Revised Due Date]],"")</f>
        <v/>
      </c>
      <c r="I1116" s="72" t="s">
        <v>4</v>
      </c>
      <c r="J1116" s="72" t="s">
        <v>4</v>
      </c>
      <c r="K1116" s="72" t="s">
        <v>4</v>
      </c>
      <c r="L1116" s="74"/>
      <c r="M1116" s="77" t="str">
        <f>IF(Main[[#This Row],[Tech Start Date]]&lt;1/1/1990,"",IF(Main[[#This Row],[Class]]="C",WORKDAY(Main[[#This Row],[Tech Start Date]],9),IF(Main[[#This Row],[Class]]="B", WORKDAY(Main[[#This Row],[Tech Start Date]],6),IF(Main[[#This Row],[Class]]="A",WORKDAY(Main[[#This Row],[Tech Start Date]],2),""))))</f>
        <v/>
      </c>
      <c r="N1116" s="77" t="str">
        <f>IF(Main[[#This Row],[Tech Start Date]]&lt;1/1/1990,"",IF(Main[[#This Row],[Class]]="C",WORKDAY(Main[[#This Row],[Tech Start Date]],19),IF(Main[[#This Row],[Class]]="B", WORKDAY(Main[[#This Row],[Tech Start Date]],12),IF(Main[[#This Row],[Class]]="A",WORKDAY(Main[[#This Row],[Tech Start Date]],4),""))))</f>
        <v/>
      </c>
      <c r="O1116" s="77" t="str">
        <f>IF(Main[[#This Row],[Tech Start Date]]&lt;1/1/1990,"",IF(Main[[#This Row],[Class]]="C",WORKDAY(Main[[#This Row],[Tech Start Date]],23),IF(Main[[#This Row],[Class]]="B", WORKDAY(Main[[#This Row],[Tech Start Date]],15),IF(Main[[#This Row],[Class]]="A",WORKDAY(Main[[#This Row],[Tech Start Date]],5),""))))</f>
        <v/>
      </c>
      <c r="P1116" s="77" t="str">
        <f>IF(Main[[#This Row],[Tech Start Date]]&lt;1/1/1990,"",IF(Main[[#This Row],[Class]]="C",WORKDAY(Main[[#This Row],[Tech Start Date]],28),IF(Main[[#This Row],[Class]]="B", WORKDAY(Main[[#This Row],[Tech Start Date]],19),IF(Main[[#This Row],[Class]]="A",WORKDAY(Main[[#This Row],[Tech Start Date]],9),""))))</f>
        <v/>
      </c>
      <c r="Q1116" s="74"/>
      <c r="R1116" s="74"/>
      <c r="S1116" s="72" t="s">
        <v>4</v>
      </c>
      <c r="T1116" s="80" t="s">
        <v>2510</v>
      </c>
      <c r="U1116" s="72" t="s">
        <v>14</v>
      </c>
      <c r="V1116" s="72" t="s">
        <v>1935</v>
      </c>
      <c r="W1116" s="72" t="s">
        <v>4</v>
      </c>
      <c r="X1116" s="72" t="s">
        <v>2940</v>
      </c>
      <c r="Y1116" s="72" t="s">
        <v>4</v>
      </c>
      <c r="Z1116" s="72" t="s">
        <v>4</v>
      </c>
      <c r="AA1116" s="147" t="s">
        <v>4</v>
      </c>
    </row>
    <row r="1117" spans="1:27" ht="18.600000000000001" customHeight="1">
      <c r="A1117" s="140" t="str">
        <f>IF(priority(Main[[#This Row],[Comments]])&lt;&gt;0, priority(Main[[#This Row],[Comments]]),"")</f>
        <v/>
      </c>
      <c r="B1117" s="90" t="s">
        <v>2513</v>
      </c>
      <c r="C1117" s="72" t="s">
        <v>4</v>
      </c>
      <c r="D1117" s="73" t="s">
        <v>2514</v>
      </c>
      <c r="E1117" s="74">
        <v>40834.323900462965</v>
      </c>
      <c r="F1117" s="74"/>
      <c r="G1117" s="75" t="str">
        <f>IF(stdProdLT(Main[[#This Row],[Comments]])=0.1,"N/A",IF(stdProdLT(Main[[#This Row],[Comments]])=0,"",stdProdLT(Main[[#This Row],[Comments]])))</f>
        <v/>
      </c>
      <c r="H1117" s="76" t="str">
        <f>IF(AND(Main[[#This Row],[In Stock Date]]&lt;&gt;"",Main[[#This Row],[Revised Due Date]]&lt;&gt;""),Main[[#This Row],[In Stock Date]]-Main[[#This Row],[Revised Due Date]],"")</f>
        <v/>
      </c>
      <c r="I1117" s="72" t="s">
        <v>4</v>
      </c>
      <c r="J1117" s="72" t="s">
        <v>4</v>
      </c>
      <c r="K1117" s="72" t="s">
        <v>4</v>
      </c>
      <c r="L1117" s="74"/>
      <c r="M1117" s="77" t="str">
        <f>IF(Main[[#This Row],[Tech Start Date]]&lt;1/1/1990,"",IF(Main[[#This Row],[Class]]="C",WORKDAY(Main[[#This Row],[Tech Start Date]],9),IF(Main[[#This Row],[Class]]="B", WORKDAY(Main[[#This Row],[Tech Start Date]],6),IF(Main[[#This Row],[Class]]="A",WORKDAY(Main[[#This Row],[Tech Start Date]],2),""))))</f>
        <v/>
      </c>
      <c r="N1117" s="77" t="str">
        <f>IF(Main[[#This Row],[Tech Start Date]]&lt;1/1/1990,"",IF(Main[[#This Row],[Class]]="C",WORKDAY(Main[[#This Row],[Tech Start Date]],19),IF(Main[[#This Row],[Class]]="B", WORKDAY(Main[[#This Row],[Tech Start Date]],12),IF(Main[[#This Row],[Class]]="A",WORKDAY(Main[[#This Row],[Tech Start Date]],4),""))))</f>
        <v/>
      </c>
      <c r="O1117" s="77" t="str">
        <f>IF(Main[[#This Row],[Tech Start Date]]&lt;1/1/1990,"",IF(Main[[#This Row],[Class]]="C",WORKDAY(Main[[#This Row],[Tech Start Date]],23),IF(Main[[#This Row],[Class]]="B", WORKDAY(Main[[#This Row],[Tech Start Date]],15),IF(Main[[#This Row],[Class]]="A",WORKDAY(Main[[#This Row],[Tech Start Date]],5),""))))</f>
        <v/>
      </c>
      <c r="P1117" s="77" t="str">
        <f>IF(Main[[#This Row],[Tech Start Date]]&lt;1/1/1990,"",IF(Main[[#This Row],[Class]]="C",WORKDAY(Main[[#This Row],[Tech Start Date]],28),IF(Main[[#This Row],[Class]]="B", WORKDAY(Main[[#This Row],[Tech Start Date]],19),IF(Main[[#This Row],[Class]]="A",WORKDAY(Main[[#This Row],[Tech Start Date]],9),""))))</f>
        <v/>
      </c>
      <c r="Q1117" s="74"/>
      <c r="R1117" s="74"/>
      <c r="S1117" s="72" t="s">
        <v>6</v>
      </c>
      <c r="T1117" s="80" t="s">
        <v>4</v>
      </c>
      <c r="U1117" s="72" t="s">
        <v>7</v>
      </c>
      <c r="V1117" s="72" t="s">
        <v>1932</v>
      </c>
      <c r="W1117" s="72" t="s">
        <v>1936</v>
      </c>
      <c r="X1117" s="72" t="s">
        <v>403</v>
      </c>
      <c r="Y1117" s="72" t="s">
        <v>4</v>
      </c>
      <c r="Z1117" s="72" t="s">
        <v>4</v>
      </c>
      <c r="AA1117" s="147" t="s">
        <v>3573</v>
      </c>
    </row>
    <row r="1118" spans="1:27" ht="18.600000000000001" customHeight="1">
      <c r="A1118" s="140" t="str">
        <f>IF(priority(Main[[#This Row],[Comments]])&lt;&gt;0, priority(Main[[#This Row],[Comments]]),"")</f>
        <v/>
      </c>
      <c r="B1118" s="90" t="s">
        <v>2515</v>
      </c>
      <c r="C1118" s="72" t="s">
        <v>351</v>
      </c>
      <c r="D1118" s="73" t="s">
        <v>2366</v>
      </c>
      <c r="E1118" s="74">
        <v>40827.600601851853</v>
      </c>
      <c r="F1118" s="74"/>
      <c r="G1118" s="75" t="str">
        <f>IF(stdProdLT(Main[[#This Row],[Comments]])=0.1,"N/A",IF(stdProdLT(Main[[#This Row],[Comments]])=0,"",stdProdLT(Main[[#This Row],[Comments]])))</f>
        <v/>
      </c>
      <c r="H1118" s="76" t="str">
        <f>IF(AND(Main[[#This Row],[In Stock Date]]&lt;&gt;"",Main[[#This Row],[Revised Due Date]]&lt;&gt;""),Main[[#This Row],[In Stock Date]]-Main[[#This Row],[Revised Due Date]],"")</f>
        <v/>
      </c>
      <c r="I1118" s="72" t="s">
        <v>4</v>
      </c>
      <c r="J1118" s="72" t="s">
        <v>4</v>
      </c>
      <c r="K1118" s="72" t="s">
        <v>4</v>
      </c>
      <c r="L1118" s="74"/>
      <c r="M1118" s="77" t="str">
        <f>IF(Main[[#This Row],[Tech Start Date]]&lt;1/1/1990,"",IF(Main[[#This Row],[Class]]="C",WORKDAY(Main[[#This Row],[Tech Start Date]],9),IF(Main[[#This Row],[Class]]="B", WORKDAY(Main[[#This Row],[Tech Start Date]],6),IF(Main[[#This Row],[Class]]="A",WORKDAY(Main[[#This Row],[Tech Start Date]],2),""))))</f>
        <v/>
      </c>
      <c r="N1118" s="77" t="str">
        <f>IF(Main[[#This Row],[Tech Start Date]]&lt;1/1/1990,"",IF(Main[[#This Row],[Class]]="C",WORKDAY(Main[[#This Row],[Tech Start Date]],19),IF(Main[[#This Row],[Class]]="B", WORKDAY(Main[[#This Row],[Tech Start Date]],12),IF(Main[[#This Row],[Class]]="A",WORKDAY(Main[[#This Row],[Tech Start Date]],4),""))))</f>
        <v/>
      </c>
      <c r="O1118" s="77" t="str">
        <f>IF(Main[[#This Row],[Tech Start Date]]&lt;1/1/1990,"",IF(Main[[#This Row],[Class]]="C",WORKDAY(Main[[#This Row],[Tech Start Date]],23),IF(Main[[#This Row],[Class]]="B", WORKDAY(Main[[#This Row],[Tech Start Date]],15),IF(Main[[#This Row],[Class]]="A",WORKDAY(Main[[#This Row],[Tech Start Date]],5),""))))</f>
        <v/>
      </c>
      <c r="P1118" s="77" t="str">
        <f>IF(Main[[#This Row],[Tech Start Date]]&lt;1/1/1990,"",IF(Main[[#This Row],[Class]]="C",WORKDAY(Main[[#This Row],[Tech Start Date]],28),IF(Main[[#This Row],[Class]]="B", WORKDAY(Main[[#This Row],[Tech Start Date]],19),IF(Main[[#This Row],[Class]]="A",WORKDAY(Main[[#This Row],[Tech Start Date]],9),""))))</f>
        <v/>
      </c>
      <c r="Q1118" s="74">
        <v>40847</v>
      </c>
      <c r="R1118" s="74"/>
      <c r="S1118" s="72" t="s">
        <v>4</v>
      </c>
      <c r="T1118" s="80" t="s">
        <v>4</v>
      </c>
      <c r="U1118" s="72" t="s">
        <v>7</v>
      </c>
      <c r="V1118" s="72" t="s">
        <v>1932</v>
      </c>
      <c r="W1118" s="72" t="s">
        <v>4</v>
      </c>
      <c r="X1118" s="72" t="s">
        <v>2933</v>
      </c>
      <c r="Y1118" s="72" t="s">
        <v>3070</v>
      </c>
      <c r="Z1118" s="72" t="s">
        <v>4</v>
      </c>
      <c r="AA1118" s="147" t="s">
        <v>2933</v>
      </c>
    </row>
    <row r="1119" spans="1:27" ht="18.600000000000001" customHeight="1">
      <c r="A1119" s="140" t="str">
        <f>IF(priority(Main[[#This Row],[Comments]])&lt;&gt;0, priority(Main[[#This Row],[Comments]]),"")</f>
        <v/>
      </c>
      <c r="B1119" s="90" t="s">
        <v>2516</v>
      </c>
      <c r="C1119" s="72" t="s">
        <v>351</v>
      </c>
      <c r="D1119" s="73" t="s">
        <v>2517</v>
      </c>
      <c r="E1119" s="74">
        <v>40827.603530092594</v>
      </c>
      <c r="F1119" s="74"/>
      <c r="G1119" s="75" t="str">
        <f>IF(stdProdLT(Main[[#This Row],[Comments]])=0.1,"N/A",IF(stdProdLT(Main[[#This Row],[Comments]])=0,"",stdProdLT(Main[[#This Row],[Comments]])))</f>
        <v/>
      </c>
      <c r="H1119" s="76" t="str">
        <f>IF(AND(Main[[#This Row],[In Stock Date]]&lt;&gt;"",Main[[#This Row],[Revised Due Date]]&lt;&gt;""),Main[[#This Row],[In Stock Date]]-Main[[#This Row],[Revised Due Date]],"")</f>
        <v/>
      </c>
      <c r="I1119" s="72" t="s">
        <v>4</v>
      </c>
      <c r="J1119" s="72" t="s">
        <v>4</v>
      </c>
      <c r="K1119" s="72" t="s">
        <v>4</v>
      </c>
      <c r="L1119" s="74"/>
      <c r="M1119" s="77" t="str">
        <f>IF(Main[[#This Row],[Tech Start Date]]&lt;1/1/1990,"",IF(Main[[#This Row],[Class]]="C",WORKDAY(Main[[#This Row],[Tech Start Date]],9),IF(Main[[#This Row],[Class]]="B", WORKDAY(Main[[#This Row],[Tech Start Date]],6),IF(Main[[#This Row],[Class]]="A",WORKDAY(Main[[#This Row],[Tech Start Date]],2),""))))</f>
        <v/>
      </c>
      <c r="N1119" s="77" t="str">
        <f>IF(Main[[#This Row],[Tech Start Date]]&lt;1/1/1990,"",IF(Main[[#This Row],[Class]]="C",WORKDAY(Main[[#This Row],[Tech Start Date]],19),IF(Main[[#This Row],[Class]]="B", WORKDAY(Main[[#This Row],[Tech Start Date]],12),IF(Main[[#This Row],[Class]]="A",WORKDAY(Main[[#This Row],[Tech Start Date]],4),""))))</f>
        <v/>
      </c>
      <c r="O1119" s="77" t="str">
        <f>IF(Main[[#This Row],[Tech Start Date]]&lt;1/1/1990,"",IF(Main[[#This Row],[Class]]="C",WORKDAY(Main[[#This Row],[Tech Start Date]],23),IF(Main[[#This Row],[Class]]="B", WORKDAY(Main[[#This Row],[Tech Start Date]],15),IF(Main[[#This Row],[Class]]="A",WORKDAY(Main[[#This Row],[Tech Start Date]],5),""))))</f>
        <v/>
      </c>
      <c r="P1119" s="77" t="str">
        <f>IF(Main[[#This Row],[Tech Start Date]]&lt;1/1/1990,"",IF(Main[[#This Row],[Class]]="C",WORKDAY(Main[[#This Row],[Tech Start Date]],28),IF(Main[[#This Row],[Class]]="B", WORKDAY(Main[[#This Row],[Tech Start Date]],19),IF(Main[[#This Row],[Class]]="A",WORKDAY(Main[[#This Row],[Tech Start Date]],9),""))))</f>
        <v/>
      </c>
      <c r="Q1119" s="74">
        <v>40847</v>
      </c>
      <c r="R1119" s="74"/>
      <c r="S1119" s="72" t="s">
        <v>11</v>
      </c>
      <c r="T1119" s="80" t="s">
        <v>4</v>
      </c>
      <c r="U1119" s="72" t="s">
        <v>7</v>
      </c>
      <c r="V1119" s="72" t="s">
        <v>1932</v>
      </c>
      <c r="W1119" s="72" t="s">
        <v>4</v>
      </c>
      <c r="X1119" s="72" t="s">
        <v>2933</v>
      </c>
      <c r="Y1119" s="72" t="s">
        <v>3070</v>
      </c>
      <c r="Z1119" s="72" t="s">
        <v>4</v>
      </c>
      <c r="AA1119" s="147" t="s">
        <v>2933</v>
      </c>
    </row>
    <row r="1120" spans="1:27" ht="18.600000000000001" customHeight="1">
      <c r="A1120" s="140" t="str">
        <f>IF(priority(Main[[#This Row],[Comments]])&lt;&gt;0, priority(Main[[#This Row],[Comments]]),"")</f>
        <v/>
      </c>
      <c r="B1120" s="90" t="s">
        <v>2518</v>
      </c>
      <c r="C1120" s="72" t="s">
        <v>4</v>
      </c>
      <c r="D1120" s="73" t="s">
        <v>2519</v>
      </c>
      <c r="E1120" s="74"/>
      <c r="F1120" s="74"/>
      <c r="G1120" s="75" t="str">
        <f>IF(stdProdLT(Main[[#This Row],[Comments]])=0.1,"N/A",IF(stdProdLT(Main[[#This Row],[Comments]])=0,"",stdProdLT(Main[[#This Row],[Comments]])))</f>
        <v/>
      </c>
      <c r="H1120" s="76" t="str">
        <f>IF(AND(Main[[#This Row],[In Stock Date]]&lt;&gt;"",Main[[#This Row],[Revised Due Date]]&lt;&gt;""),Main[[#This Row],[In Stock Date]]-Main[[#This Row],[Revised Due Date]],"")</f>
        <v/>
      </c>
      <c r="I1120" s="72" t="s">
        <v>4</v>
      </c>
      <c r="J1120" s="72" t="s">
        <v>4</v>
      </c>
      <c r="K1120" s="72" t="s">
        <v>4</v>
      </c>
      <c r="L1120" s="74"/>
      <c r="M1120" s="77" t="str">
        <f>IF(Main[[#This Row],[Tech Start Date]]&lt;1/1/1990,"",IF(Main[[#This Row],[Class]]="C",WORKDAY(Main[[#This Row],[Tech Start Date]],9),IF(Main[[#This Row],[Class]]="B", WORKDAY(Main[[#This Row],[Tech Start Date]],6),IF(Main[[#This Row],[Class]]="A",WORKDAY(Main[[#This Row],[Tech Start Date]],2),""))))</f>
        <v/>
      </c>
      <c r="N1120" s="77" t="str">
        <f>IF(Main[[#This Row],[Tech Start Date]]&lt;1/1/1990,"",IF(Main[[#This Row],[Class]]="C",WORKDAY(Main[[#This Row],[Tech Start Date]],19),IF(Main[[#This Row],[Class]]="B", WORKDAY(Main[[#This Row],[Tech Start Date]],12),IF(Main[[#This Row],[Class]]="A",WORKDAY(Main[[#This Row],[Tech Start Date]],4),""))))</f>
        <v/>
      </c>
      <c r="O1120" s="77" t="str">
        <f>IF(Main[[#This Row],[Tech Start Date]]&lt;1/1/1990,"",IF(Main[[#This Row],[Class]]="C",WORKDAY(Main[[#This Row],[Tech Start Date]],23),IF(Main[[#This Row],[Class]]="B", WORKDAY(Main[[#This Row],[Tech Start Date]],15),IF(Main[[#This Row],[Class]]="A",WORKDAY(Main[[#This Row],[Tech Start Date]],5),""))))</f>
        <v/>
      </c>
      <c r="P1120" s="77" t="str">
        <f>IF(Main[[#This Row],[Tech Start Date]]&lt;1/1/1990,"",IF(Main[[#This Row],[Class]]="C",WORKDAY(Main[[#This Row],[Tech Start Date]],28),IF(Main[[#This Row],[Class]]="B", WORKDAY(Main[[#This Row],[Tech Start Date]],19),IF(Main[[#This Row],[Class]]="A",WORKDAY(Main[[#This Row],[Tech Start Date]],9),""))))</f>
        <v/>
      </c>
      <c r="Q1120" s="74"/>
      <c r="R1120" s="74"/>
      <c r="S1120" s="72" t="s">
        <v>11</v>
      </c>
      <c r="T1120" s="80" t="s">
        <v>4</v>
      </c>
      <c r="U1120" s="72" t="s">
        <v>14</v>
      </c>
      <c r="V1120" s="72" t="s">
        <v>1933</v>
      </c>
      <c r="W1120" s="72" t="s">
        <v>4</v>
      </c>
      <c r="X1120" s="72" t="s">
        <v>2278</v>
      </c>
      <c r="Y1120" s="72" t="s">
        <v>4</v>
      </c>
      <c r="Z1120" s="72" t="s">
        <v>4</v>
      </c>
      <c r="AA1120" s="147" t="s">
        <v>4</v>
      </c>
    </row>
    <row r="1121" spans="1:27" ht="18.600000000000001" customHeight="1">
      <c r="A1121" s="140" t="str">
        <f>IF(priority(Main[[#This Row],[Comments]])&lt;&gt;0, priority(Main[[#This Row],[Comments]]),"")</f>
        <v/>
      </c>
      <c r="B1121" s="90" t="s">
        <v>1297</v>
      </c>
      <c r="C1121" s="72" t="s">
        <v>37</v>
      </c>
      <c r="D1121" s="73" t="s">
        <v>2520</v>
      </c>
      <c r="E1121" s="74">
        <v>40767.457106481481</v>
      </c>
      <c r="F1121" s="74"/>
      <c r="G1121" s="75" t="str">
        <f>IF(stdProdLT(Main[[#This Row],[Comments]])=0.1,"N/A",IF(stdProdLT(Main[[#This Row],[Comments]])=0,"",stdProdLT(Main[[#This Row],[Comments]])))</f>
        <v/>
      </c>
      <c r="H1121" s="76" t="str">
        <f>IF(AND(Main[[#This Row],[In Stock Date]]&lt;&gt;"",Main[[#This Row],[Revised Due Date]]&lt;&gt;""),Main[[#This Row],[In Stock Date]]-Main[[#This Row],[Revised Due Date]],"")</f>
        <v/>
      </c>
      <c r="I1121" s="72" t="s">
        <v>4</v>
      </c>
      <c r="J1121" s="72" t="s">
        <v>4</v>
      </c>
      <c r="K1121" s="81" t="s">
        <v>4</v>
      </c>
      <c r="L1121" s="74"/>
      <c r="M1121" s="77" t="str">
        <f>IF(Main[[#This Row],[Tech Start Date]]&lt;1/1/1990,"",IF(Main[[#This Row],[Class]]="C",WORKDAY(Main[[#This Row],[Tech Start Date]],9),IF(Main[[#This Row],[Class]]="B", WORKDAY(Main[[#This Row],[Tech Start Date]],6),IF(Main[[#This Row],[Class]]="A",WORKDAY(Main[[#This Row],[Tech Start Date]],2),""))))</f>
        <v/>
      </c>
      <c r="N1121" s="77" t="str">
        <f>IF(Main[[#This Row],[Tech Start Date]]&lt;1/1/1990,"",IF(Main[[#This Row],[Class]]="C",WORKDAY(Main[[#This Row],[Tech Start Date]],19),IF(Main[[#This Row],[Class]]="B", WORKDAY(Main[[#This Row],[Tech Start Date]],12),IF(Main[[#This Row],[Class]]="A",WORKDAY(Main[[#This Row],[Tech Start Date]],4),""))))</f>
        <v/>
      </c>
      <c r="O1121" s="77" t="str">
        <f>IF(Main[[#This Row],[Tech Start Date]]&lt;1/1/1990,"",IF(Main[[#This Row],[Class]]="C",WORKDAY(Main[[#This Row],[Tech Start Date]],23),IF(Main[[#This Row],[Class]]="B", WORKDAY(Main[[#This Row],[Tech Start Date]],15),IF(Main[[#This Row],[Class]]="A",WORKDAY(Main[[#This Row],[Tech Start Date]],5),""))))</f>
        <v/>
      </c>
      <c r="P1121" s="77" t="str">
        <f>IF(Main[[#This Row],[Tech Start Date]]&lt;1/1/1990,"",IF(Main[[#This Row],[Class]]="C",WORKDAY(Main[[#This Row],[Tech Start Date]],28),IF(Main[[#This Row],[Class]]="B", WORKDAY(Main[[#This Row],[Tech Start Date]],19),IF(Main[[#This Row],[Class]]="A",WORKDAY(Main[[#This Row],[Tech Start Date]],9),""))))</f>
        <v/>
      </c>
      <c r="Q1121" s="74">
        <v>40715</v>
      </c>
      <c r="R1121" s="74"/>
      <c r="S1121" s="72" t="s">
        <v>6</v>
      </c>
      <c r="T1121" s="80" t="s">
        <v>4</v>
      </c>
      <c r="U1121" s="72" t="s">
        <v>7</v>
      </c>
      <c r="V1121" s="72" t="s">
        <v>1932</v>
      </c>
      <c r="W1121" s="72" t="s">
        <v>1943</v>
      </c>
      <c r="X1121" s="72" t="s">
        <v>982</v>
      </c>
      <c r="Y1121" s="72" t="s">
        <v>3184</v>
      </c>
      <c r="Z1121" s="72" t="s">
        <v>4</v>
      </c>
      <c r="AA1121" s="147" t="s">
        <v>982</v>
      </c>
    </row>
    <row r="1122" spans="1:27" ht="18.600000000000001" customHeight="1">
      <c r="A1122" s="140" t="str">
        <f>IF(priority(Main[[#This Row],[Comments]])&lt;&gt;0, priority(Main[[#This Row],[Comments]]),"")</f>
        <v/>
      </c>
      <c r="B1122" s="90" t="s">
        <v>1126</v>
      </c>
      <c r="C1122" s="72" t="s">
        <v>37</v>
      </c>
      <c r="D1122" s="73" t="s">
        <v>2521</v>
      </c>
      <c r="E1122" s="74">
        <v>40767.459861111114</v>
      </c>
      <c r="F1122" s="74"/>
      <c r="G1122" s="75" t="str">
        <f>IF(stdProdLT(Main[[#This Row],[Comments]])=0.1,"N/A",IF(stdProdLT(Main[[#This Row],[Comments]])=0,"",stdProdLT(Main[[#This Row],[Comments]])))</f>
        <v/>
      </c>
      <c r="H1122" s="76" t="str">
        <f>IF(AND(Main[[#This Row],[In Stock Date]]&lt;&gt;"",Main[[#This Row],[Revised Due Date]]&lt;&gt;""),Main[[#This Row],[In Stock Date]]-Main[[#This Row],[Revised Due Date]],"")</f>
        <v/>
      </c>
      <c r="I1122" s="72" t="s">
        <v>4</v>
      </c>
      <c r="J1122" s="72" t="s">
        <v>4</v>
      </c>
      <c r="K1122" s="72" t="s">
        <v>4</v>
      </c>
      <c r="L1122" s="74"/>
      <c r="M1122" s="77" t="str">
        <f>IF(Main[[#This Row],[Tech Start Date]]&lt;1/1/1990,"",IF(Main[[#This Row],[Class]]="C",WORKDAY(Main[[#This Row],[Tech Start Date]],9),IF(Main[[#This Row],[Class]]="B", WORKDAY(Main[[#This Row],[Tech Start Date]],6),IF(Main[[#This Row],[Class]]="A",WORKDAY(Main[[#This Row],[Tech Start Date]],2),""))))</f>
        <v/>
      </c>
      <c r="N1122" s="77" t="str">
        <f>IF(Main[[#This Row],[Tech Start Date]]&lt;1/1/1990,"",IF(Main[[#This Row],[Class]]="C",WORKDAY(Main[[#This Row],[Tech Start Date]],19),IF(Main[[#This Row],[Class]]="B", WORKDAY(Main[[#This Row],[Tech Start Date]],12),IF(Main[[#This Row],[Class]]="A",WORKDAY(Main[[#This Row],[Tech Start Date]],4),""))))</f>
        <v/>
      </c>
      <c r="O1122" s="77" t="str">
        <f>IF(Main[[#This Row],[Tech Start Date]]&lt;1/1/1990,"",IF(Main[[#This Row],[Class]]="C",WORKDAY(Main[[#This Row],[Tech Start Date]],23),IF(Main[[#This Row],[Class]]="B", WORKDAY(Main[[#This Row],[Tech Start Date]],15),IF(Main[[#This Row],[Class]]="A",WORKDAY(Main[[#This Row],[Tech Start Date]],5),""))))</f>
        <v/>
      </c>
      <c r="P1122" s="77" t="str">
        <f>IF(Main[[#This Row],[Tech Start Date]]&lt;1/1/1990,"",IF(Main[[#This Row],[Class]]="C",WORKDAY(Main[[#This Row],[Tech Start Date]],28),IF(Main[[#This Row],[Class]]="B", WORKDAY(Main[[#This Row],[Tech Start Date]],19),IF(Main[[#This Row],[Class]]="A",WORKDAY(Main[[#This Row],[Tech Start Date]],9),""))))</f>
        <v/>
      </c>
      <c r="Q1122" s="74">
        <v>40716</v>
      </c>
      <c r="R1122" s="74"/>
      <c r="S1122" s="72" t="s">
        <v>6</v>
      </c>
      <c r="T1122" s="80" t="s">
        <v>4</v>
      </c>
      <c r="U1122" s="72" t="s">
        <v>7</v>
      </c>
      <c r="V1122" s="72" t="s">
        <v>1932</v>
      </c>
      <c r="W1122" s="72" t="s">
        <v>1943</v>
      </c>
      <c r="X1122" s="72" t="s">
        <v>982</v>
      </c>
      <c r="Y1122" s="72" t="s">
        <v>3184</v>
      </c>
      <c r="Z1122" s="72" t="s">
        <v>4</v>
      </c>
      <c r="AA1122" s="147" t="s">
        <v>982</v>
      </c>
    </row>
    <row r="1123" spans="1:27" ht="18.600000000000001" customHeight="1">
      <c r="A1123" s="140" t="str">
        <f>IF(priority(Main[[#This Row],[Comments]])&lt;&gt;0, priority(Main[[#This Row],[Comments]]),"")</f>
        <v/>
      </c>
      <c r="B1123" s="90" t="s">
        <v>2524</v>
      </c>
      <c r="C1123" s="72" t="s">
        <v>4</v>
      </c>
      <c r="D1123" s="73" t="s">
        <v>2525</v>
      </c>
      <c r="E1123" s="74">
        <v>40857.542858796296</v>
      </c>
      <c r="F1123" s="74"/>
      <c r="G1123" s="75" t="str">
        <f>IF(stdProdLT(Main[[#This Row],[Comments]])=0.1,"N/A",IF(stdProdLT(Main[[#This Row],[Comments]])=0,"",stdProdLT(Main[[#This Row],[Comments]])))</f>
        <v/>
      </c>
      <c r="H1123" s="76" t="str">
        <f>IF(AND(Main[[#This Row],[In Stock Date]]&lt;&gt;"",Main[[#This Row],[Revised Due Date]]&lt;&gt;""),Main[[#This Row],[In Stock Date]]-Main[[#This Row],[Revised Due Date]],"")</f>
        <v/>
      </c>
      <c r="I1123" s="72" t="s">
        <v>4</v>
      </c>
      <c r="J1123" s="72" t="s">
        <v>4</v>
      </c>
      <c r="K1123" s="72" t="s">
        <v>4</v>
      </c>
      <c r="L1123" s="74"/>
      <c r="M1123" s="77" t="str">
        <f>IF(Main[[#This Row],[Tech Start Date]]&lt;1/1/1990,"",IF(Main[[#This Row],[Class]]="C",WORKDAY(Main[[#This Row],[Tech Start Date]],9),IF(Main[[#This Row],[Class]]="B", WORKDAY(Main[[#This Row],[Tech Start Date]],6),IF(Main[[#This Row],[Class]]="A",WORKDAY(Main[[#This Row],[Tech Start Date]],2),""))))</f>
        <v/>
      </c>
      <c r="N1123" s="77" t="str">
        <f>IF(Main[[#This Row],[Tech Start Date]]&lt;1/1/1990,"",IF(Main[[#This Row],[Class]]="C",WORKDAY(Main[[#This Row],[Tech Start Date]],19),IF(Main[[#This Row],[Class]]="B", WORKDAY(Main[[#This Row],[Tech Start Date]],12),IF(Main[[#This Row],[Class]]="A",WORKDAY(Main[[#This Row],[Tech Start Date]],4),""))))</f>
        <v/>
      </c>
      <c r="O1123" s="77" t="str">
        <f>IF(Main[[#This Row],[Tech Start Date]]&lt;1/1/1990,"",IF(Main[[#This Row],[Class]]="C",WORKDAY(Main[[#This Row],[Tech Start Date]],23),IF(Main[[#This Row],[Class]]="B", WORKDAY(Main[[#This Row],[Tech Start Date]],15),IF(Main[[#This Row],[Class]]="A",WORKDAY(Main[[#This Row],[Tech Start Date]],5),""))))</f>
        <v/>
      </c>
      <c r="P1123" s="77" t="str">
        <f>IF(Main[[#This Row],[Tech Start Date]]&lt;1/1/1990,"",IF(Main[[#This Row],[Class]]="C",WORKDAY(Main[[#This Row],[Tech Start Date]],28),IF(Main[[#This Row],[Class]]="B", WORKDAY(Main[[#This Row],[Tech Start Date]],19),IF(Main[[#This Row],[Class]]="A",WORKDAY(Main[[#This Row],[Tech Start Date]],9),""))))</f>
        <v/>
      </c>
      <c r="Q1123" s="74"/>
      <c r="R1123" s="74"/>
      <c r="S1123" s="72" t="s">
        <v>11</v>
      </c>
      <c r="T1123" s="80" t="s">
        <v>4</v>
      </c>
      <c r="U1123" s="72" t="s">
        <v>29</v>
      </c>
      <c r="V1123" s="72" t="s">
        <v>1933</v>
      </c>
      <c r="W1123" s="72" t="s">
        <v>4</v>
      </c>
      <c r="X1123" s="72" t="s">
        <v>2278</v>
      </c>
      <c r="Y1123" s="72" t="s">
        <v>4</v>
      </c>
      <c r="Z1123" s="72" t="s">
        <v>4</v>
      </c>
      <c r="AA1123" s="147" t="s">
        <v>4</v>
      </c>
    </row>
    <row r="1124" spans="1:27" ht="18.600000000000001" customHeight="1">
      <c r="A1124" s="140" t="str">
        <f>IF(priority(Main[[#This Row],[Comments]])&lt;&gt;0, priority(Main[[#This Row],[Comments]]),"")</f>
        <v/>
      </c>
      <c r="B1124" s="90" t="s">
        <v>2526</v>
      </c>
      <c r="C1124" s="72" t="s">
        <v>4</v>
      </c>
      <c r="D1124" s="73" t="s">
        <v>2527</v>
      </c>
      <c r="E1124" s="74">
        <v>40820.695763888885</v>
      </c>
      <c r="F1124" s="74"/>
      <c r="G1124" s="75" t="str">
        <f>IF(stdProdLT(Main[[#This Row],[Comments]])=0.1,"N/A",IF(stdProdLT(Main[[#This Row],[Comments]])=0,"",stdProdLT(Main[[#This Row],[Comments]])))</f>
        <v/>
      </c>
      <c r="H1124" s="76" t="str">
        <f>IF(AND(Main[[#This Row],[In Stock Date]]&lt;&gt;"",Main[[#This Row],[Revised Due Date]]&lt;&gt;""),Main[[#This Row],[In Stock Date]]-Main[[#This Row],[Revised Due Date]],"")</f>
        <v/>
      </c>
      <c r="I1124" s="72" t="s">
        <v>4</v>
      </c>
      <c r="J1124" s="72" t="s">
        <v>4</v>
      </c>
      <c r="K1124" s="72" t="s">
        <v>4</v>
      </c>
      <c r="L1124" s="74"/>
      <c r="M1124" s="77" t="str">
        <f>IF(Main[[#This Row],[Tech Start Date]]&lt;1/1/1990,"",IF(Main[[#This Row],[Class]]="C",WORKDAY(Main[[#This Row],[Tech Start Date]],9),IF(Main[[#This Row],[Class]]="B", WORKDAY(Main[[#This Row],[Tech Start Date]],6),IF(Main[[#This Row],[Class]]="A",WORKDAY(Main[[#This Row],[Tech Start Date]],2),""))))</f>
        <v/>
      </c>
      <c r="N1124" s="77" t="str">
        <f>IF(Main[[#This Row],[Tech Start Date]]&lt;1/1/1990,"",IF(Main[[#This Row],[Class]]="C",WORKDAY(Main[[#This Row],[Tech Start Date]],19),IF(Main[[#This Row],[Class]]="B", WORKDAY(Main[[#This Row],[Tech Start Date]],12),IF(Main[[#This Row],[Class]]="A",WORKDAY(Main[[#This Row],[Tech Start Date]],4),""))))</f>
        <v/>
      </c>
      <c r="O1124" s="77" t="str">
        <f>IF(Main[[#This Row],[Tech Start Date]]&lt;1/1/1990,"",IF(Main[[#This Row],[Class]]="C",WORKDAY(Main[[#This Row],[Tech Start Date]],23),IF(Main[[#This Row],[Class]]="B", WORKDAY(Main[[#This Row],[Tech Start Date]],15),IF(Main[[#This Row],[Class]]="A",WORKDAY(Main[[#This Row],[Tech Start Date]],5),""))))</f>
        <v/>
      </c>
      <c r="P1124" s="77" t="str">
        <f>IF(Main[[#This Row],[Tech Start Date]]&lt;1/1/1990,"",IF(Main[[#This Row],[Class]]="C",WORKDAY(Main[[#This Row],[Tech Start Date]],28),IF(Main[[#This Row],[Class]]="B", WORKDAY(Main[[#This Row],[Tech Start Date]],19),IF(Main[[#This Row],[Class]]="A",WORKDAY(Main[[#This Row],[Tech Start Date]],9),""))))</f>
        <v/>
      </c>
      <c r="Q1124" s="74"/>
      <c r="R1124" s="74"/>
      <c r="S1124" s="72" t="s">
        <v>6</v>
      </c>
      <c r="T1124" s="80" t="s">
        <v>4</v>
      </c>
      <c r="U1124" s="72" t="s">
        <v>29</v>
      </c>
      <c r="V1124" s="72" t="s">
        <v>1935</v>
      </c>
      <c r="W1124" s="72" t="s">
        <v>1936</v>
      </c>
      <c r="X1124" s="72" t="s">
        <v>102</v>
      </c>
      <c r="Y1124" s="72" t="s">
        <v>3203</v>
      </c>
      <c r="Z1124" s="72" t="s">
        <v>4</v>
      </c>
      <c r="AA1124" s="147" t="s">
        <v>894</v>
      </c>
    </row>
    <row r="1125" spans="1:27" ht="18.600000000000001" customHeight="1">
      <c r="A1125" s="140" t="str">
        <f>IF(priority(Main[[#This Row],[Comments]])&lt;&gt;0, priority(Main[[#This Row],[Comments]]),"")</f>
        <v/>
      </c>
      <c r="B1125" s="90" t="s">
        <v>3760</v>
      </c>
      <c r="C1125" s="72" t="s">
        <v>4</v>
      </c>
      <c r="D1125" s="73" t="s">
        <v>3761</v>
      </c>
      <c r="E1125" s="74">
        <v>40949.644756944443</v>
      </c>
      <c r="F1125" s="74"/>
      <c r="G1125" s="75" t="str">
        <f>IF(stdProdLT(Main[[#This Row],[Comments]])=0.1,"N/A",IF(stdProdLT(Main[[#This Row],[Comments]])=0,"",stdProdLT(Main[[#This Row],[Comments]])))</f>
        <v/>
      </c>
      <c r="H1125" s="76" t="str">
        <f>IF(AND(Main[[#This Row],[In Stock Date]]&lt;&gt;"",Main[[#This Row],[Revised Due Date]]&lt;&gt;""),Main[[#This Row],[In Stock Date]]-Main[[#This Row],[Revised Due Date]],"")</f>
        <v/>
      </c>
      <c r="I1125" s="72" t="s">
        <v>4</v>
      </c>
      <c r="J1125" s="72" t="s">
        <v>4</v>
      </c>
      <c r="K1125" s="72" t="s">
        <v>4</v>
      </c>
      <c r="L1125" s="74"/>
      <c r="M1125" s="77" t="str">
        <f>IF(Main[[#This Row],[Tech Start Date]]&lt;1/1/1990,"",IF(Main[[#This Row],[Class]]="C",WORKDAY(Main[[#This Row],[Tech Start Date]],9),IF(Main[[#This Row],[Class]]="B", WORKDAY(Main[[#This Row],[Tech Start Date]],6),IF(Main[[#This Row],[Class]]="A",WORKDAY(Main[[#This Row],[Tech Start Date]],2),""))))</f>
        <v/>
      </c>
      <c r="N1125" s="77" t="str">
        <f>IF(Main[[#This Row],[Tech Start Date]]&lt;1/1/1990,"",IF(Main[[#This Row],[Class]]="C",WORKDAY(Main[[#This Row],[Tech Start Date]],19),IF(Main[[#This Row],[Class]]="B", WORKDAY(Main[[#This Row],[Tech Start Date]],12),IF(Main[[#This Row],[Class]]="A",WORKDAY(Main[[#This Row],[Tech Start Date]],4),""))))</f>
        <v/>
      </c>
      <c r="O1125" s="77" t="str">
        <f>IF(Main[[#This Row],[Tech Start Date]]&lt;1/1/1990,"",IF(Main[[#This Row],[Class]]="C",WORKDAY(Main[[#This Row],[Tech Start Date]],23),IF(Main[[#This Row],[Class]]="B", WORKDAY(Main[[#This Row],[Tech Start Date]],15),IF(Main[[#This Row],[Class]]="A",WORKDAY(Main[[#This Row],[Tech Start Date]],5),""))))</f>
        <v/>
      </c>
      <c r="P1125" s="77" t="str">
        <f>IF(Main[[#This Row],[Tech Start Date]]&lt;1/1/1990,"",IF(Main[[#This Row],[Class]]="C",WORKDAY(Main[[#This Row],[Tech Start Date]],28),IF(Main[[#This Row],[Class]]="B", WORKDAY(Main[[#This Row],[Tech Start Date]],19),IF(Main[[#This Row],[Class]]="A",WORKDAY(Main[[#This Row],[Tech Start Date]],9),""))))</f>
        <v/>
      </c>
      <c r="Q1125" s="74">
        <v>40959</v>
      </c>
      <c r="R1125" s="74"/>
      <c r="S1125" s="72" t="s">
        <v>4</v>
      </c>
      <c r="T1125" s="80" t="s">
        <v>4</v>
      </c>
      <c r="U1125" s="72" t="s">
        <v>7</v>
      </c>
      <c r="V1125" s="72" t="s">
        <v>1932</v>
      </c>
      <c r="W1125" s="72" t="s">
        <v>4</v>
      </c>
      <c r="X1125" s="72" t="s">
        <v>968</v>
      </c>
      <c r="Y1125" s="72" t="s">
        <v>4</v>
      </c>
      <c r="Z1125" s="72" t="s">
        <v>4</v>
      </c>
      <c r="AA1125" s="147" t="s">
        <v>4</v>
      </c>
    </row>
    <row r="1126" spans="1:27" ht="18.600000000000001" customHeight="1">
      <c r="A1126" s="140" t="str">
        <f>IF(priority(Main[[#This Row],[Comments]])&lt;&gt;0, priority(Main[[#This Row],[Comments]]),"")</f>
        <v/>
      </c>
      <c r="B1126" s="90" t="s">
        <v>3762</v>
      </c>
      <c r="C1126" s="72" t="s">
        <v>53</v>
      </c>
      <c r="D1126" s="73" t="s">
        <v>3763</v>
      </c>
      <c r="E1126" s="74">
        <v>40950.107534722221</v>
      </c>
      <c r="F1126" s="74"/>
      <c r="G1126" s="75" t="str">
        <f>IF(stdProdLT(Main[[#This Row],[Comments]])=0.1,"N/A",IF(stdProdLT(Main[[#This Row],[Comments]])=0,"",stdProdLT(Main[[#This Row],[Comments]])))</f>
        <v/>
      </c>
      <c r="H1126" s="76" t="str">
        <f>IF(AND(Main[[#This Row],[In Stock Date]]&lt;&gt;"",Main[[#This Row],[Revised Due Date]]&lt;&gt;""),Main[[#This Row],[In Stock Date]]-Main[[#This Row],[Revised Due Date]],"")</f>
        <v/>
      </c>
      <c r="I1126" s="72" t="s">
        <v>4</v>
      </c>
      <c r="J1126" s="72" t="s">
        <v>4</v>
      </c>
      <c r="K1126" s="72" t="s">
        <v>4</v>
      </c>
      <c r="L1126" s="74"/>
      <c r="M1126" s="77" t="str">
        <f>IF(Main[[#This Row],[Tech Start Date]]&lt;1/1/1990,"",IF(Main[[#This Row],[Class]]="C",WORKDAY(Main[[#This Row],[Tech Start Date]],9),IF(Main[[#This Row],[Class]]="B", WORKDAY(Main[[#This Row],[Tech Start Date]],6),IF(Main[[#This Row],[Class]]="A",WORKDAY(Main[[#This Row],[Tech Start Date]],2),""))))</f>
        <v/>
      </c>
      <c r="N1126" s="77" t="str">
        <f>IF(Main[[#This Row],[Tech Start Date]]&lt;1/1/1990,"",IF(Main[[#This Row],[Class]]="C",WORKDAY(Main[[#This Row],[Tech Start Date]],19),IF(Main[[#This Row],[Class]]="B", WORKDAY(Main[[#This Row],[Tech Start Date]],12),IF(Main[[#This Row],[Class]]="A",WORKDAY(Main[[#This Row],[Tech Start Date]],4),""))))</f>
        <v/>
      </c>
      <c r="O1126" s="77" t="str">
        <f>IF(Main[[#This Row],[Tech Start Date]]&lt;1/1/1990,"",IF(Main[[#This Row],[Class]]="C",WORKDAY(Main[[#This Row],[Tech Start Date]],23),IF(Main[[#This Row],[Class]]="B", WORKDAY(Main[[#This Row],[Tech Start Date]],15),IF(Main[[#This Row],[Class]]="A",WORKDAY(Main[[#This Row],[Tech Start Date]],5),""))))</f>
        <v/>
      </c>
      <c r="P1126" s="77" t="str">
        <f>IF(Main[[#This Row],[Tech Start Date]]&lt;1/1/1990,"",IF(Main[[#This Row],[Class]]="C",WORKDAY(Main[[#This Row],[Tech Start Date]],28),IF(Main[[#This Row],[Class]]="B", WORKDAY(Main[[#This Row],[Tech Start Date]],19),IF(Main[[#This Row],[Class]]="A",WORKDAY(Main[[#This Row],[Tech Start Date]],9),""))))</f>
        <v/>
      </c>
      <c r="Q1126" s="74">
        <v>40956</v>
      </c>
      <c r="R1126" s="74"/>
      <c r="S1126" s="72" t="s">
        <v>11</v>
      </c>
      <c r="T1126" s="80" t="s">
        <v>4</v>
      </c>
      <c r="U1126" s="72" t="s">
        <v>7</v>
      </c>
      <c r="V1126" s="72" t="s">
        <v>1935</v>
      </c>
      <c r="W1126" s="72" t="s">
        <v>1934</v>
      </c>
      <c r="X1126" s="72" t="s">
        <v>3764</v>
      </c>
      <c r="Y1126" s="72" t="s">
        <v>4</v>
      </c>
      <c r="Z1126" s="72" t="s">
        <v>4</v>
      </c>
      <c r="AA1126" s="147" t="s">
        <v>3764</v>
      </c>
    </row>
    <row r="1127" spans="1:27" ht="18.600000000000001" customHeight="1">
      <c r="A1127" s="140" t="str">
        <f>IF(priority(Main[[#This Row],[Comments]])&lt;&gt;0, priority(Main[[#This Row],[Comments]]),"")</f>
        <v/>
      </c>
      <c r="B1127" s="90" t="s">
        <v>3765</v>
      </c>
      <c r="C1127" s="72" t="s">
        <v>31</v>
      </c>
      <c r="D1127" s="73" t="s">
        <v>3766</v>
      </c>
      <c r="E1127" s="74">
        <v>40949.276689814818</v>
      </c>
      <c r="F1127" s="74">
        <v>41091</v>
      </c>
      <c r="G1127" s="75" t="str">
        <f>IF(stdProdLT(Main[[#This Row],[Comments]])=0.1,"N/A",IF(stdProdLT(Main[[#This Row],[Comments]])=0,"",stdProdLT(Main[[#This Row],[Comments]])))</f>
        <v/>
      </c>
      <c r="H1127" s="76" t="str">
        <f>IF(AND(Main[[#This Row],[In Stock Date]]&lt;&gt;"",Main[[#This Row],[Revised Due Date]]&lt;&gt;""),Main[[#This Row],[In Stock Date]]-Main[[#This Row],[Revised Due Date]],"")</f>
        <v/>
      </c>
      <c r="I1127" s="72" t="s">
        <v>4</v>
      </c>
      <c r="J1127" s="72" t="s">
        <v>4</v>
      </c>
      <c r="K1127" s="81" t="s">
        <v>4</v>
      </c>
      <c r="L1127" s="74"/>
      <c r="M1127" s="77" t="str">
        <f>IF(Main[[#This Row],[Tech Start Date]]&lt;1/1/1990,"",IF(Main[[#This Row],[Class]]="C",WORKDAY(Main[[#This Row],[Tech Start Date]],9),IF(Main[[#This Row],[Class]]="B", WORKDAY(Main[[#This Row],[Tech Start Date]],6),IF(Main[[#This Row],[Class]]="A",WORKDAY(Main[[#This Row],[Tech Start Date]],2),""))))</f>
        <v/>
      </c>
      <c r="N1127" s="77" t="str">
        <f>IF(Main[[#This Row],[Tech Start Date]]&lt;1/1/1990,"",IF(Main[[#This Row],[Class]]="C",WORKDAY(Main[[#This Row],[Tech Start Date]],19),IF(Main[[#This Row],[Class]]="B", WORKDAY(Main[[#This Row],[Tech Start Date]],12),IF(Main[[#This Row],[Class]]="A",WORKDAY(Main[[#This Row],[Tech Start Date]],4),""))))</f>
        <v/>
      </c>
      <c r="O1127" s="77" t="str">
        <f>IF(Main[[#This Row],[Tech Start Date]]&lt;1/1/1990,"",IF(Main[[#This Row],[Class]]="C",WORKDAY(Main[[#This Row],[Tech Start Date]],23),IF(Main[[#This Row],[Class]]="B", WORKDAY(Main[[#This Row],[Tech Start Date]],15),IF(Main[[#This Row],[Class]]="A",WORKDAY(Main[[#This Row],[Tech Start Date]],5),""))))</f>
        <v/>
      </c>
      <c r="P1127" s="77" t="str">
        <f>IF(Main[[#This Row],[Tech Start Date]]&lt;1/1/1990,"",IF(Main[[#This Row],[Class]]="C",WORKDAY(Main[[#This Row],[Tech Start Date]],28),IF(Main[[#This Row],[Class]]="B", WORKDAY(Main[[#This Row],[Tech Start Date]],19),IF(Main[[#This Row],[Class]]="A",WORKDAY(Main[[#This Row],[Tech Start Date]],9),""))))</f>
        <v/>
      </c>
      <c r="Q1127" s="74">
        <v>40951</v>
      </c>
      <c r="R1127" s="74"/>
      <c r="S1127" s="72" t="s">
        <v>11</v>
      </c>
      <c r="T1127" s="80" t="s">
        <v>4</v>
      </c>
      <c r="U1127" s="72" t="s">
        <v>7</v>
      </c>
      <c r="V1127" s="72" t="s">
        <v>1942</v>
      </c>
      <c r="W1127" s="72" t="s">
        <v>1943</v>
      </c>
      <c r="X1127" s="72" t="s">
        <v>2930</v>
      </c>
      <c r="Y1127" s="72" t="s">
        <v>4</v>
      </c>
      <c r="Z1127" s="72" t="s">
        <v>4</v>
      </c>
      <c r="AA1127" s="147" t="s">
        <v>2930</v>
      </c>
    </row>
    <row r="1128" spans="1:27" ht="18.600000000000001" customHeight="1">
      <c r="A1128" s="140" t="str">
        <f>IF(priority(Main[[#This Row],[Comments]])&lt;&gt;0, priority(Main[[#This Row],[Comments]]),"")</f>
        <v/>
      </c>
      <c r="B1128" s="90" t="s">
        <v>2530</v>
      </c>
      <c r="C1128" s="72" t="s">
        <v>4</v>
      </c>
      <c r="D1128" s="73" t="s">
        <v>2531</v>
      </c>
      <c r="E1128" s="74">
        <v>40855.647002314814</v>
      </c>
      <c r="F1128" s="74"/>
      <c r="G1128" s="75" t="str">
        <f>IF(stdProdLT(Main[[#This Row],[Comments]])=0.1,"N/A",IF(stdProdLT(Main[[#This Row],[Comments]])=0,"",stdProdLT(Main[[#This Row],[Comments]])))</f>
        <v/>
      </c>
      <c r="H1128" s="76" t="str">
        <f>IF(AND(Main[[#This Row],[In Stock Date]]&lt;&gt;"",Main[[#This Row],[Revised Due Date]]&lt;&gt;""),Main[[#This Row],[In Stock Date]]-Main[[#This Row],[Revised Due Date]],"")</f>
        <v/>
      </c>
      <c r="I1128" s="72" t="s">
        <v>4</v>
      </c>
      <c r="J1128" s="72" t="s">
        <v>4</v>
      </c>
      <c r="K1128" s="72" t="s">
        <v>4</v>
      </c>
      <c r="L1128" s="74"/>
      <c r="M1128" s="77" t="str">
        <f>IF(Main[[#This Row],[Tech Start Date]]&lt;1/1/1990,"",IF(Main[[#This Row],[Class]]="C",WORKDAY(Main[[#This Row],[Tech Start Date]],9),IF(Main[[#This Row],[Class]]="B", WORKDAY(Main[[#This Row],[Tech Start Date]],6),IF(Main[[#This Row],[Class]]="A",WORKDAY(Main[[#This Row],[Tech Start Date]],2),""))))</f>
        <v/>
      </c>
      <c r="N1128" s="77" t="str">
        <f>IF(Main[[#This Row],[Tech Start Date]]&lt;1/1/1990,"",IF(Main[[#This Row],[Class]]="C",WORKDAY(Main[[#This Row],[Tech Start Date]],19),IF(Main[[#This Row],[Class]]="B", WORKDAY(Main[[#This Row],[Tech Start Date]],12),IF(Main[[#This Row],[Class]]="A",WORKDAY(Main[[#This Row],[Tech Start Date]],4),""))))</f>
        <v/>
      </c>
      <c r="O1128" s="77" t="str">
        <f>IF(Main[[#This Row],[Tech Start Date]]&lt;1/1/1990,"",IF(Main[[#This Row],[Class]]="C",WORKDAY(Main[[#This Row],[Tech Start Date]],23),IF(Main[[#This Row],[Class]]="B", WORKDAY(Main[[#This Row],[Tech Start Date]],15),IF(Main[[#This Row],[Class]]="A",WORKDAY(Main[[#This Row],[Tech Start Date]],5),""))))</f>
        <v/>
      </c>
      <c r="P1128" s="77" t="str">
        <f>IF(Main[[#This Row],[Tech Start Date]]&lt;1/1/1990,"",IF(Main[[#This Row],[Class]]="C",WORKDAY(Main[[#This Row],[Tech Start Date]],28),IF(Main[[#This Row],[Class]]="B", WORKDAY(Main[[#This Row],[Tech Start Date]],19),IF(Main[[#This Row],[Class]]="A",WORKDAY(Main[[#This Row],[Tech Start Date]],9),""))))</f>
        <v/>
      </c>
      <c r="Q1128" s="74">
        <v>40892</v>
      </c>
      <c r="R1128" s="74"/>
      <c r="S1128" s="72" t="s">
        <v>6</v>
      </c>
      <c r="T1128" s="80" t="s">
        <v>4</v>
      </c>
      <c r="U1128" s="72" t="s">
        <v>7</v>
      </c>
      <c r="V1128" s="72" t="s">
        <v>1932</v>
      </c>
      <c r="W1128" s="72" t="s">
        <v>1940</v>
      </c>
      <c r="X1128" s="72" t="s">
        <v>2905</v>
      </c>
      <c r="Y1128" s="72" t="s">
        <v>3023</v>
      </c>
      <c r="Z1128" s="72" t="s">
        <v>4</v>
      </c>
      <c r="AA1128" s="147" t="s">
        <v>2905</v>
      </c>
    </row>
    <row r="1129" spans="1:27" ht="18.600000000000001" customHeight="1">
      <c r="A1129" s="140" t="str">
        <f>IF(priority(Main[[#This Row],[Comments]])&lt;&gt;0, priority(Main[[#This Row],[Comments]]),"")</f>
        <v/>
      </c>
      <c r="B1129" s="90" t="s">
        <v>2393</v>
      </c>
      <c r="C1129" s="72" t="s">
        <v>4</v>
      </c>
      <c r="D1129" s="73" t="s">
        <v>3706</v>
      </c>
      <c r="E1129" s="74">
        <v>40854.718263888892</v>
      </c>
      <c r="F1129" s="74"/>
      <c r="G1129" s="75" t="str">
        <f>IF(stdProdLT(Main[[#This Row],[Comments]])=0.1,"N/A",IF(stdProdLT(Main[[#This Row],[Comments]])=0,"",stdProdLT(Main[[#This Row],[Comments]])))</f>
        <v/>
      </c>
      <c r="H1129" s="76" t="str">
        <f>IF(AND(Main[[#This Row],[In Stock Date]]&lt;&gt;"",Main[[#This Row],[Revised Due Date]]&lt;&gt;""),Main[[#This Row],[In Stock Date]]-Main[[#This Row],[Revised Due Date]],"")</f>
        <v/>
      </c>
      <c r="I1129" s="72" t="s">
        <v>4</v>
      </c>
      <c r="J1129" s="72" t="s">
        <v>4</v>
      </c>
      <c r="K1129" s="72" t="s">
        <v>4</v>
      </c>
      <c r="L1129" s="74"/>
      <c r="M1129" s="77" t="str">
        <f>IF(Main[[#This Row],[Tech Start Date]]&lt;1/1/1990,"",IF(Main[[#This Row],[Class]]="C",WORKDAY(Main[[#This Row],[Tech Start Date]],9),IF(Main[[#This Row],[Class]]="B", WORKDAY(Main[[#This Row],[Tech Start Date]],6),IF(Main[[#This Row],[Class]]="A",WORKDAY(Main[[#This Row],[Tech Start Date]],2),""))))</f>
        <v/>
      </c>
      <c r="N1129" s="77" t="str">
        <f>IF(Main[[#This Row],[Tech Start Date]]&lt;1/1/1990,"",IF(Main[[#This Row],[Class]]="C",WORKDAY(Main[[#This Row],[Tech Start Date]],19),IF(Main[[#This Row],[Class]]="B", WORKDAY(Main[[#This Row],[Tech Start Date]],12),IF(Main[[#This Row],[Class]]="A",WORKDAY(Main[[#This Row],[Tech Start Date]],4),""))))</f>
        <v/>
      </c>
      <c r="O1129" s="77" t="str">
        <f>IF(Main[[#This Row],[Tech Start Date]]&lt;1/1/1990,"",IF(Main[[#This Row],[Class]]="C",WORKDAY(Main[[#This Row],[Tech Start Date]],23),IF(Main[[#This Row],[Class]]="B", WORKDAY(Main[[#This Row],[Tech Start Date]],15),IF(Main[[#This Row],[Class]]="A",WORKDAY(Main[[#This Row],[Tech Start Date]],5),""))))</f>
        <v/>
      </c>
      <c r="P1129" s="77" t="str">
        <f>IF(Main[[#This Row],[Tech Start Date]]&lt;1/1/1990,"",IF(Main[[#This Row],[Class]]="C",WORKDAY(Main[[#This Row],[Tech Start Date]],28),IF(Main[[#This Row],[Class]]="B", WORKDAY(Main[[#This Row],[Tech Start Date]],19),IF(Main[[#This Row],[Class]]="A",WORKDAY(Main[[#This Row],[Tech Start Date]],9),""))))</f>
        <v/>
      </c>
      <c r="Q1129" s="74">
        <v>40884</v>
      </c>
      <c r="R1129" s="74"/>
      <c r="S1129" s="72" t="s">
        <v>6</v>
      </c>
      <c r="T1129" s="80" t="s">
        <v>4</v>
      </c>
      <c r="U1129" s="72" t="s">
        <v>7</v>
      </c>
      <c r="V1129" s="72" t="s">
        <v>2312</v>
      </c>
      <c r="W1129" s="72" t="s">
        <v>4</v>
      </c>
      <c r="X1129" s="72" t="s">
        <v>2949</v>
      </c>
      <c r="Y1129" s="72" t="s">
        <v>3097</v>
      </c>
      <c r="Z1129" s="72" t="s">
        <v>4</v>
      </c>
      <c r="AA1129" s="147" t="s">
        <v>2949</v>
      </c>
    </row>
    <row r="1130" spans="1:27" ht="18.600000000000001" customHeight="1">
      <c r="A1130" s="140" t="str">
        <f>IF(priority(Main[[#This Row],[Comments]])&lt;&gt;0, priority(Main[[#This Row],[Comments]]),"")</f>
        <v/>
      </c>
      <c r="B1130" s="90" t="s">
        <v>2537</v>
      </c>
      <c r="C1130" s="72" t="s">
        <v>4</v>
      </c>
      <c r="D1130" s="73" t="s">
        <v>2538</v>
      </c>
      <c r="E1130" s="74"/>
      <c r="F1130" s="74"/>
      <c r="G1130" s="75" t="str">
        <f>IF(stdProdLT(Main[[#This Row],[Comments]])=0.1,"N/A",IF(stdProdLT(Main[[#This Row],[Comments]])=0,"",stdProdLT(Main[[#This Row],[Comments]])))</f>
        <v/>
      </c>
      <c r="H1130" s="76" t="str">
        <f>IF(AND(Main[[#This Row],[In Stock Date]]&lt;&gt;"",Main[[#This Row],[Revised Due Date]]&lt;&gt;""),Main[[#This Row],[In Stock Date]]-Main[[#This Row],[Revised Due Date]],"")</f>
        <v/>
      </c>
      <c r="I1130" s="72" t="s">
        <v>4</v>
      </c>
      <c r="J1130" s="72" t="s">
        <v>4</v>
      </c>
      <c r="K1130" s="72" t="s">
        <v>4</v>
      </c>
      <c r="L1130" s="74"/>
      <c r="M1130" s="77" t="str">
        <f>IF(Main[[#This Row],[Tech Start Date]]&lt;1/1/1990,"",IF(Main[[#This Row],[Class]]="C",WORKDAY(Main[[#This Row],[Tech Start Date]],9),IF(Main[[#This Row],[Class]]="B", WORKDAY(Main[[#This Row],[Tech Start Date]],6),IF(Main[[#This Row],[Class]]="A",WORKDAY(Main[[#This Row],[Tech Start Date]],2),""))))</f>
        <v/>
      </c>
      <c r="N1130" s="77" t="str">
        <f>IF(Main[[#This Row],[Tech Start Date]]&lt;1/1/1990,"",IF(Main[[#This Row],[Class]]="C",WORKDAY(Main[[#This Row],[Tech Start Date]],19),IF(Main[[#This Row],[Class]]="B", WORKDAY(Main[[#This Row],[Tech Start Date]],12),IF(Main[[#This Row],[Class]]="A",WORKDAY(Main[[#This Row],[Tech Start Date]],4),""))))</f>
        <v/>
      </c>
      <c r="O1130" s="77" t="str">
        <f>IF(Main[[#This Row],[Tech Start Date]]&lt;1/1/1990,"",IF(Main[[#This Row],[Class]]="C",WORKDAY(Main[[#This Row],[Tech Start Date]],23),IF(Main[[#This Row],[Class]]="B", WORKDAY(Main[[#This Row],[Tech Start Date]],15),IF(Main[[#This Row],[Class]]="A",WORKDAY(Main[[#This Row],[Tech Start Date]],5),""))))</f>
        <v/>
      </c>
      <c r="P1130" s="77" t="str">
        <f>IF(Main[[#This Row],[Tech Start Date]]&lt;1/1/1990,"",IF(Main[[#This Row],[Class]]="C",WORKDAY(Main[[#This Row],[Tech Start Date]],28),IF(Main[[#This Row],[Class]]="B", WORKDAY(Main[[#This Row],[Tech Start Date]],19),IF(Main[[#This Row],[Class]]="A",WORKDAY(Main[[#This Row],[Tech Start Date]],9),""))))</f>
        <v/>
      </c>
      <c r="Q1130" s="74"/>
      <c r="R1130" s="74"/>
      <c r="S1130" s="72" t="s">
        <v>11</v>
      </c>
      <c r="T1130" s="80" t="s">
        <v>4</v>
      </c>
      <c r="U1130" s="72" t="s">
        <v>14</v>
      </c>
      <c r="V1130" s="72" t="s">
        <v>1932</v>
      </c>
      <c r="W1130" s="72" t="s">
        <v>1940</v>
      </c>
      <c r="X1130" s="72" t="s">
        <v>2990</v>
      </c>
      <c r="Y1130" s="72" t="s">
        <v>3183</v>
      </c>
      <c r="Z1130" s="72" t="s">
        <v>888</v>
      </c>
      <c r="AA1130" s="147" t="s">
        <v>2990</v>
      </c>
    </row>
    <row r="1131" spans="1:27" ht="18.600000000000001" customHeight="1">
      <c r="A1131" s="140" t="str">
        <f>IF(priority(Main[[#This Row],[Comments]])&lt;&gt;0, priority(Main[[#This Row],[Comments]]),"")</f>
        <v/>
      </c>
      <c r="B1131" s="90" t="s">
        <v>2845</v>
      </c>
      <c r="C1131" s="72" t="s">
        <v>2846</v>
      </c>
      <c r="D1131" s="73" t="s">
        <v>3393</v>
      </c>
      <c r="E1131" s="74">
        <v>40892.924444444441</v>
      </c>
      <c r="F1131" s="74"/>
      <c r="G1131" s="75">
        <f>IF(stdProdLT(Main[[#This Row],[Comments]])=0.1,"N/A",IF(stdProdLT(Main[[#This Row],[Comments]])=0,"",stdProdLT(Main[[#This Row],[Comments]])))</f>
        <v>112</v>
      </c>
      <c r="H1131" s="76" t="str">
        <f>IF(AND(Main[[#This Row],[In Stock Date]]&lt;&gt;"",Main[[#This Row],[Revised Due Date]]&lt;&gt;""),Main[[#This Row],[In Stock Date]]-Main[[#This Row],[Revised Due Date]],"")</f>
        <v/>
      </c>
      <c r="I1131" s="72" t="s">
        <v>4</v>
      </c>
      <c r="J1131" s="72" t="s">
        <v>4</v>
      </c>
      <c r="K1131" s="81" t="s">
        <v>4</v>
      </c>
      <c r="L1131" s="74"/>
      <c r="M1131" s="77" t="str">
        <f>IF(Main[[#This Row],[Tech Start Date]]&lt;1/1/1990,"",IF(Main[[#This Row],[Class]]="C",WORKDAY(Main[[#This Row],[Tech Start Date]],9),IF(Main[[#This Row],[Class]]="B", WORKDAY(Main[[#This Row],[Tech Start Date]],6),IF(Main[[#This Row],[Class]]="A",WORKDAY(Main[[#This Row],[Tech Start Date]],2),""))))</f>
        <v/>
      </c>
      <c r="N1131" s="77" t="str">
        <f>IF(Main[[#This Row],[Tech Start Date]]&lt;1/1/1990,"",IF(Main[[#This Row],[Class]]="C",WORKDAY(Main[[#This Row],[Tech Start Date]],19),IF(Main[[#This Row],[Class]]="B", WORKDAY(Main[[#This Row],[Tech Start Date]],12),IF(Main[[#This Row],[Class]]="A",WORKDAY(Main[[#This Row],[Tech Start Date]],4),""))))</f>
        <v/>
      </c>
      <c r="O1131" s="77" t="str">
        <f>IF(Main[[#This Row],[Tech Start Date]]&lt;1/1/1990,"",IF(Main[[#This Row],[Class]]="C",WORKDAY(Main[[#This Row],[Tech Start Date]],23),IF(Main[[#This Row],[Class]]="B", WORKDAY(Main[[#This Row],[Tech Start Date]],15),IF(Main[[#This Row],[Class]]="A",WORKDAY(Main[[#This Row],[Tech Start Date]],5),""))))</f>
        <v/>
      </c>
      <c r="P1131" s="77" t="str">
        <f>IF(Main[[#This Row],[Tech Start Date]]&lt;1/1/1990,"",IF(Main[[#This Row],[Class]]="C",WORKDAY(Main[[#This Row],[Tech Start Date]],28),IF(Main[[#This Row],[Class]]="B", WORKDAY(Main[[#This Row],[Tech Start Date]],19),IF(Main[[#This Row],[Class]]="A",WORKDAY(Main[[#This Row],[Tech Start Date]],9),""))))</f>
        <v/>
      </c>
      <c r="Q1131" s="74"/>
      <c r="R1131" s="74"/>
      <c r="S1131" s="72" t="s">
        <v>11</v>
      </c>
      <c r="T1131" s="80" t="s">
        <v>3268</v>
      </c>
      <c r="U1131" s="72" t="s">
        <v>539</v>
      </c>
      <c r="V1131" s="72" t="s">
        <v>1935</v>
      </c>
      <c r="W1131" s="72" t="s">
        <v>1940</v>
      </c>
      <c r="X1131" s="72" t="s">
        <v>310</v>
      </c>
      <c r="Y1131" s="72" t="s">
        <v>4</v>
      </c>
      <c r="Z1131" s="72" t="s">
        <v>4</v>
      </c>
      <c r="AA1131" s="147" t="s">
        <v>4</v>
      </c>
    </row>
    <row r="1132" spans="1:27" ht="18.600000000000001" customHeight="1">
      <c r="A1132" s="140" t="str">
        <f>IF(priority(Main[[#This Row],[Comments]])&lt;&gt;0, priority(Main[[#This Row],[Comments]]),"")</f>
        <v/>
      </c>
      <c r="B1132" s="90" t="s">
        <v>3332</v>
      </c>
      <c r="C1132" s="72" t="s">
        <v>4</v>
      </c>
      <c r="D1132" s="73" t="s">
        <v>3333</v>
      </c>
      <c r="E1132" s="74">
        <v>40924.344918981478</v>
      </c>
      <c r="F1132" s="74"/>
      <c r="G1132" s="75" t="str">
        <f>IF(stdProdLT(Main[[#This Row],[Comments]])=0.1,"N/A",IF(stdProdLT(Main[[#This Row],[Comments]])=0,"",stdProdLT(Main[[#This Row],[Comments]])))</f>
        <v/>
      </c>
      <c r="H1132" s="76" t="str">
        <f>IF(AND(Main[[#This Row],[In Stock Date]]&lt;&gt;"",Main[[#This Row],[Revised Due Date]]&lt;&gt;""),Main[[#This Row],[In Stock Date]]-Main[[#This Row],[Revised Due Date]],"")</f>
        <v/>
      </c>
      <c r="I1132" s="72" t="s">
        <v>535</v>
      </c>
      <c r="J1132" s="72" t="s">
        <v>28</v>
      </c>
      <c r="K1132" s="72" t="s">
        <v>1941</v>
      </c>
      <c r="L1132" s="74"/>
      <c r="M1132" s="77" t="str">
        <f>IF(Main[[#This Row],[Tech Start Date]]&lt;1/1/1990,"",IF(Main[[#This Row],[Class]]="C",WORKDAY(Main[[#This Row],[Tech Start Date]],9),IF(Main[[#This Row],[Class]]="B", WORKDAY(Main[[#This Row],[Tech Start Date]],6),IF(Main[[#This Row],[Class]]="A",WORKDAY(Main[[#This Row],[Tech Start Date]],2),""))))</f>
        <v/>
      </c>
      <c r="N1132" s="77" t="str">
        <f>IF(Main[[#This Row],[Tech Start Date]]&lt;1/1/1990,"",IF(Main[[#This Row],[Class]]="C",WORKDAY(Main[[#This Row],[Tech Start Date]],19),IF(Main[[#This Row],[Class]]="B", WORKDAY(Main[[#This Row],[Tech Start Date]],12),IF(Main[[#This Row],[Class]]="A",WORKDAY(Main[[#This Row],[Tech Start Date]],4),""))))</f>
        <v/>
      </c>
      <c r="O1132" s="77" t="str">
        <f>IF(Main[[#This Row],[Tech Start Date]]&lt;1/1/1990,"",IF(Main[[#This Row],[Class]]="C",WORKDAY(Main[[#This Row],[Tech Start Date]],23),IF(Main[[#This Row],[Class]]="B", WORKDAY(Main[[#This Row],[Tech Start Date]],15),IF(Main[[#This Row],[Class]]="A",WORKDAY(Main[[#This Row],[Tech Start Date]],5),""))))</f>
        <v/>
      </c>
      <c r="P1132" s="77" t="str">
        <f>IF(Main[[#This Row],[Tech Start Date]]&lt;1/1/1990,"",IF(Main[[#This Row],[Class]]="C",WORKDAY(Main[[#This Row],[Tech Start Date]],28),IF(Main[[#This Row],[Class]]="B", WORKDAY(Main[[#This Row],[Tech Start Date]],19),IF(Main[[#This Row],[Class]]="A",WORKDAY(Main[[#This Row],[Tech Start Date]],9),""))))</f>
        <v/>
      </c>
      <c r="Q1132" s="74">
        <v>40952</v>
      </c>
      <c r="R1132" s="74"/>
      <c r="S1132" s="72" t="s">
        <v>6</v>
      </c>
      <c r="T1132" s="80" t="s">
        <v>4</v>
      </c>
      <c r="U1132" s="72" t="s">
        <v>7</v>
      </c>
      <c r="V1132" s="72" t="s">
        <v>1935</v>
      </c>
      <c r="W1132" s="72" t="s">
        <v>1936</v>
      </c>
      <c r="X1132" s="72" t="s">
        <v>2906</v>
      </c>
      <c r="Y1132" s="72" t="s">
        <v>3025</v>
      </c>
      <c r="Z1132" s="72" t="s">
        <v>30</v>
      </c>
      <c r="AA1132" s="147" t="s">
        <v>2906</v>
      </c>
    </row>
    <row r="1133" spans="1:27" ht="18.600000000000001" customHeight="1">
      <c r="A1133" s="140" t="str">
        <f>IF(priority(Main[[#This Row],[Comments]])&lt;&gt;0, priority(Main[[#This Row],[Comments]]),"")</f>
        <v/>
      </c>
      <c r="B1133" s="90" t="s">
        <v>2546</v>
      </c>
      <c r="C1133" s="72" t="s">
        <v>2547</v>
      </c>
      <c r="D1133" s="73" t="s">
        <v>2548</v>
      </c>
      <c r="E1133" s="74"/>
      <c r="F1133" s="74"/>
      <c r="G1133" s="75" t="str">
        <f>IF(stdProdLT(Main[[#This Row],[Comments]])=0.1,"N/A",IF(stdProdLT(Main[[#This Row],[Comments]])=0,"",stdProdLT(Main[[#This Row],[Comments]])))</f>
        <v/>
      </c>
      <c r="H1133" s="76" t="str">
        <f>IF(AND(Main[[#This Row],[In Stock Date]]&lt;&gt;"",Main[[#This Row],[Revised Due Date]]&lt;&gt;""),Main[[#This Row],[In Stock Date]]-Main[[#This Row],[Revised Due Date]],"")</f>
        <v/>
      </c>
      <c r="I1133" s="72" t="s">
        <v>4</v>
      </c>
      <c r="J1133" s="72" t="s">
        <v>4</v>
      </c>
      <c r="K1133" s="72" t="s">
        <v>4</v>
      </c>
      <c r="L1133" s="74"/>
      <c r="M1133" s="77" t="str">
        <f>IF(Main[[#This Row],[Tech Start Date]]&lt;1/1/1990,"",IF(Main[[#This Row],[Class]]="C",WORKDAY(Main[[#This Row],[Tech Start Date]],9),IF(Main[[#This Row],[Class]]="B", WORKDAY(Main[[#This Row],[Tech Start Date]],6),IF(Main[[#This Row],[Class]]="A",WORKDAY(Main[[#This Row],[Tech Start Date]],2),""))))</f>
        <v/>
      </c>
      <c r="N1133" s="77" t="str">
        <f>IF(Main[[#This Row],[Tech Start Date]]&lt;1/1/1990,"",IF(Main[[#This Row],[Class]]="C",WORKDAY(Main[[#This Row],[Tech Start Date]],19),IF(Main[[#This Row],[Class]]="B", WORKDAY(Main[[#This Row],[Tech Start Date]],12),IF(Main[[#This Row],[Class]]="A",WORKDAY(Main[[#This Row],[Tech Start Date]],4),""))))</f>
        <v/>
      </c>
      <c r="O1133" s="77" t="str">
        <f>IF(Main[[#This Row],[Tech Start Date]]&lt;1/1/1990,"",IF(Main[[#This Row],[Class]]="C",WORKDAY(Main[[#This Row],[Tech Start Date]],23),IF(Main[[#This Row],[Class]]="B", WORKDAY(Main[[#This Row],[Tech Start Date]],15),IF(Main[[#This Row],[Class]]="A",WORKDAY(Main[[#This Row],[Tech Start Date]],5),""))))</f>
        <v/>
      </c>
      <c r="P1133" s="77" t="str">
        <f>IF(Main[[#This Row],[Tech Start Date]]&lt;1/1/1990,"",IF(Main[[#This Row],[Class]]="C",WORKDAY(Main[[#This Row],[Tech Start Date]],28),IF(Main[[#This Row],[Class]]="B", WORKDAY(Main[[#This Row],[Tech Start Date]],19),IF(Main[[#This Row],[Class]]="A",WORKDAY(Main[[#This Row],[Tech Start Date]],9),""))))</f>
        <v/>
      </c>
      <c r="Q1133" s="74"/>
      <c r="R1133" s="74"/>
      <c r="S1133" s="72" t="s">
        <v>11</v>
      </c>
      <c r="T1133" s="80" t="s">
        <v>4</v>
      </c>
      <c r="U1133" s="72" t="s">
        <v>14</v>
      </c>
      <c r="V1133" s="72" t="s">
        <v>1933</v>
      </c>
      <c r="W1133" s="72" t="s">
        <v>1940</v>
      </c>
      <c r="X1133" s="72" t="s">
        <v>2278</v>
      </c>
      <c r="Y1133" s="72" t="s">
        <v>4</v>
      </c>
      <c r="Z1133" s="72" t="s">
        <v>4</v>
      </c>
      <c r="AA1133" s="147" t="s">
        <v>3647</v>
      </c>
    </row>
    <row r="1134" spans="1:27" ht="18.600000000000001" customHeight="1">
      <c r="A1134" s="140" t="str">
        <f>IF(priority(Main[[#This Row],[Comments]])&lt;&gt;0, priority(Main[[#This Row],[Comments]]),"")</f>
        <v/>
      </c>
      <c r="B1134" s="90" t="s">
        <v>2550</v>
      </c>
      <c r="C1134" s="72" t="s">
        <v>4</v>
      </c>
      <c r="D1134" s="73" t="s">
        <v>2551</v>
      </c>
      <c r="E1134" s="74"/>
      <c r="F1134" s="74"/>
      <c r="G1134" s="75" t="str">
        <f>IF(stdProdLT(Main[[#This Row],[Comments]])=0.1,"N/A",IF(stdProdLT(Main[[#This Row],[Comments]])=0,"",stdProdLT(Main[[#This Row],[Comments]])))</f>
        <v/>
      </c>
      <c r="H1134" s="76" t="str">
        <f>IF(AND(Main[[#This Row],[In Stock Date]]&lt;&gt;"",Main[[#This Row],[Revised Due Date]]&lt;&gt;""),Main[[#This Row],[In Stock Date]]-Main[[#This Row],[Revised Due Date]],"")</f>
        <v/>
      </c>
      <c r="I1134" s="72" t="s">
        <v>4</v>
      </c>
      <c r="J1134" s="72" t="s">
        <v>4</v>
      </c>
      <c r="K1134" s="72" t="s">
        <v>4</v>
      </c>
      <c r="L1134" s="74"/>
      <c r="M1134" s="77" t="str">
        <f>IF(Main[[#This Row],[Tech Start Date]]&lt;1/1/1990,"",IF(Main[[#This Row],[Class]]="C",WORKDAY(Main[[#This Row],[Tech Start Date]],9),IF(Main[[#This Row],[Class]]="B", WORKDAY(Main[[#This Row],[Tech Start Date]],6),IF(Main[[#This Row],[Class]]="A",WORKDAY(Main[[#This Row],[Tech Start Date]],2),""))))</f>
        <v/>
      </c>
      <c r="N1134" s="77" t="str">
        <f>IF(Main[[#This Row],[Tech Start Date]]&lt;1/1/1990,"",IF(Main[[#This Row],[Class]]="C",WORKDAY(Main[[#This Row],[Tech Start Date]],19),IF(Main[[#This Row],[Class]]="B", WORKDAY(Main[[#This Row],[Tech Start Date]],12),IF(Main[[#This Row],[Class]]="A",WORKDAY(Main[[#This Row],[Tech Start Date]],4),""))))</f>
        <v/>
      </c>
      <c r="O1134" s="77" t="str">
        <f>IF(Main[[#This Row],[Tech Start Date]]&lt;1/1/1990,"",IF(Main[[#This Row],[Class]]="C",WORKDAY(Main[[#This Row],[Tech Start Date]],23),IF(Main[[#This Row],[Class]]="B", WORKDAY(Main[[#This Row],[Tech Start Date]],15),IF(Main[[#This Row],[Class]]="A",WORKDAY(Main[[#This Row],[Tech Start Date]],5),""))))</f>
        <v/>
      </c>
      <c r="P1134" s="77" t="str">
        <f>IF(Main[[#This Row],[Tech Start Date]]&lt;1/1/1990,"",IF(Main[[#This Row],[Class]]="C",WORKDAY(Main[[#This Row],[Tech Start Date]],28),IF(Main[[#This Row],[Class]]="B", WORKDAY(Main[[#This Row],[Tech Start Date]],19),IF(Main[[#This Row],[Class]]="A",WORKDAY(Main[[#This Row],[Tech Start Date]],9),""))))</f>
        <v/>
      </c>
      <c r="Q1134" s="74">
        <v>40878</v>
      </c>
      <c r="R1134" s="74"/>
      <c r="S1134" s="72" t="s">
        <v>6</v>
      </c>
      <c r="T1134" s="80" t="s">
        <v>4</v>
      </c>
      <c r="U1134" s="72" t="s">
        <v>12</v>
      </c>
      <c r="V1134" s="72" t="s">
        <v>2312</v>
      </c>
      <c r="W1134" s="72" t="s">
        <v>4</v>
      </c>
      <c r="X1134" s="72" t="s">
        <v>2920</v>
      </c>
      <c r="Y1134" s="72" t="s">
        <v>3052</v>
      </c>
      <c r="Z1134" s="72" t="s">
        <v>4</v>
      </c>
      <c r="AA1134" s="147" t="s">
        <v>2920</v>
      </c>
    </row>
    <row r="1135" spans="1:27" ht="18.600000000000001" customHeight="1">
      <c r="A1135" s="140" t="str">
        <f>IF(priority(Main[[#This Row],[Comments]])&lt;&gt;0, priority(Main[[#This Row],[Comments]]),"")</f>
        <v/>
      </c>
      <c r="B1135" s="90" t="s">
        <v>3394</v>
      </c>
      <c r="C1135" s="72" t="s">
        <v>4</v>
      </c>
      <c r="D1135" s="73" t="s">
        <v>3395</v>
      </c>
      <c r="E1135" s="74">
        <v>40935.663275462961</v>
      </c>
      <c r="F1135" s="74"/>
      <c r="G1135" s="75" t="str">
        <f>IF(stdProdLT(Main[[#This Row],[Comments]])=0.1,"N/A",IF(stdProdLT(Main[[#This Row],[Comments]])=0,"",stdProdLT(Main[[#This Row],[Comments]])))</f>
        <v/>
      </c>
      <c r="H1135" s="76" t="str">
        <f>IF(AND(Main[[#This Row],[In Stock Date]]&lt;&gt;"",Main[[#This Row],[Revised Due Date]]&lt;&gt;""),Main[[#This Row],[In Stock Date]]-Main[[#This Row],[Revised Due Date]],"")</f>
        <v/>
      </c>
      <c r="I1135" s="72" t="s">
        <v>4</v>
      </c>
      <c r="J1135" s="72" t="s">
        <v>4</v>
      </c>
      <c r="K1135" s="72" t="s">
        <v>4</v>
      </c>
      <c r="L1135" s="74"/>
      <c r="M1135" s="77" t="str">
        <f>IF(Main[[#This Row],[Tech Start Date]]&lt;1/1/1990,"",IF(Main[[#This Row],[Class]]="C",WORKDAY(Main[[#This Row],[Tech Start Date]],9),IF(Main[[#This Row],[Class]]="B", WORKDAY(Main[[#This Row],[Tech Start Date]],6),IF(Main[[#This Row],[Class]]="A",WORKDAY(Main[[#This Row],[Tech Start Date]],2),""))))</f>
        <v/>
      </c>
      <c r="N1135" s="77" t="str">
        <f>IF(Main[[#This Row],[Tech Start Date]]&lt;1/1/1990,"",IF(Main[[#This Row],[Class]]="C",WORKDAY(Main[[#This Row],[Tech Start Date]],19),IF(Main[[#This Row],[Class]]="B", WORKDAY(Main[[#This Row],[Tech Start Date]],12),IF(Main[[#This Row],[Class]]="A",WORKDAY(Main[[#This Row],[Tech Start Date]],4),""))))</f>
        <v/>
      </c>
      <c r="O1135" s="77" t="str">
        <f>IF(Main[[#This Row],[Tech Start Date]]&lt;1/1/1990,"",IF(Main[[#This Row],[Class]]="C",WORKDAY(Main[[#This Row],[Tech Start Date]],23),IF(Main[[#This Row],[Class]]="B", WORKDAY(Main[[#This Row],[Tech Start Date]],15),IF(Main[[#This Row],[Class]]="A",WORKDAY(Main[[#This Row],[Tech Start Date]],5),""))))</f>
        <v/>
      </c>
      <c r="P1135" s="77" t="str">
        <f>IF(Main[[#This Row],[Tech Start Date]]&lt;1/1/1990,"",IF(Main[[#This Row],[Class]]="C",WORKDAY(Main[[#This Row],[Tech Start Date]],28),IF(Main[[#This Row],[Class]]="B", WORKDAY(Main[[#This Row],[Tech Start Date]],19),IF(Main[[#This Row],[Class]]="A",WORKDAY(Main[[#This Row],[Tech Start Date]],9),""))))</f>
        <v/>
      </c>
      <c r="Q1135" s="74"/>
      <c r="R1135" s="74"/>
      <c r="S1135" s="72" t="s">
        <v>4</v>
      </c>
      <c r="T1135" s="80" t="s">
        <v>4</v>
      </c>
      <c r="U1135" s="72" t="s">
        <v>7</v>
      </c>
      <c r="V1135" s="72" t="s">
        <v>1935</v>
      </c>
      <c r="W1135" s="72" t="s">
        <v>4</v>
      </c>
      <c r="X1135" s="72" t="s">
        <v>2925</v>
      </c>
      <c r="Y1135" s="72" t="s">
        <v>3058</v>
      </c>
      <c r="Z1135" s="72" t="s">
        <v>4</v>
      </c>
      <c r="AA1135" s="147" t="s">
        <v>2925</v>
      </c>
    </row>
    <row r="1136" spans="1:27" ht="18.600000000000001" customHeight="1">
      <c r="A1136" s="140" t="str">
        <f>IF(priority(Main[[#This Row],[Comments]])&lt;&gt;0, priority(Main[[#This Row],[Comments]]),"")</f>
        <v/>
      </c>
      <c r="B1136" s="90" t="s">
        <v>3510</v>
      </c>
      <c r="C1136" s="72" t="s">
        <v>3511</v>
      </c>
      <c r="D1136" s="73" t="s">
        <v>3512</v>
      </c>
      <c r="E1136" s="74"/>
      <c r="F1136" s="74"/>
      <c r="G1136" s="75" t="str">
        <f>IF(stdProdLT(Main[[#This Row],[Comments]])=0.1,"N/A",IF(stdProdLT(Main[[#This Row],[Comments]])=0,"",stdProdLT(Main[[#This Row],[Comments]])))</f>
        <v/>
      </c>
      <c r="H1136" s="76" t="str">
        <f>IF(AND(Main[[#This Row],[In Stock Date]]&lt;&gt;"",Main[[#This Row],[Revised Due Date]]&lt;&gt;""),Main[[#This Row],[In Stock Date]]-Main[[#This Row],[Revised Due Date]],"")</f>
        <v/>
      </c>
      <c r="I1136" s="72" t="s">
        <v>2234</v>
      </c>
      <c r="J1136" s="72" t="s">
        <v>75</v>
      </c>
      <c r="K1136" s="72" t="s">
        <v>1941</v>
      </c>
      <c r="L1136" s="74"/>
      <c r="M1136" s="77" t="str">
        <f>IF(Main[[#This Row],[Tech Start Date]]&lt;1/1/1990,"",IF(Main[[#This Row],[Class]]="C",WORKDAY(Main[[#This Row],[Tech Start Date]],9),IF(Main[[#This Row],[Class]]="B", WORKDAY(Main[[#This Row],[Tech Start Date]],6),IF(Main[[#This Row],[Class]]="A",WORKDAY(Main[[#This Row],[Tech Start Date]],2),""))))</f>
        <v/>
      </c>
      <c r="N1136" s="77" t="str">
        <f>IF(Main[[#This Row],[Tech Start Date]]&lt;1/1/1990,"",IF(Main[[#This Row],[Class]]="C",WORKDAY(Main[[#This Row],[Tech Start Date]],19),IF(Main[[#This Row],[Class]]="B", WORKDAY(Main[[#This Row],[Tech Start Date]],12),IF(Main[[#This Row],[Class]]="A",WORKDAY(Main[[#This Row],[Tech Start Date]],4),""))))</f>
        <v/>
      </c>
      <c r="O1136" s="77" t="str">
        <f>IF(Main[[#This Row],[Tech Start Date]]&lt;1/1/1990,"",IF(Main[[#This Row],[Class]]="C",WORKDAY(Main[[#This Row],[Tech Start Date]],23),IF(Main[[#This Row],[Class]]="B", WORKDAY(Main[[#This Row],[Tech Start Date]],15),IF(Main[[#This Row],[Class]]="A",WORKDAY(Main[[#This Row],[Tech Start Date]],5),""))))</f>
        <v/>
      </c>
      <c r="P1136" s="77" t="str">
        <f>IF(Main[[#This Row],[Tech Start Date]]&lt;1/1/1990,"",IF(Main[[#This Row],[Class]]="C",WORKDAY(Main[[#This Row],[Tech Start Date]],28),IF(Main[[#This Row],[Class]]="B", WORKDAY(Main[[#This Row],[Tech Start Date]],19),IF(Main[[#This Row],[Class]]="A",WORKDAY(Main[[#This Row],[Tech Start Date]],9),""))))</f>
        <v/>
      </c>
      <c r="Q1136" s="74"/>
      <c r="R1136" s="74"/>
      <c r="S1136" s="72" t="s">
        <v>6</v>
      </c>
      <c r="T1136" s="80" t="s">
        <v>4</v>
      </c>
      <c r="U1136" s="72" t="s">
        <v>14</v>
      </c>
      <c r="V1136" s="72" t="s">
        <v>1932</v>
      </c>
      <c r="W1136" s="72" t="s">
        <v>1936</v>
      </c>
      <c r="X1136" s="72" t="s">
        <v>2234</v>
      </c>
      <c r="Y1136" s="72" t="s">
        <v>3513</v>
      </c>
      <c r="Z1136" s="72" t="s">
        <v>310</v>
      </c>
      <c r="AA1136" s="147" t="s">
        <v>3648</v>
      </c>
    </row>
    <row r="1137" spans="1:27" ht="18.600000000000001" customHeight="1">
      <c r="A1137" s="140" t="str">
        <f>IF(priority(Main[[#This Row],[Comments]])&lt;&gt;0, priority(Main[[#This Row],[Comments]]),"")</f>
        <v/>
      </c>
      <c r="B1137" s="90" t="s">
        <v>2825</v>
      </c>
      <c r="C1137" s="72" t="s">
        <v>4</v>
      </c>
      <c r="D1137" s="73" t="s">
        <v>2826</v>
      </c>
      <c r="E1137" s="74">
        <v>40911.566932870373</v>
      </c>
      <c r="F1137" s="74"/>
      <c r="G1137" s="75" t="str">
        <f>IF(stdProdLT(Main[[#This Row],[Comments]])=0.1,"N/A",IF(stdProdLT(Main[[#This Row],[Comments]])=0,"",stdProdLT(Main[[#This Row],[Comments]])))</f>
        <v/>
      </c>
      <c r="H1137" s="76" t="str">
        <f>IF(AND(Main[[#This Row],[In Stock Date]]&lt;&gt;"",Main[[#This Row],[Revised Due Date]]&lt;&gt;""),Main[[#This Row],[In Stock Date]]-Main[[#This Row],[Revised Due Date]],"")</f>
        <v/>
      </c>
      <c r="I1137" s="72" t="s">
        <v>535</v>
      </c>
      <c r="J1137" s="72" t="s">
        <v>28</v>
      </c>
      <c r="K1137" s="72" t="s">
        <v>1941</v>
      </c>
      <c r="L1137" s="74"/>
      <c r="M1137" s="77" t="str">
        <f>IF(Main[[#This Row],[Tech Start Date]]&lt;1/1/1990,"",IF(Main[[#This Row],[Class]]="C",WORKDAY(Main[[#This Row],[Tech Start Date]],9),IF(Main[[#This Row],[Class]]="B", WORKDAY(Main[[#This Row],[Tech Start Date]],6),IF(Main[[#This Row],[Class]]="A",WORKDAY(Main[[#This Row],[Tech Start Date]],2),""))))</f>
        <v/>
      </c>
      <c r="N1137" s="77" t="str">
        <f>IF(Main[[#This Row],[Tech Start Date]]&lt;1/1/1990,"",IF(Main[[#This Row],[Class]]="C",WORKDAY(Main[[#This Row],[Tech Start Date]],19),IF(Main[[#This Row],[Class]]="B", WORKDAY(Main[[#This Row],[Tech Start Date]],12),IF(Main[[#This Row],[Class]]="A",WORKDAY(Main[[#This Row],[Tech Start Date]],4),""))))</f>
        <v/>
      </c>
      <c r="O1137" s="77" t="str">
        <f>IF(Main[[#This Row],[Tech Start Date]]&lt;1/1/1990,"",IF(Main[[#This Row],[Class]]="C",WORKDAY(Main[[#This Row],[Tech Start Date]],23),IF(Main[[#This Row],[Class]]="B", WORKDAY(Main[[#This Row],[Tech Start Date]],15),IF(Main[[#This Row],[Class]]="A",WORKDAY(Main[[#This Row],[Tech Start Date]],5),""))))</f>
        <v/>
      </c>
      <c r="P1137" s="77" t="str">
        <f>IF(Main[[#This Row],[Tech Start Date]]&lt;1/1/1990,"",IF(Main[[#This Row],[Class]]="C",WORKDAY(Main[[#This Row],[Tech Start Date]],28),IF(Main[[#This Row],[Class]]="B", WORKDAY(Main[[#This Row],[Tech Start Date]],19),IF(Main[[#This Row],[Class]]="A",WORKDAY(Main[[#This Row],[Tech Start Date]],9),""))))</f>
        <v/>
      </c>
      <c r="Q1137" s="74">
        <v>40963</v>
      </c>
      <c r="R1137" s="74"/>
      <c r="S1137" s="72" t="s">
        <v>6</v>
      </c>
      <c r="T1137" s="80" t="s">
        <v>4</v>
      </c>
      <c r="U1137" s="72" t="s">
        <v>29</v>
      </c>
      <c r="V1137" s="72" t="s">
        <v>1935</v>
      </c>
      <c r="W1137" s="72" t="s">
        <v>1936</v>
      </c>
      <c r="X1137" s="72" t="s">
        <v>775</v>
      </c>
      <c r="Y1137" s="72" t="s">
        <v>3022</v>
      </c>
      <c r="Z1137" s="72" t="s">
        <v>30</v>
      </c>
      <c r="AA1137" s="147" t="s">
        <v>775</v>
      </c>
    </row>
    <row r="1138" spans="1:27" ht="18.600000000000001" customHeight="1">
      <c r="A1138" s="140" t="str">
        <f>IF(priority(Main[[#This Row],[Comments]])&lt;&gt;0, priority(Main[[#This Row],[Comments]]),"")</f>
        <v/>
      </c>
      <c r="B1138" s="90" t="s">
        <v>3703</v>
      </c>
      <c r="C1138" s="72" t="s">
        <v>47</v>
      </c>
      <c r="D1138" s="73" t="s">
        <v>3705</v>
      </c>
      <c r="E1138" s="74">
        <v>40941.662106481483</v>
      </c>
      <c r="F1138" s="74"/>
      <c r="G1138" s="75" t="str">
        <f>IF(stdProdLT(Main[[#This Row],[Comments]])=0.1,"N/A",IF(stdProdLT(Main[[#This Row],[Comments]])=0,"",stdProdLT(Main[[#This Row],[Comments]])))</f>
        <v/>
      </c>
      <c r="H1138" s="76" t="str">
        <f>IF(AND(Main[[#This Row],[In Stock Date]]&lt;&gt;"",Main[[#This Row],[Revised Due Date]]&lt;&gt;""),Main[[#This Row],[In Stock Date]]-Main[[#This Row],[Revised Due Date]],"")</f>
        <v/>
      </c>
      <c r="I1138" s="72" t="s">
        <v>4</v>
      </c>
      <c r="J1138" s="72" t="s">
        <v>4</v>
      </c>
      <c r="K1138" s="72" t="s">
        <v>4</v>
      </c>
      <c r="L1138" s="74"/>
      <c r="M1138" s="77" t="str">
        <f>IF(Main[[#This Row],[Tech Start Date]]&lt;1/1/1990,"",IF(Main[[#This Row],[Class]]="C",WORKDAY(Main[[#This Row],[Tech Start Date]],9),IF(Main[[#This Row],[Class]]="B", WORKDAY(Main[[#This Row],[Tech Start Date]],6),IF(Main[[#This Row],[Class]]="A",WORKDAY(Main[[#This Row],[Tech Start Date]],2),""))))</f>
        <v/>
      </c>
      <c r="N1138" s="77" t="str">
        <f>IF(Main[[#This Row],[Tech Start Date]]&lt;1/1/1990,"",IF(Main[[#This Row],[Class]]="C",WORKDAY(Main[[#This Row],[Tech Start Date]],19),IF(Main[[#This Row],[Class]]="B", WORKDAY(Main[[#This Row],[Tech Start Date]],12),IF(Main[[#This Row],[Class]]="A",WORKDAY(Main[[#This Row],[Tech Start Date]],4),""))))</f>
        <v/>
      </c>
      <c r="O1138" s="77" t="str">
        <f>IF(Main[[#This Row],[Tech Start Date]]&lt;1/1/1990,"",IF(Main[[#This Row],[Class]]="C",WORKDAY(Main[[#This Row],[Tech Start Date]],23),IF(Main[[#This Row],[Class]]="B", WORKDAY(Main[[#This Row],[Tech Start Date]],15),IF(Main[[#This Row],[Class]]="A",WORKDAY(Main[[#This Row],[Tech Start Date]],5),""))))</f>
        <v/>
      </c>
      <c r="P1138" s="77" t="str">
        <f>IF(Main[[#This Row],[Tech Start Date]]&lt;1/1/1990,"",IF(Main[[#This Row],[Class]]="C",WORKDAY(Main[[#This Row],[Tech Start Date]],28),IF(Main[[#This Row],[Class]]="B", WORKDAY(Main[[#This Row],[Tech Start Date]],19),IF(Main[[#This Row],[Class]]="A",WORKDAY(Main[[#This Row],[Tech Start Date]],9),""))))</f>
        <v/>
      </c>
      <c r="Q1138" s="74">
        <v>40968</v>
      </c>
      <c r="R1138" s="74"/>
      <c r="S1138" s="72" t="s">
        <v>6</v>
      </c>
      <c r="T1138" s="80" t="s">
        <v>4</v>
      </c>
      <c r="U1138" s="72" t="s">
        <v>29</v>
      </c>
      <c r="V1138" s="72" t="s">
        <v>2312</v>
      </c>
      <c r="W1138" s="72" t="s">
        <v>4</v>
      </c>
      <c r="X1138" s="72" t="s">
        <v>2949</v>
      </c>
      <c r="Y1138" s="72" t="s">
        <v>3097</v>
      </c>
      <c r="Z1138" s="72" t="s">
        <v>4</v>
      </c>
      <c r="AA1138" s="147" t="s">
        <v>2949</v>
      </c>
    </row>
    <row r="1139" spans="1:27" ht="18.600000000000001" customHeight="1">
      <c r="A1139" s="140" t="str">
        <f>IF(priority(Main[[#This Row],[Comments]])&lt;&gt;0, priority(Main[[#This Row],[Comments]]),"")</f>
        <v/>
      </c>
      <c r="B1139" s="90" t="s">
        <v>2820</v>
      </c>
      <c r="C1139" s="72" t="s">
        <v>4</v>
      </c>
      <c r="D1139" s="73" t="s">
        <v>3348</v>
      </c>
      <c r="E1139" s="74">
        <v>40885.513043981482</v>
      </c>
      <c r="F1139" s="74"/>
      <c r="G1139" s="75" t="str">
        <f>IF(stdProdLT(Main[[#This Row],[Comments]])=0.1,"N/A",IF(stdProdLT(Main[[#This Row],[Comments]])=0,"",stdProdLT(Main[[#This Row],[Comments]])))</f>
        <v/>
      </c>
      <c r="H1139" s="76" t="str">
        <f>IF(AND(Main[[#This Row],[In Stock Date]]&lt;&gt;"",Main[[#This Row],[Revised Due Date]]&lt;&gt;""),Main[[#This Row],[In Stock Date]]-Main[[#This Row],[Revised Due Date]],"")</f>
        <v/>
      </c>
      <c r="I1139" s="72" t="s">
        <v>310</v>
      </c>
      <c r="J1139" s="72" t="s">
        <v>51</v>
      </c>
      <c r="K1139" s="72" t="s">
        <v>1941</v>
      </c>
      <c r="L1139" s="74"/>
      <c r="M1139" s="77" t="str">
        <f>IF(Main[[#This Row],[Tech Start Date]]&lt;1/1/1990,"",IF(Main[[#This Row],[Class]]="C",WORKDAY(Main[[#This Row],[Tech Start Date]],9),IF(Main[[#This Row],[Class]]="B", WORKDAY(Main[[#This Row],[Tech Start Date]],6),IF(Main[[#This Row],[Class]]="A",WORKDAY(Main[[#This Row],[Tech Start Date]],2),""))))</f>
        <v/>
      </c>
      <c r="N1139" s="77" t="str">
        <f>IF(Main[[#This Row],[Tech Start Date]]&lt;1/1/1990,"",IF(Main[[#This Row],[Class]]="C",WORKDAY(Main[[#This Row],[Tech Start Date]],19),IF(Main[[#This Row],[Class]]="B", WORKDAY(Main[[#This Row],[Tech Start Date]],12),IF(Main[[#This Row],[Class]]="A",WORKDAY(Main[[#This Row],[Tech Start Date]],4),""))))</f>
        <v/>
      </c>
      <c r="O1139" s="77" t="str">
        <f>IF(Main[[#This Row],[Tech Start Date]]&lt;1/1/1990,"",IF(Main[[#This Row],[Class]]="C",WORKDAY(Main[[#This Row],[Tech Start Date]],23),IF(Main[[#This Row],[Class]]="B", WORKDAY(Main[[#This Row],[Tech Start Date]],15),IF(Main[[#This Row],[Class]]="A",WORKDAY(Main[[#This Row],[Tech Start Date]],5),""))))</f>
        <v/>
      </c>
      <c r="P1139" s="77" t="str">
        <f>IF(Main[[#This Row],[Tech Start Date]]&lt;1/1/1990,"",IF(Main[[#This Row],[Class]]="C",WORKDAY(Main[[#This Row],[Tech Start Date]],28),IF(Main[[#This Row],[Class]]="B", WORKDAY(Main[[#This Row],[Tech Start Date]],19),IF(Main[[#This Row],[Class]]="A",WORKDAY(Main[[#This Row],[Tech Start Date]],9),""))))</f>
        <v/>
      </c>
      <c r="Q1139" s="74"/>
      <c r="R1139" s="74"/>
      <c r="S1139" s="72" t="s">
        <v>11</v>
      </c>
      <c r="T1139" s="80" t="s">
        <v>3316</v>
      </c>
      <c r="U1139" s="72" t="s">
        <v>29</v>
      </c>
      <c r="V1139" s="72" t="s">
        <v>1935</v>
      </c>
      <c r="W1139" s="72" t="s">
        <v>1938</v>
      </c>
      <c r="X1139" s="72" t="s">
        <v>310</v>
      </c>
      <c r="Y1139" s="72" t="s">
        <v>4</v>
      </c>
      <c r="Z1139" s="72" t="s">
        <v>310</v>
      </c>
      <c r="AA1139" s="147" t="s">
        <v>894</v>
      </c>
    </row>
    <row r="1140" spans="1:27" ht="18.600000000000001" customHeight="1">
      <c r="A1140" s="140" t="str">
        <f>IF(priority(Main[[#This Row],[Comments]])&lt;&gt;0, priority(Main[[#This Row],[Comments]]),"")</f>
        <v/>
      </c>
      <c r="B1140" s="90" t="s">
        <v>3396</v>
      </c>
      <c r="C1140" s="72" t="s">
        <v>4</v>
      </c>
      <c r="D1140" s="73" t="s">
        <v>3397</v>
      </c>
      <c r="E1140" s="74">
        <v>40932.302083333336</v>
      </c>
      <c r="F1140" s="74"/>
      <c r="G1140" s="75" t="str">
        <f>IF(stdProdLT(Main[[#This Row],[Comments]])=0.1,"N/A",IF(stdProdLT(Main[[#This Row],[Comments]])=0,"",stdProdLT(Main[[#This Row],[Comments]])))</f>
        <v/>
      </c>
      <c r="H1140" s="76" t="str">
        <f>IF(AND(Main[[#This Row],[In Stock Date]]&lt;&gt;"",Main[[#This Row],[Revised Due Date]]&lt;&gt;""),Main[[#This Row],[In Stock Date]]-Main[[#This Row],[Revised Due Date]],"")</f>
        <v/>
      </c>
      <c r="I1140" s="72" t="s">
        <v>4</v>
      </c>
      <c r="J1140" s="72" t="s">
        <v>4</v>
      </c>
      <c r="K1140" s="72" t="s">
        <v>4</v>
      </c>
      <c r="L1140" s="74"/>
      <c r="M1140" s="77" t="str">
        <f>IF(Main[[#This Row],[Tech Start Date]]&lt;1/1/1990,"",IF(Main[[#This Row],[Class]]="C",WORKDAY(Main[[#This Row],[Tech Start Date]],9),IF(Main[[#This Row],[Class]]="B", WORKDAY(Main[[#This Row],[Tech Start Date]],6),IF(Main[[#This Row],[Class]]="A",WORKDAY(Main[[#This Row],[Tech Start Date]],2),""))))</f>
        <v/>
      </c>
      <c r="N1140" s="77" t="str">
        <f>IF(Main[[#This Row],[Tech Start Date]]&lt;1/1/1990,"",IF(Main[[#This Row],[Class]]="C",WORKDAY(Main[[#This Row],[Tech Start Date]],19),IF(Main[[#This Row],[Class]]="B", WORKDAY(Main[[#This Row],[Tech Start Date]],12),IF(Main[[#This Row],[Class]]="A",WORKDAY(Main[[#This Row],[Tech Start Date]],4),""))))</f>
        <v/>
      </c>
      <c r="O1140" s="77" t="str">
        <f>IF(Main[[#This Row],[Tech Start Date]]&lt;1/1/1990,"",IF(Main[[#This Row],[Class]]="C",WORKDAY(Main[[#This Row],[Tech Start Date]],23),IF(Main[[#This Row],[Class]]="B", WORKDAY(Main[[#This Row],[Tech Start Date]],15),IF(Main[[#This Row],[Class]]="A",WORKDAY(Main[[#This Row],[Tech Start Date]],5),""))))</f>
        <v/>
      </c>
      <c r="P1140" s="77" t="str">
        <f>IF(Main[[#This Row],[Tech Start Date]]&lt;1/1/1990,"",IF(Main[[#This Row],[Class]]="C",WORKDAY(Main[[#This Row],[Tech Start Date]],28),IF(Main[[#This Row],[Class]]="B", WORKDAY(Main[[#This Row],[Tech Start Date]],19),IF(Main[[#This Row],[Class]]="A",WORKDAY(Main[[#This Row],[Tech Start Date]],9),""))))</f>
        <v/>
      </c>
      <c r="Q1140" s="74"/>
      <c r="R1140" s="74"/>
      <c r="S1140" s="72" t="s">
        <v>6</v>
      </c>
      <c r="T1140" s="80" t="s">
        <v>4</v>
      </c>
      <c r="U1140" s="72" t="s">
        <v>7</v>
      </c>
      <c r="V1140" s="72" t="s">
        <v>1935</v>
      </c>
      <c r="W1140" s="72" t="s">
        <v>4</v>
      </c>
      <c r="X1140" s="72" t="s">
        <v>2987</v>
      </c>
      <c r="Y1140" s="72" t="s">
        <v>3170</v>
      </c>
      <c r="Z1140" s="72" t="s">
        <v>4</v>
      </c>
      <c r="AA1140" s="147" t="s">
        <v>2987</v>
      </c>
    </row>
    <row r="1141" spans="1:27" ht="18.600000000000001" customHeight="1">
      <c r="A1141" s="140" t="str">
        <f>IF(priority(Main[[#This Row],[Comments]])&lt;&gt;0, priority(Main[[#This Row],[Comments]]),"")</f>
        <v/>
      </c>
      <c r="B1141" s="90" t="s">
        <v>2553</v>
      </c>
      <c r="C1141" s="72" t="s">
        <v>4</v>
      </c>
      <c r="D1141" s="73" t="s">
        <v>2554</v>
      </c>
      <c r="E1141" s="74">
        <v>40840.652592592596</v>
      </c>
      <c r="F1141" s="74"/>
      <c r="G1141" s="75" t="str">
        <f>IF(stdProdLT(Main[[#This Row],[Comments]])=0.1,"N/A",IF(stdProdLT(Main[[#This Row],[Comments]])=0,"",stdProdLT(Main[[#This Row],[Comments]])))</f>
        <v/>
      </c>
      <c r="H1141" s="76" t="str">
        <f>IF(AND(Main[[#This Row],[In Stock Date]]&lt;&gt;"",Main[[#This Row],[Revised Due Date]]&lt;&gt;""),Main[[#This Row],[In Stock Date]]-Main[[#This Row],[Revised Due Date]],"")</f>
        <v/>
      </c>
      <c r="I1141" s="72" t="s">
        <v>4</v>
      </c>
      <c r="J1141" s="72" t="s">
        <v>4</v>
      </c>
      <c r="K1141" s="72" t="s">
        <v>4</v>
      </c>
      <c r="L1141" s="74"/>
      <c r="M1141" s="77" t="str">
        <f>IF(Main[[#This Row],[Tech Start Date]]&lt;1/1/1990,"",IF(Main[[#This Row],[Class]]="C",WORKDAY(Main[[#This Row],[Tech Start Date]],9),IF(Main[[#This Row],[Class]]="B", WORKDAY(Main[[#This Row],[Tech Start Date]],6),IF(Main[[#This Row],[Class]]="A",WORKDAY(Main[[#This Row],[Tech Start Date]],2),""))))</f>
        <v/>
      </c>
      <c r="N1141" s="77" t="str">
        <f>IF(Main[[#This Row],[Tech Start Date]]&lt;1/1/1990,"",IF(Main[[#This Row],[Class]]="C",WORKDAY(Main[[#This Row],[Tech Start Date]],19),IF(Main[[#This Row],[Class]]="B", WORKDAY(Main[[#This Row],[Tech Start Date]],12),IF(Main[[#This Row],[Class]]="A",WORKDAY(Main[[#This Row],[Tech Start Date]],4),""))))</f>
        <v/>
      </c>
      <c r="O1141" s="77" t="str">
        <f>IF(Main[[#This Row],[Tech Start Date]]&lt;1/1/1990,"",IF(Main[[#This Row],[Class]]="C",WORKDAY(Main[[#This Row],[Tech Start Date]],23),IF(Main[[#This Row],[Class]]="B", WORKDAY(Main[[#This Row],[Tech Start Date]],15),IF(Main[[#This Row],[Class]]="A",WORKDAY(Main[[#This Row],[Tech Start Date]],5),""))))</f>
        <v/>
      </c>
      <c r="P1141" s="77" t="str">
        <f>IF(Main[[#This Row],[Tech Start Date]]&lt;1/1/1990,"",IF(Main[[#This Row],[Class]]="C",WORKDAY(Main[[#This Row],[Tech Start Date]],28),IF(Main[[#This Row],[Class]]="B", WORKDAY(Main[[#This Row],[Tech Start Date]],19),IF(Main[[#This Row],[Class]]="A",WORKDAY(Main[[#This Row],[Tech Start Date]],9),""))))</f>
        <v/>
      </c>
      <c r="Q1141" s="74"/>
      <c r="R1141" s="74"/>
      <c r="S1141" s="72" t="s">
        <v>6</v>
      </c>
      <c r="T1141" s="80" t="s">
        <v>4</v>
      </c>
      <c r="U1141" s="72" t="s">
        <v>29</v>
      </c>
      <c r="V1141" s="72" t="s">
        <v>1932</v>
      </c>
      <c r="W1141" s="72" t="s">
        <v>4</v>
      </c>
      <c r="X1141" s="72" t="s">
        <v>949</v>
      </c>
      <c r="Y1141" s="72" t="s">
        <v>3071</v>
      </c>
      <c r="Z1141" s="72" t="s">
        <v>4</v>
      </c>
      <c r="AA1141" s="147" t="s">
        <v>949</v>
      </c>
    </row>
    <row r="1142" spans="1:27" ht="18.600000000000001" customHeight="1">
      <c r="A1142" s="140" t="str">
        <f>IF(priority(Main[[#This Row],[Comments]])&lt;&gt;0, priority(Main[[#This Row],[Comments]]),"")</f>
        <v/>
      </c>
      <c r="B1142" s="90" t="s">
        <v>2344</v>
      </c>
      <c r="C1142" s="72" t="s">
        <v>4</v>
      </c>
      <c r="D1142" s="73" t="s">
        <v>2345</v>
      </c>
      <c r="E1142" s="74">
        <v>40819.669872685183</v>
      </c>
      <c r="F1142" s="74"/>
      <c r="G1142" s="75" t="str">
        <f>IF(stdProdLT(Main[[#This Row],[Comments]])=0.1,"N/A",IF(stdProdLT(Main[[#This Row],[Comments]])=0,"",stdProdLT(Main[[#This Row],[Comments]])))</f>
        <v/>
      </c>
      <c r="H1142" s="76" t="str">
        <f>IF(AND(Main[[#This Row],[In Stock Date]]&lt;&gt;"",Main[[#This Row],[Revised Due Date]]&lt;&gt;""),Main[[#This Row],[In Stock Date]]-Main[[#This Row],[Revised Due Date]],"")</f>
        <v/>
      </c>
      <c r="I1142" s="72" t="s">
        <v>242</v>
      </c>
      <c r="J1142" s="72" t="s">
        <v>28</v>
      </c>
      <c r="K1142" s="72" t="s">
        <v>1941</v>
      </c>
      <c r="L1142" s="74"/>
      <c r="M1142" s="77" t="str">
        <f>IF(Main[[#This Row],[Tech Start Date]]&lt;1/1/1990,"",IF(Main[[#This Row],[Class]]="C",WORKDAY(Main[[#This Row],[Tech Start Date]],9),IF(Main[[#This Row],[Class]]="B", WORKDAY(Main[[#This Row],[Tech Start Date]],6),IF(Main[[#This Row],[Class]]="A",WORKDAY(Main[[#This Row],[Tech Start Date]],2),""))))</f>
        <v/>
      </c>
      <c r="N1142" s="77" t="str">
        <f>IF(Main[[#This Row],[Tech Start Date]]&lt;1/1/1990,"",IF(Main[[#This Row],[Class]]="C",WORKDAY(Main[[#This Row],[Tech Start Date]],19),IF(Main[[#This Row],[Class]]="B", WORKDAY(Main[[#This Row],[Tech Start Date]],12),IF(Main[[#This Row],[Class]]="A",WORKDAY(Main[[#This Row],[Tech Start Date]],4),""))))</f>
        <v/>
      </c>
      <c r="O1142" s="77" t="str">
        <f>IF(Main[[#This Row],[Tech Start Date]]&lt;1/1/1990,"",IF(Main[[#This Row],[Class]]="C",WORKDAY(Main[[#This Row],[Tech Start Date]],23),IF(Main[[#This Row],[Class]]="B", WORKDAY(Main[[#This Row],[Tech Start Date]],15),IF(Main[[#This Row],[Class]]="A",WORKDAY(Main[[#This Row],[Tech Start Date]],5),""))))</f>
        <v/>
      </c>
      <c r="P1142" s="77" t="str">
        <f>IF(Main[[#This Row],[Tech Start Date]]&lt;1/1/1990,"",IF(Main[[#This Row],[Class]]="C",WORKDAY(Main[[#This Row],[Tech Start Date]],28),IF(Main[[#This Row],[Class]]="B", WORKDAY(Main[[#This Row],[Tech Start Date]],19),IF(Main[[#This Row],[Class]]="A",WORKDAY(Main[[#This Row],[Tech Start Date]],9),""))))</f>
        <v/>
      </c>
      <c r="Q1142" s="74">
        <v>40847</v>
      </c>
      <c r="R1142" s="74"/>
      <c r="S1142" s="72" t="s">
        <v>6</v>
      </c>
      <c r="T1142" s="80" t="s">
        <v>4</v>
      </c>
      <c r="U1142" s="72" t="s">
        <v>29</v>
      </c>
      <c r="V1142" s="72" t="s">
        <v>1935</v>
      </c>
      <c r="W1142" s="72" t="s">
        <v>1936</v>
      </c>
      <c r="X1142" s="72" t="s">
        <v>30</v>
      </c>
      <c r="Y1142" s="72" t="s">
        <v>3027</v>
      </c>
      <c r="Z1142" s="72" t="s">
        <v>30</v>
      </c>
      <c r="AA1142" s="147" t="s">
        <v>30</v>
      </c>
    </row>
    <row r="1143" spans="1:27" ht="18.600000000000001" customHeight="1">
      <c r="A1143" s="140" t="str">
        <f>IF(priority(Main[[#This Row],[Comments]])&lt;&gt;0, priority(Main[[#This Row],[Comments]]),"")</f>
        <v/>
      </c>
      <c r="B1143" s="90" t="s">
        <v>2556</v>
      </c>
      <c r="C1143" s="72" t="s">
        <v>2547</v>
      </c>
      <c r="D1143" s="73" t="s">
        <v>2557</v>
      </c>
      <c r="E1143" s="74"/>
      <c r="F1143" s="74"/>
      <c r="G1143" s="75" t="str">
        <f>IF(stdProdLT(Main[[#This Row],[Comments]])=0.1,"N/A",IF(stdProdLT(Main[[#This Row],[Comments]])=0,"",stdProdLT(Main[[#This Row],[Comments]])))</f>
        <v/>
      </c>
      <c r="H1143" s="76" t="str">
        <f>IF(AND(Main[[#This Row],[In Stock Date]]&lt;&gt;"",Main[[#This Row],[Revised Due Date]]&lt;&gt;""),Main[[#This Row],[In Stock Date]]-Main[[#This Row],[Revised Due Date]],"")</f>
        <v/>
      </c>
      <c r="I1143" s="72" t="s">
        <v>4</v>
      </c>
      <c r="J1143" s="72" t="s">
        <v>4</v>
      </c>
      <c r="K1143" s="72" t="s">
        <v>4</v>
      </c>
      <c r="L1143" s="74"/>
      <c r="M1143" s="77" t="str">
        <f>IF(Main[[#This Row],[Tech Start Date]]&lt;1/1/1990,"",IF(Main[[#This Row],[Class]]="C",WORKDAY(Main[[#This Row],[Tech Start Date]],9),IF(Main[[#This Row],[Class]]="B", WORKDAY(Main[[#This Row],[Tech Start Date]],6),IF(Main[[#This Row],[Class]]="A",WORKDAY(Main[[#This Row],[Tech Start Date]],2),""))))</f>
        <v/>
      </c>
      <c r="N1143" s="77" t="str">
        <f>IF(Main[[#This Row],[Tech Start Date]]&lt;1/1/1990,"",IF(Main[[#This Row],[Class]]="C",WORKDAY(Main[[#This Row],[Tech Start Date]],19),IF(Main[[#This Row],[Class]]="B", WORKDAY(Main[[#This Row],[Tech Start Date]],12),IF(Main[[#This Row],[Class]]="A",WORKDAY(Main[[#This Row],[Tech Start Date]],4),""))))</f>
        <v/>
      </c>
      <c r="O1143" s="77" t="str">
        <f>IF(Main[[#This Row],[Tech Start Date]]&lt;1/1/1990,"",IF(Main[[#This Row],[Class]]="C",WORKDAY(Main[[#This Row],[Tech Start Date]],23),IF(Main[[#This Row],[Class]]="B", WORKDAY(Main[[#This Row],[Tech Start Date]],15),IF(Main[[#This Row],[Class]]="A",WORKDAY(Main[[#This Row],[Tech Start Date]],5),""))))</f>
        <v/>
      </c>
      <c r="P1143" s="77" t="str">
        <f>IF(Main[[#This Row],[Tech Start Date]]&lt;1/1/1990,"",IF(Main[[#This Row],[Class]]="C",WORKDAY(Main[[#This Row],[Tech Start Date]],28),IF(Main[[#This Row],[Class]]="B", WORKDAY(Main[[#This Row],[Tech Start Date]],19),IF(Main[[#This Row],[Class]]="A",WORKDAY(Main[[#This Row],[Tech Start Date]],9),""))))</f>
        <v/>
      </c>
      <c r="Q1143" s="74"/>
      <c r="R1143" s="74"/>
      <c r="S1143" s="72" t="s">
        <v>11</v>
      </c>
      <c r="T1143" s="80" t="s">
        <v>4</v>
      </c>
      <c r="U1143" s="72" t="s">
        <v>14</v>
      </c>
      <c r="V1143" s="72" t="s">
        <v>1933</v>
      </c>
      <c r="W1143" s="72" t="s">
        <v>1940</v>
      </c>
      <c r="X1143" s="72" t="s">
        <v>310</v>
      </c>
      <c r="Y1143" s="72" t="s">
        <v>4</v>
      </c>
      <c r="Z1143" s="72" t="s">
        <v>4</v>
      </c>
      <c r="AA1143" s="147" t="s">
        <v>3647</v>
      </c>
    </row>
    <row r="1144" spans="1:27" ht="18.600000000000001" customHeight="1">
      <c r="A1144" s="140" t="str">
        <f>IF(priority(Main[[#This Row],[Comments]])&lt;&gt;0, priority(Main[[#This Row],[Comments]]),"")</f>
        <v/>
      </c>
      <c r="B1144" s="90" t="s">
        <v>2558</v>
      </c>
      <c r="C1144" s="72" t="s">
        <v>2356</v>
      </c>
      <c r="D1144" s="73" t="s">
        <v>2559</v>
      </c>
      <c r="E1144" s="74">
        <v>40843.623680555553</v>
      </c>
      <c r="F1144" s="74"/>
      <c r="G1144" s="75" t="str">
        <f>IF(stdProdLT(Main[[#This Row],[Comments]])=0.1,"N/A",IF(stdProdLT(Main[[#This Row],[Comments]])=0,"",stdProdLT(Main[[#This Row],[Comments]])))</f>
        <v/>
      </c>
      <c r="H1144" s="76" t="str">
        <f>IF(AND(Main[[#This Row],[In Stock Date]]&lt;&gt;"",Main[[#This Row],[Revised Due Date]]&lt;&gt;""),Main[[#This Row],[In Stock Date]]-Main[[#This Row],[Revised Due Date]],"")</f>
        <v/>
      </c>
      <c r="I1144" s="72" t="s">
        <v>4</v>
      </c>
      <c r="J1144" s="72" t="s">
        <v>4</v>
      </c>
      <c r="K1144" s="72" t="s">
        <v>4</v>
      </c>
      <c r="L1144" s="74"/>
      <c r="M1144" s="77" t="str">
        <f>IF(Main[[#This Row],[Tech Start Date]]&lt;1/1/1990,"",IF(Main[[#This Row],[Class]]="C",WORKDAY(Main[[#This Row],[Tech Start Date]],9),IF(Main[[#This Row],[Class]]="B", WORKDAY(Main[[#This Row],[Tech Start Date]],6),IF(Main[[#This Row],[Class]]="A",WORKDAY(Main[[#This Row],[Tech Start Date]],2),""))))</f>
        <v/>
      </c>
      <c r="N1144" s="77" t="str">
        <f>IF(Main[[#This Row],[Tech Start Date]]&lt;1/1/1990,"",IF(Main[[#This Row],[Class]]="C",WORKDAY(Main[[#This Row],[Tech Start Date]],19),IF(Main[[#This Row],[Class]]="B", WORKDAY(Main[[#This Row],[Tech Start Date]],12),IF(Main[[#This Row],[Class]]="A",WORKDAY(Main[[#This Row],[Tech Start Date]],4),""))))</f>
        <v/>
      </c>
      <c r="O1144" s="77" t="str">
        <f>IF(Main[[#This Row],[Tech Start Date]]&lt;1/1/1990,"",IF(Main[[#This Row],[Class]]="C",WORKDAY(Main[[#This Row],[Tech Start Date]],23),IF(Main[[#This Row],[Class]]="B", WORKDAY(Main[[#This Row],[Tech Start Date]],15),IF(Main[[#This Row],[Class]]="A",WORKDAY(Main[[#This Row],[Tech Start Date]],5),""))))</f>
        <v/>
      </c>
      <c r="P1144" s="77" t="str">
        <f>IF(Main[[#This Row],[Tech Start Date]]&lt;1/1/1990,"",IF(Main[[#This Row],[Class]]="C",WORKDAY(Main[[#This Row],[Tech Start Date]],28),IF(Main[[#This Row],[Class]]="B", WORKDAY(Main[[#This Row],[Tech Start Date]],19),IF(Main[[#This Row],[Class]]="A",WORKDAY(Main[[#This Row],[Tech Start Date]],9),""))))</f>
        <v/>
      </c>
      <c r="Q1144" s="74"/>
      <c r="R1144" s="74"/>
      <c r="S1144" s="72" t="s">
        <v>6</v>
      </c>
      <c r="T1144" s="80" t="s">
        <v>4</v>
      </c>
      <c r="U1144" s="72" t="s">
        <v>7</v>
      </c>
      <c r="V1144" s="72" t="s">
        <v>1932</v>
      </c>
      <c r="W1144" s="72" t="s">
        <v>1936</v>
      </c>
      <c r="X1144" s="72" t="s">
        <v>2963</v>
      </c>
      <c r="Y1144" s="72" t="s">
        <v>3114</v>
      </c>
      <c r="Z1144" s="72" t="s">
        <v>4</v>
      </c>
      <c r="AA1144" s="147" t="s">
        <v>2963</v>
      </c>
    </row>
    <row r="1145" spans="1:27" ht="18.600000000000001" customHeight="1">
      <c r="A1145" s="140" t="str">
        <f>IF(priority(Main[[#This Row],[Comments]])&lt;&gt;0, priority(Main[[#This Row],[Comments]]),"")</f>
        <v/>
      </c>
      <c r="B1145" s="90" t="s">
        <v>3514</v>
      </c>
      <c r="C1145" s="72" t="s">
        <v>4</v>
      </c>
      <c r="D1145" s="73" t="s">
        <v>3515</v>
      </c>
      <c r="E1145" s="74">
        <v>40938.474212962959</v>
      </c>
      <c r="F1145" s="74"/>
      <c r="G1145" s="75" t="str">
        <f>IF(stdProdLT(Main[[#This Row],[Comments]])=0.1,"N/A",IF(stdProdLT(Main[[#This Row],[Comments]])=0,"",stdProdLT(Main[[#This Row],[Comments]])))</f>
        <v/>
      </c>
      <c r="H1145" s="76" t="str">
        <f>IF(AND(Main[[#This Row],[In Stock Date]]&lt;&gt;"",Main[[#This Row],[Revised Due Date]]&lt;&gt;""),Main[[#This Row],[In Stock Date]]-Main[[#This Row],[Revised Due Date]],"")</f>
        <v/>
      </c>
      <c r="I1145" s="72" t="s">
        <v>4</v>
      </c>
      <c r="J1145" s="72" t="s">
        <v>4</v>
      </c>
      <c r="K1145" s="72" t="s">
        <v>4</v>
      </c>
      <c r="L1145" s="74"/>
      <c r="M1145" s="77" t="str">
        <f>IF(Main[[#This Row],[Tech Start Date]]&lt;1/1/1990,"",IF(Main[[#This Row],[Class]]="C",WORKDAY(Main[[#This Row],[Tech Start Date]],9),IF(Main[[#This Row],[Class]]="B", WORKDAY(Main[[#This Row],[Tech Start Date]],6),IF(Main[[#This Row],[Class]]="A",WORKDAY(Main[[#This Row],[Tech Start Date]],2),""))))</f>
        <v/>
      </c>
      <c r="N1145" s="77" t="str">
        <f>IF(Main[[#This Row],[Tech Start Date]]&lt;1/1/1990,"",IF(Main[[#This Row],[Class]]="C",WORKDAY(Main[[#This Row],[Tech Start Date]],19),IF(Main[[#This Row],[Class]]="B", WORKDAY(Main[[#This Row],[Tech Start Date]],12),IF(Main[[#This Row],[Class]]="A",WORKDAY(Main[[#This Row],[Tech Start Date]],4),""))))</f>
        <v/>
      </c>
      <c r="O1145" s="77" t="str">
        <f>IF(Main[[#This Row],[Tech Start Date]]&lt;1/1/1990,"",IF(Main[[#This Row],[Class]]="C",WORKDAY(Main[[#This Row],[Tech Start Date]],23),IF(Main[[#This Row],[Class]]="B", WORKDAY(Main[[#This Row],[Tech Start Date]],15),IF(Main[[#This Row],[Class]]="A",WORKDAY(Main[[#This Row],[Tech Start Date]],5),""))))</f>
        <v/>
      </c>
      <c r="P1145" s="77" t="str">
        <f>IF(Main[[#This Row],[Tech Start Date]]&lt;1/1/1990,"",IF(Main[[#This Row],[Class]]="C",WORKDAY(Main[[#This Row],[Tech Start Date]],28),IF(Main[[#This Row],[Class]]="B", WORKDAY(Main[[#This Row],[Tech Start Date]],19),IF(Main[[#This Row],[Class]]="A",WORKDAY(Main[[#This Row],[Tech Start Date]],9),""))))</f>
        <v/>
      </c>
      <c r="Q1145" s="74"/>
      <c r="R1145" s="74"/>
      <c r="S1145" s="72" t="s">
        <v>6</v>
      </c>
      <c r="T1145" s="80" t="s">
        <v>4</v>
      </c>
      <c r="U1145" s="72" t="s">
        <v>7</v>
      </c>
      <c r="V1145" s="72" t="s">
        <v>1935</v>
      </c>
      <c r="W1145" s="72" t="s">
        <v>4</v>
      </c>
      <c r="X1145" s="72" t="s">
        <v>2925</v>
      </c>
      <c r="Y1145" s="72" t="s">
        <v>3058</v>
      </c>
      <c r="Z1145" s="72" t="s">
        <v>4</v>
      </c>
      <c r="AA1145" s="147" t="s">
        <v>2925</v>
      </c>
    </row>
    <row r="1146" spans="1:27" ht="18.600000000000001" customHeight="1">
      <c r="A1146" s="140" t="str">
        <f>IF(priority(Main[[#This Row],[Comments]])&lt;&gt;0, priority(Main[[#This Row],[Comments]]),"")</f>
        <v/>
      </c>
      <c r="B1146" s="90" t="s">
        <v>2823</v>
      </c>
      <c r="C1146" s="72" t="s">
        <v>4</v>
      </c>
      <c r="D1146" s="73" t="s">
        <v>2824</v>
      </c>
      <c r="E1146" s="74">
        <v>40907.447002314817</v>
      </c>
      <c r="F1146" s="74"/>
      <c r="G1146" s="75" t="str">
        <f>IF(stdProdLT(Main[[#This Row],[Comments]])=0.1,"N/A",IF(stdProdLT(Main[[#This Row],[Comments]])=0,"",stdProdLT(Main[[#This Row],[Comments]])))</f>
        <v/>
      </c>
      <c r="H1146" s="76" t="str">
        <f>IF(AND(Main[[#This Row],[In Stock Date]]&lt;&gt;"",Main[[#This Row],[Revised Due Date]]&lt;&gt;""),Main[[#This Row],[In Stock Date]]-Main[[#This Row],[Revised Due Date]],"")</f>
        <v/>
      </c>
      <c r="I1146" s="72" t="s">
        <v>4</v>
      </c>
      <c r="J1146" s="72" t="s">
        <v>4</v>
      </c>
      <c r="K1146" s="72" t="s">
        <v>4</v>
      </c>
      <c r="L1146" s="74"/>
      <c r="M1146" s="77" t="str">
        <f>IF(Main[[#This Row],[Tech Start Date]]&lt;1/1/1990,"",IF(Main[[#This Row],[Class]]="C",WORKDAY(Main[[#This Row],[Tech Start Date]],9),IF(Main[[#This Row],[Class]]="B", WORKDAY(Main[[#This Row],[Tech Start Date]],6),IF(Main[[#This Row],[Class]]="A",WORKDAY(Main[[#This Row],[Tech Start Date]],2),""))))</f>
        <v/>
      </c>
      <c r="N1146" s="77" t="str">
        <f>IF(Main[[#This Row],[Tech Start Date]]&lt;1/1/1990,"",IF(Main[[#This Row],[Class]]="C",WORKDAY(Main[[#This Row],[Tech Start Date]],19),IF(Main[[#This Row],[Class]]="B", WORKDAY(Main[[#This Row],[Tech Start Date]],12),IF(Main[[#This Row],[Class]]="A",WORKDAY(Main[[#This Row],[Tech Start Date]],4),""))))</f>
        <v/>
      </c>
      <c r="O1146" s="77" t="str">
        <f>IF(Main[[#This Row],[Tech Start Date]]&lt;1/1/1990,"",IF(Main[[#This Row],[Class]]="C",WORKDAY(Main[[#This Row],[Tech Start Date]],23),IF(Main[[#This Row],[Class]]="B", WORKDAY(Main[[#This Row],[Tech Start Date]],15),IF(Main[[#This Row],[Class]]="A",WORKDAY(Main[[#This Row],[Tech Start Date]],5),""))))</f>
        <v/>
      </c>
      <c r="P1146" s="77" t="str">
        <f>IF(Main[[#This Row],[Tech Start Date]]&lt;1/1/1990,"",IF(Main[[#This Row],[Class]]="C",WORKDAY(Main[[#This Row],[Tech Start Date]],28),IF(Main[[#This Row],[Class]]="B", WORKDAY(Main[[#This Row],[Tech Start Date]],19),IF(Main[[#This Row],[Class]]="A",WORKDAY(Main[[#This Row],[Tech Start Date]],9),""))))</f>
        <v/>
      </c>
      <c r="Q1146" s="74">
        <v>40921</v>
      </c>
      <c r="R1146" s="155"/>
      <c r="S1146" s="72" t="s">
        <v>6</v>
      </c>
      <c r="T1146" s="80" t="s">
        <v>4</v>
      </c>
      <c r="U1146" s="72" t="s">
        <v>7</v>
      </c>
      <c r="V1146" s="72" t="s">
        <v>1935</v>
      </c>
      <c r="W1146" s="72" t="s">
        <v>1940</v>
      </c>
      <c r="X1146" s="72" t="s">
        <v>2969</v>
      </c>
      <c r="Y1146" s="72" t="s">
        <v>3128</v>
      </c>
      <c r="Z1146" s="72" t="s">
        <v>4</v>
      </c>
      <c r="AA1146" s="147" t="s">
        <v>2969</v>
      </c>
    </row>
    <row r="1147" spans="1:27" ht="18.600000000000001" customHeight="1">
      <c r="A1147" s="140" t="str">
        <f>IF(priority(Main[[#This Row],[Comments]])&lt;&gt;0, priority(Main[[#This Row],[Comments]]),"")</f>
        <v/>
      </c>
      <c r="B1147" s="90" t="s">
        <v>2798</v>
      </c>
      <c r="C1147" s="72" t="s">
        <v>4</v>
      </c>
      <c r="D1147" s="73" t="s">
        <v>3349</v>
      </c>
      <c r="E1147" s="74"/>
      <c r="F1147" s="74"/>
      <c r="G1147" s="75" t="str">
        <f>IF(stdProdLT(Main[[#This Row],[Comments]])=0.1,"N/A",IF(stdProdLT(Main[[#This Row],[Comments]])=0,"",stdProdLT(Main[[#This Row],[Comments]])))</f>
        <v/>
      </c>
      <c r="H1147" s="76" t="str">
        <f>IF(AND(Main[[#This Row],[In Stock Date]]&lt;&gt;"",Main[[#This Row],[Revised Due Date]]&lt;&gt;""),Main[[#This Row],[In Stock Date]]-Main[[#This Row],[Revised Due Date]],"")</f>
        <v/>
      </c>
      <c r="I1147" s="72" t="s">
        <v>2234</v>
      </c>
      <c r="J1147" s="72" t="s">
        <v>75</v>
      </c>
      <c r="K1147" s="72" t="s">
        <v>1941</v>
      </c>
      <c r="L1147" s="74"/>
      <c r="M1147" s="77" t="str">
        <f>IF(Main[[#This Row],[Tech Start Date]]&lt;1/1/1990,"",IF(Main[[#This Row],[Class]]="C",WORKDAY(Main[[#This Row],[Tech Start Date]],9),IF(Main[[#This Row],[Class]]="B", WORKDAY(Main[[#This Row],[Tech Start Date]],6),IF(Main[[#This Row],[Class]]="A",WORKDAY(Main[[#This Row],[Tech Start Date]],2),""))))</f>
        <v/>
      </c>
      <c r="N1147" s="77" t="str">
        <f>IF(Main[[#This Row],[Tech Start Date]]&lt;1/1/1990,"",IF(Main[[#This Row],[Class]]="C",WORKDAY(Main[[#This Row],[Tech Start Date]],19),IF(Main[[#This Row],[Class]]="B", WORKDAY(Main[[#This Row],[Tech Start Date]],12),IF(Main[[#This Row],[Class]]="A",WORKDAY(Main[[#This Row],[Tech Start Date]],4),""))))</f>
        <v/>
      </c>
      <c r="O1147" s="77" t="str">
        <f>IF(Main[[#This Row],[Tech Start Date]]&lt;1/1/1990,"",IF(Main[[#This Row],[Class]]="C",WORKDAY(Main[[#This Row],[Tech Start Date]],23),IF(Main[[#This Row],[Class]]="B", WORKDAY(Main[[#This Row],[Tech Start Date]],15),IF(Main[[#This Row],[Class]]="A",WORKDAY(Main[[#This Row],[Tech Start Date]],5),""))))</f>
        <v/>
      </c>
      <c r="P1147" s="77" t="str">
        <f>IF(Main[[#This Row],[Tech Start Date]]&lt;1/1/1990,"",IF(Main[[#This Row],[Class]]="C",WORKDAY(Main[[#This Row],[Tech Start Date]],28),IF(Main[[#This Row],[Class]]="B", WORKDAY(Main[[#This Row],[Tech Start Date]],19),IF(Main[[#This Row],[Class]]="A",WORKDAY(Main[[#This Row],[Tech Start Date]],9),""))))</f>
        <v/>
      </c>
      <c r="Q1147" s="74">
        <v>40935</v>
      </c>
      <c r="R1147" s="74"/>
      <c r="S1147" s="72" t="s">
        <v>6</v>
      </c>
      <c r="T1147" s="80" t="s">
        <v>4</v>
      </c>
      <c r="U1147" s="72" t="s">
        <v>14</v>
      </c>
      <c r="V1147" s="72" t="s">
        <v>1935</v>
      </c>
      <c r="W1147" s="72" t="s">
        <v>1936</v>
      </c>
      <c r="X1147" s="72" t="s">
        <v>2903</v>
      </c>
      <c r="Y1147" s="72" t="s">
        <v>3019</v>
      </c>
      <c r="Z1147" s="72" t="s">
        <v>30</v>
      </c>
      <c r="AA1147" s="147" t="s">
        <v>2903</v>
      </c>
    </row>
    <row r="1148" spans="1:27" ht="18.600000000000001" customHeight="1">
      <c r="A1148" s="140" t="str">
        <f>IF(priority(Main[[#This Row],[Comments]])&lt;&gt;0, priority(Main[[#This Row],[Comments]]),"")</f>
        <v/>
      </c>
      <c r="B1148" s="90" t="s">
        <v>2726</v>
      </c>
      <c r="C1148" s="72" t="s">
        <v>4</v>
      </c>
      <c r="D1148" s="73" t="s">
        <v>2727</v>
      </c>
      <c r="E1148" s="74">
        <v>40882.367037037038</v>
      </c>
      <c r="F1148" s="74"/>
      <c r="G1148" s="75" t="str">
        <f>IF(stdProdLT(Main[[#This Row],[Comments]])=0.1,"N/A",IF(stdProdLT(Main[[#This Row],[Comments]])=0,"",stdProdLT(Main[[#This Row],[Comments]])))</f>
        <v/>
      </c>
      <c r="H1148" s="76" t="str">
        <f>IF(AND(Main[[#This Row],[In Stock Date]]&lt;&gt;"",Main[[#This Row],[Revised Due Date]]&lt;&gt;""),Main[[#This Row],[In Stock Date]]-Main[[#This Row],[Revised Due Date]],"")</f>
        <v/>
      </c>
      <c r="I1148" s="72" t="s">
        <v>69</v>
      </c>
      <c r="J1148" s="72" t="s">
        <v>70</v>
      </c>
      <c r="K1148" s="81" t="s">
        <v>1941</v>
      </c>
      <c r="L1148" s="74"/>
      <c r="M1148" s="77" t="str">
        <f>IF(Main[[#This Row],[Tech Start Date]]&lt;1/1/1990,"",IF(Main[[#This Row],[Class]]="C",WORKDAY(Main[[#This Row],[Tech Start Date]],9),IF(Main[[#This Row],[Class]]="B", WORKDAY(Main[[#This Row],[Tech Start Date]],6),IF(Main[[#This Row],[Class]]="A",WORKDAY(Main[[#This Row],[Tech Start Date]],2),""))))</f>
        <v/>
      </c>
      <c r="N1148" s="77" t="str">
        <f>IF(Main[[#This Row],[Tech Start Date]]&lt;1/1/1990,"",IF(Main[[#This Row],[Class]]="C",WORKDAY(Main[[#This Row],[Tech Start Date]],19),IF(Main[[#This Row],[Class]]="B", WORKDAY(Main[[#This Row],[Tech Start Date]],12),IF(Main[[#This Row],[Class]]="A",WORKDAY(Main[[#This Row],[Tech Start Date]],4),""))))</f>
        <v/>
      </c>
      <c r="O1148" s="77" t="str">
        <f>IF(Main[[#This Row],[Tech Start Date]]&lt;1/1/1990,"",IF(Main[[#This Row],[Class]]="C",WORKDAY(Main[[#This Row],[Tech Start Date]],23),IF(Main[[#This Row],[Class]]="B", WORKDAY(Main[[#This Row],[Tech Start Date]],15),IF(Main[[#This Row],[Class]]="A",WORKDAY(Main[[#This Row],[Tech Start Date]],5),""))))</f>
        <v/>
      </c>
      <c r="P1148" s="77" t="str">
        <f>IF(Main[[#This Row],[Tech Start Date]]&lt;1/1/1990,"",IF(Main[[#This Row],[Class]]="C",WORKDAY(Main[[#This Row],[Tech Start Date]],28),IF(Main[[#This Row],[Class]]="B", WORKDAY(Main[[#This Row],[Tech Start Date]],19),IF(Main[[#This Row],[Class]]="A",WORKDAY(Main[[#This Row],[Tech Start Date]],9),""))))</f>
        <v/>
      </c>
      <c r="Q1148" s="74">
        <v>40928</v>
      </c>
      <c r="R1148" s="74"/>
      <c r="S1148" s="72" t="s">
        <v>6</v>
      </c>
      <c r="T1148" s="80" t="s">
        <v>4</v>
      </c>
      <c r="U1148" s="72" t="s">
        <v>29</v>
      </c>
      <c r="V1148" s="72" t="s">
        <v>1935</v>
      </c>
      <c r="W1148" s="72" t="s">
        <v>1936</v>
      </c>
      <c r="X1148" s="72" t="s">
        <v>2902</v>
      </c>
      <c r="Y1148" s="72" t="s">
        <v>3016</v>
      </c>
      <c r="Z1148" s="72" t="s">
        <v>30</v>
      </c>
      <c r="AA1148" s="147" t="s">
        <v>2902</v>
      </c>
    </row>
    <row r="1149" spans="1:27" ht="18.600000000000001" customHeight="1">
      <c r="A1149" s="140" t="str">
        <f>IF(priority(Main[[#This Row],[Comments]])&lt;&gt;0, priority(Main[[#This Row],[Comments]]),"")</f>
        <v/>
      </c>
      <c r="B1149" s="90" t="s">
        <v>2506</v>
      </c>
      <c r="C1149" s="72" t="s">
        <v>4</v>
      </c>
      <c r="D1149" s="73" t="s">
        <v>2507</v>
      </c>
      <c r="E1149" s="74"/>
      <c r="F1149" s="74"/>
      <c r="G1149" s="75" t="str">
        <f>IF(stdProdLT(Main[[#This Row],[Comments]])=0.1,"N/A",IF(stdProdLT(Main[[#This Row],[Comments]])=0,"",stdProdLT(Main[[#This Row],[Comments]])))</f>
        <v/>
      </c>
      <c r="H1149" s="76" t="str">
        <f>IF(AND(Main[[#This Row],[In Stock Date]]&lt;&gt;"",Main[[#This Row],[Revised Due Date]]&lt;&gt;""),Main[[#This Row],[In Stock Date]]-Main[[#This Row],[Revised Due Date]],"")</f>
        <v/>
      </c>
      <c r="I1149" s="72" t="s">
        <v>4</v>
      </c>
      <c r="J1149" s="72" t="s">
        <v>4</v>
      </c>
      <c r="K1149" s="81" t="s">
        <v>4</v>
      </c>
      <c r="L1149" s="74"/>
      <c r="M1149" s="77" t="str">
        <f>IF(Main[[#This Row],[Tech Start Date]]&lt;1/1/1990,"",IF(Main[[#This Row],[Class]]="C",WORKDAY(Main[[#This Row],[Tech Start Date]],9),IF(Main[[#This Row],[Class]]="B", WORKDAY(Main[[#This Row],[Tech Start Date]],6),IF(Main[[#This Row],[Class]]="A",WORKDAY(Main[[#This Row],[Tech Start Date]],2),""))))</f>
        <v/>
      </c>
      <c r="N1149" s="77" t="str">
        <f>IF(Main[[#This Row],[Tech Start Date]]&lt;1/1/1990,"",IF(Main[[#This Row],[Class]]="C",WORKDAY(Main[[#This Row],[Tech Start Date]],19),IF(Main[[#This Row],[Class]]="B", WORKDAY(Main[[#This Row],[Tech Start Date]],12),IF(Main[[#This Row],[Class]]="A",WORKDAY(Main[[#This Row],[Tech Start Date]],4),""))))</f>
        <v/>
      </c>
      <c r="O1149" s="77" t="str">
        <f>IF(Main[[#This Row],[Tech Start Date]]&lt;1/1/1990,"",IF(Main[[#This Row],[Class]]="C",WORKDAY(Main[[#This Row],[Tech Start Date]],23),IF(Main[[#This Row],[Class]]="B", WORKDAY(Main[[#This Row],[Tech Start Date]],15),IF(Main[[#This Row],[Class]]="A",WORKDAY(Main[[#This Row],[Tech Start Date]],5),""))))</f>
        <v/>
      </c>
      <c r="P1149" s="77" t="str">
        <f>IF(Main[[#This Row],[Tech Start Date]]&lt;1/1/1990,"",IF(Main[[#This Row],[Class]]="C",WORKDAY(Main[[#This Row],[Tech Start Date]],28),IF(Main[[#This Row],[Class]]="B", WORKDAY(Main[[#This Row],[Tech Start Date]],19),IF(Main[[#This Row],[Class]]="A",WORKDAY(Main[[#This Row],[Tech Start Date]],9),""))))</f>
        <v/>
      </c>
      <c r="Q1149" s="74"/>
      <c r="R1149" s="74"/>
      <c r="S1149" s="72" t="s">
        <v>11</v>
      </c>
      <c r="T1149" s="80" t="s">
        <v>4</v>
      </c>
      <c r="U1149" s="72" t="s">
        <v>14</v>
      </c>
      <c r="V1149" s="72" t="s">
        <v>1933</v>
      </c>
      <c r="W1149" s="72" t="s">
        <v>4</v>
      </c>
      <c r="X1149" s="72" t="s">
        <v>2278</v>
      </c>
      <c r="Y1149" s="72" t="s">
        <v>4</v>
      </c>
      <c r="Z1149" s="72" t="s">
        <v>4</v>
      </c>
      <c r="AA1149" s="147" t="s">
        <v>4</v>
      </c>
    </row>
    <row r="1150" spans="1:27" ht="18.600000000000001" customHeight="1">
      <c r="A1150" s="140" t="str">
        <f>IF(priority(Main[[#This Row],[Comments]])&lt;&gt;0, priority(Main[[#This Row],[Comments]]),"")</f>
        <v/>
      </c>
      <c r="B1150" s="90" t="s">
        <v>3767</v>
      </c>
      <c r="C1150" s="72" t="s">
        <v>4</v>
      </c>
      <c r="D1150" s="73" t="s">
        <v>3768</v>
      </c>
      <c r="E1150" s="74">
        <v>40948.438587962963</v>
      </c>
      <c r="F1150" s="74"/>
      <c r="G1150" s="75" t="str">
        <f>IF(stdProdLT(Main[[#This Row],[Comments]])=0.1,"N/A",IF(stdProdLT(Main[[#This Row],[Comments]])=0,"",stdProdLT(Main[[#This Row],[Comments]])))</f>
        <v/>
      </c>
      <c r="H1150" s="76" t="str">
        <f>IF(AND(Main[[#This Row],[In Stock Date]]&lt;&gt;"",Main[[#This Row],[Revised Due Date]]&lt;&gt;""),Main[[#This Row],[In Stock Date]]-Main[[#This Row],[Revised Due Date]],"")</f>
        <v/>
      </c>
      <c r="I1150" s="72" t="s">
        <v>4</v>
      </c>
      <c r="J1150" s="72" t="s">
        <v>4</v>
      </c>
      <c r="K1150" s="81" t="s">
        <v>4</v>
      </c>
      <c r="L1150" s="74"/>
      <c r="M1150" s="77" t="str">
        <f>IF(Main[[#This Row],[Tech Start Date]]&lt;1/1/1990,"",IF(Main[[#This Row],[Class]]="C",WORKDAY(Main[[#This Row],[Tech Start Date]],9),IF(Main[[#This Row],[Class]]="B", WORKDAY(Main[[#This Row],[Tech Start Date]],6),IF(Main[[#This Row],[Class]]="A",WORKDAY(Main[[#This Row],[Tech Start Date]],2),""))))</f>
        <v/>
      </c>
      <c r="N1150" s="77" t="str">
        <f>IF(Main[[#This Row],[Tech Start Date]]&lt;1/1/1990,"",IF(Main[[#This Row],[Class]]="C",WORKDAY(Main[[#This Row],[Tech Start Date]],19),IF(Main[[#This Row],[Class]]="B", WORKDAY(Main[[#This Row],[Tech Start Date]],12),IF(Main[[#This Row],[Class]]="A",WORKDAY(Main[[#This Row],[Tech Start Date]],4),""))))</f>
        <v/>
      </c>
      <c r="O1150" s="77" t="str">
        <f>IF(Main[[#This Row],[Tech Start Date]]&lt;1/1/1990,"",IF(Main[[#This Row],[Class]]="C",WORKDAY(Main[[#This Row],[Tech Start Date]],23),IF(Main[[#This Row],[Class]]="B", WORKDAY(Main[[#This Row],[Tech Start Date]],15),IF(Main[[#This Row],[Class]]="A",WORKDAY(Main[[#This Row],[Tech Start Date]],5),""))))</f>
        <v/>
      </c>
      <c r="P1150" s="77" t="str">
        <f>IF(Main[[#This Row],[Tech Start Date]]&lt;1/1/1990,"",IF(Main[[#This Row],[Class]]="C",WORKDAY(Main[[#This Row],[Tech Start Date]],28),IF(Main[[#This Row],[Class]]="B", WORKDAY(Main[[#This Row],[Tech Start Date]],19),IF(Main[[#This Row],[Class]]="A",WORKDAY(Main[[#This Row],[Tech Start Date]],9),""))))</f>
        <v/>
      </c>
      <c r="Q1150" s="74"/>
      <c r="R1150" s="74"/>
      <c r="S1150" s="72" t="s">
        <v>6</v>
      </c>
      <c r="T1150" s="80" t="s">
        <v>4</v>
      </c>
      <c r="U1150" s="72" t="s">
        <v>29</v>
      </c>
      <c r="V1150" s="72" t="s">
        <v>1932</v>
      </c>
      <c r="W1150" s="72" t="s">
        <v>1936</v>
      </c>
      <c r="X1150" s="72" t="s">
        <v>102</v>
      </c>
      <c r="Y1150" s="72" t="s">
        <v>3167</v>
      </c>
      <c r="Z1150" s="72" t="s">
        <v>4</v>
      </c>
      <c r="AA1150" s="147" t="s">
        <v>3611</v>
      </c>
    </row>
    <row r="1151" spans="1:27" ht="18.600000000000001" customHeight="1">
      <c r="A1151" s="140" t="str">
        <f>IF(priority(Main[[#This Row],[Comments]])&lt;&gt;0, priority(Main[[#This Row],[Comments]]),"")</f>
        <v/>
      </c>
      <c r="B1151" s="90" t="s">
        <v>3673</v>
      </c>
      <c r="C1151" s="72" t="s">
        <v>31</v>
      </c>
      <c r="D1151" s="73" t="s">
        <v>3769</v>
      </c>
      <c r="E1151" s="74">
        <v>40940.670439814814</v>
      </c>
      <c r="F1151" s="74"/>
      <c r="G1151" s="75" t="str">
        <f>IF(stdProdLT(Main[[#This Row],[Comments]])=0.1,"N/A",IF(stdProdLT(Main[[#This Row],[Comments]])=0,"",stdProdLT(Main[[#This Row],[Comments]])))</f>
        <v/>
      </c>
      <c r="H1151" s="76" t="str">
        <f>IF(AND(Main[[#This Row],[In Stock Date]]&lt;&gt;"",Main[[#This Row],[Revised Due Date]]&lt;&gt;""),Main[[#This Row],[In Stock Date]]-Main[[#This Row],[Revised Due Date]],"")</f>
        <v/>
      </c>
      <c r="I1151" s="72" t="s">
        <v>102</v>
      </c>
      <c r="J1151" s="72" t="s">
        <v>75</v>
      </c>
      <c r="K1151" s="72" t="s">
        <v>1941</v>
      </c>
      <c r="L1151" s="74"/>
      <c r="M1151" s="77" t="str">
        <f>IF(Main[[#This Row],[Tech Start Date]]&lt;1/1/1990,"",IF(Main[[#This Row],[Class]]="C",WORKDAY(Main[[#This Row],[Tech Start Date]],9),IF(Main[[#This Row],[Class]]="B", WORKDAY(Main[[#This Row],[Tech Start Date]],6),IF(Main[[#This Row],[Class]]="A",WORKDAY(Main[[#This Row],[Tech Start Date]],2),""))))</f>
        <v/>
      </c>
      <c r="N1151" s="77" t="str">
        <f>IF(Main[[#This Row],[Tech Start Date]]&lt;1/1/1990,"",IF(Main[[#This Row],[Class]]="C",WORKDAY(Main[[#This Row],[Tech Start Date]],19),IF(Main[[#This Row],[Class]]="B", WORKDAY(Main[[#This Row],[Tech Start Date]],12),IF(Main[[#This Row],[Class]]="A",WORKDAY(Main[[#This Row],[Tech Start Date]],4),""))))</f>
        <v/>
      </c>
      <c r="O1151" s="77" t="str">
        <f>IF(Main[[#This Row],[Tech Start Date]]&lt;1/1/1990,"",IF(Main[[#This Row],[Class]]="C",WORKDAY(Main[[#This Row],[Tech Start Date]],23),IF(Main[[#This Row],[Class]]="B", WORKDAY(Main[[#This Row],[Tech Start Date]],15),IF(Main[[#This Row],[Class]]="A",WORKDAY(Main[[#This Row],[Tech Start Date]],5),""))))</f>
        <v/>
      </c>
      <c r="P1151" s="77" t="str">
        <f>IF(Main[[#This Row],[Tech Start Date]]&lt;1/1/1990,"",IF(Main[[#This Row],[Class]]="C",WORKDAY(Main[[#This Row],[Tech Start Date]],28),IF(Main[[#This Row],[Class]]="B", WORKDAY(Main[[#This Row],[Tech Start Date]],19),IF(Main[[#This Row],[Class]]="A",WORKDAY(Main[[#This Row],[Tech Start Date]],9),""))))</f>
        <v/>
      </c>
      <c r="Q1151" s="74">
        <v>40942</v>
      </c>
      <c r="R1151" s="74"/>
      <c r="S1151" s="72" t="s">
        <v>11</v>
      </c>
      <c r="T1151" s="80" t="s">
        <v>4</v>
      </c>
      <c r="U1151" s="72" t="s">
        <v>29</v>
      </c>
      <c r="V1151" s="72" t="s">
        <v>1942</v>
      </c>
      <c r="W1151" s="72" t="s">
        <v>1938</v>
      </c>
      <c r="X1151" s="72" t="s">
        <v>2954</v>
      </c>
      <c r="Y1151" s="72" t="s">
        <v>3103</v>
      </c>
      <c r="Z1151" s="72" t="s">
        <v>310</v>
      </c>
      <c r="AA1151" s="147" t="s">
        <v>2954</v>
      </c>
    </row>
    <row r="1152" spans="1:27" ht="18.600000000000001" customHeight="1">
      <c r="A1152" s="140" t="str">
        <f>IF(priority(Main[[#This Row],[Comments]])&lt;&gt;0, priority(Main[[#This Row],[Comments]]),"")</f>
        <v/>
      </c>
      <c r="B1152" s="90" t="s">
        <v>2864</v>
      </c>
      <c r="C1152" s="72" t="s">
        <v>4</v>
      </c>
      <c r="D1152" s="73" t="s">
        <v>2865</v>
      </c>
      <c r="E1152" s="74">
        <v>40883.621099537035</v>
      </c>
      <c r="F1152" s="74"/>
      <c r="G1152" s="75" t="str">
        <f>IF(stdProdLT(Main[[#This Row],[Comments]])=0.1,"N/A",IF(stdProdLT(Main[[#This Row],[Comments]])=0,"",stdProdLT(Main[[#This Row],[Comments]])))</f>
        <v/>
      </c>
      <c r="H1152" s="76" t="str">
        <f>IF(AND(Main[[#This Row],[In Stock Date]]&lt;&gt;"",Main[[#This Row],[Revised Due Date]]&lt;&gt;""),Main[[#This Row],[In Stock Date]]-Main[[#This Row],[Revised Due Date]],"")</f>
        <v/>
      </c>
      <c r="I1152" s="72" t="s">
        <v>3770</v>
      </c>
      <c r="J1152" s="72" t="s">
        <v>4</v>
      </c>
      <c r="K1152" s="72" t="s">
        <v>1944</v>
      </c>
      <c r="L1152" s="74"/>
      <c r="M1152" s="77" t="str">
        <f>IF(Main[[#This Row],[Tech Start Date]]&lt;1/1/1990,"",IF(Main[[#This Row],[Class]]="C",WORKDAY(Main[[#This Row],[Tech Start Date]],9),IF(Main[[#This Row],[Class]]="B", WORKDAY(Main[[#This Row],[Tech Start Date]],6),IF(Main[[#This Row],[Class]]="A",WORKDAY(Main[[#This Row],[Tech Start Date]],2),""))))</f>
        <v/>
      </c>
      <c r="N1152" s="77" t="str">
        <f>IF(Main[[#This Row],[Tech Start Date]]&lt;1/1/1990,"",IF(Main[[#This Row],[Class]]="C",WORKDAY(Main[[#This Row],[Tech Start Date]],19),IF(Main[[#This Row],[Class]]="B", WORKDAY(Main[[#This Row],[Tech Start Date]],12),IF(Main[[#This Row],[Class]]="A",WORKDAY(Main[[#This Row],[Tech Start Date]],4),""))))</f>
        <v/>
      </c>
      <c r="O1152" s="77" t="str">
        <f>IF(Main[[#This Row],[Tech Start Date]]&lt;1/1/1990,"",IF(Main[[#This Row],[Class]]="C",WORKDAY(Main[[#This Row],[Tech Start Date]],23),IF(Main[[#This Row],[Class]]="B", WORKDAY(Main[[#This Row],[Tech Start Date]],15),IF(Main[[#This Row],[Class]]="A",WORKDAY(Main[[#This Row],[Tech Start Date]],5),""))))</f>
        <v/>
      </c>
      <c r="P1152" s="77" t="str">
        <f>IF(Main[[#This Row],[Tech Start Date]]&lt;1/1/1990,"",IF(Main[[#This Row],[Class]]="C",WORKDAY(Main[[#This Row],[Tech Start Date]],28),IF(Main[[#This Row],[Class]]="B", WORKDAY(Main[[#This Row],[Tech Start Date]],19),IF(Main[[#This Row],[Class]]="A",WORKDAY(Main[[#This Row],[Tech Start Date]],9),""))))</f>
        <v/>
      </c>
      <c r="Q1152" s="74"/>
      <c r="R1152" s="74"/>
      <c r="S1152" s="72" t="s">
        <v>17</v>
      </c>
      <c r="T1152" s="80" t="s">
        <v>4</v>
      </c>
      <c r="U1152" s="72" t="s">
        <v>29</v>
      </c>
      <c r="V1152" s="72" t="s">
        <v>1935</v>
      </c>
      <c r="W1152" s="72" t="s">
        <v>1937</v>
      </c>
      <c r="X1152" s="72" t="s">
        <v>420</v>
      </c>
      <c r="Y1152" s="72" t="s">
        <v>3062</v>
      </c>
      <c r="Z1152" s="72" t="s">
        <v>659</v>
      </c>
      <c r="AA1152" s="147" t="s">
        <v>420</v>
      </c>
    </row>
    <row r="1153" spans="1:27" ht="18.600000000000001" customHeight="1">
      <c r="A1153" s="140" t="str">
        <f>IF(priority(Main[[#This Row],[Comments]])&lt;&gt;0, priority(Main[[#This Row],[Comments]]),"")</f>
        <v/>
      </c>
      <c r="B1153" s="90" t="s">
        <v>2544</v>
      </c>
      <c r="C1153" s="72" t="s">
        <v>4</v>
      </c>
      <c r="D1153" s="73" t="s">
        <v>2545</v>
      </c>
      <c r="E1153" s="74"/>
      <c r="F1153" s="74"/>
      <c r="G1153" s="75" t="str">
        <f>IF(stdProdLT(Main[[#This Row],[Comments]])=0.1,"N/A",IF(stdProdLT(Main[[#This Row],[Comments]])=0,"",stdProdLT(Main[[#This Row],[Comments]])))</f>
        <v/>
      </c>
      <c r="H1153" s="76" t="str">
        <f>IF(AND(Main[[#This Row],[In Stock Date]]&lt;&gt;"",Main[[#This Row],[Revised Due Date]]&lt;&gt;""),Main[[#This Row],[In Stock Date]]-Main[[#This Row],[Revised Due Date]],"")</f>
        <v/>
      </c>
      <c r="I1153" s="72" t="s">
        <v>4</v>
      </c>
      <c r="J1153" s="72" t="s">
        <v>4</v>
      </c>
      <c r="K1153" s="72" t="s">
        <v>4</v>
      </c>
      <c r="L1153" s="74"/>
      <c r="M1153" s="77" t="str">
        <f>IF(Main[[#This Row],[Tech Start Date]]&lt;1/1/1990,"",IF(Main[[#This Row],[Class]]="C",WORKDAY(Main[[#This Row],[Tech Start Date]],9),IF(Main[[#This Row],[Class]]="B", WORKDAY(Main[[#This Row],[Tech Start Date]],6),IF(Main[[#This Row],[Class]]="A",WORKDAY(Main[[#This Row],[Tech Start Date]],2),""))))</f>
        <v/>
      </c>
      <c r="N1153" s="77" t="str">
        <f>IF(Main[[#This Row],[Tech Start Date]]&lt;1/1/1990,"",IF(Main[[#This Row],[Class]]="C",WORKDAY(Main[[#This Row],[Tech Start Date]],19),IF(Main[[#This Row],[Class]]="B", WORKDAY(Main[[#This Row],[Tech Start Date]],12),IF(Main[[#This Row],[Class]]="A",WORKDAY(Main[[#This Row],[Tech Start Date]],4),""))))</f>
        <v/>
      </c>
      <c r="O1153" s="77" t="str">
        <f>IF(Main[[#This Row],[Tech Start Date]]&lt;1/1/1990,"",IF(Main[[#This Row],[Class]]="C",WORKDAY(Main[[#This Row],[Tech Start Date]],23),IF(Main[[#This Row],[Class]]="B", WORKDAY(Main[[#This Row],[Tech Start Date]],15),IF(Main[[#This Row],[Class]]="A",WORKDAY(Main[[#This Row],[Tech Start Date]],5),""))))</f>
        <v/>
      </c>
      <c r="P1153" s="77" t="str">
        <f>IF(Main[[#This Row],[Tech Start Date]]&lt;1/1/1990,"",IF(Main[[#This Row],[Class]]="C",WORKDAY(Main[[#This Row],[Tech Start Date]],28),IF(Main[[#This Row],[Class]]="B", WORKDAY(Main[[#This Row],[Tech Start Date]],19),IF(Main[[#This Row],[Class]]="A",WORKDAY(Main[[#This Row],[Tech Start Date]],9),""))))</f>
        <v/>
      </c>
      <c r="Q1153" s="74">
        <v>40837</v>
      </c>
      <c r="R1153" s="74"/>
      <c r="S1153" s="72" t="s">
        <v>11</v>
      </c>
      <c r="T1153" s="80" t="s">
        <v>4</v>
      </c>
      <c r="U1153" s="72" t="s">
        <v>14</v>
      </c>
      <c r="V1153" s="72" t="s">
        <v>1933</v>
      </c>
      <c r="W1153" s="72" t="s">
        <v>1940</v>
      </c>
      <c r="X1153" s="72" t="s">
        <v>2990</v>
      </c>
      <c r="Y1153" s="72" t="s">
        <v>3183</v>
      </c>
      <c r="Z1153" s="72" t="s">
        <v>4</v>
      </c>
      <c r="AA1153" s="147" t="s">
        <v>2990</v>
      </c>
    </row>
    <row r="1154" spans="1:27" ht="18.600000000000001" customHeight="1">
      <c r="A1154" s="140" t="str">
        <f>IF(priority(Main[[#This Row],[Comments]])&lt;&gt;0, priority(Main[[#This Row],[Comments]]),"")</f>
        <v/>
      </c>
      <c r="B1154" s="90" t="s">
        <v>1395</v>
      </c>
      <c r="C1154" s="72" t="s">
        <v>4</v>
      </c>
      <c r="D1154" s="73" t="s">
        <v>2036</v>
      </c>
      <c r="E1154" s="74"/>
      <c r="F1154" s="74"/>
      <c r="G1154" s="75" t="str">
        <f>IF(stdProdLT(Main[[#This Row],[Comments]])=0.1,"N/A",IF(stdProdLT(Main[[#This Row],[Comments]])=0,"",stdProdLT(Main[[#This Row],[Comments]])))</f>
        <v/>
      </c>
      <c r="H1154" s="76" t="str">
        <f>IF(AND(Main[[#This Row],[In Stock Date]]&lt;&gt;"",Main[[#This Row],[Revised Due Date]]&lt;&gt;""),Main[[#This Row],[In Stock Date]]-Main[[#This Row],[Revised Due Date]],"")</f>
        <v/>
      </c>
      <c r="I1154" s="72" t="s">
        <v>4</v>
      </c>
      <c r="J1154" s="72" t="s">
        <v>4</v>
      </c>
      <c r="K1154" s="72" t="s">
        <v>4</v>
      </c>
      <c r="L1154" s="74"/>
      <c r="M1154" s="77" t="str">
        <f>IF(Main[[#This Row],[Tech Start Date]]&lt;1/1/1990,"",IF(Main[[#This Row],[Class]]="C",WORKDAY(Main[[#This Row],[Tech Start Date]],9),IF(Main[[#This Row],[Class]]="B", WORKDAY(Main[[#This Row],[Tech Start Date]],6),IF(Main[[#This Row],[Class]]="A",WORKDAY(Main[[#This Row],[Tech Start Date]],2),""))))</f>
        <v/>
      </c>
      <c r="N1154" s="77" t="str">
        <f>IF(Main[[#This Row],[Tech Start Date]]&lt;1/1/1990,"",IF(Main[[#This Row],[Class]]="C",WORKDAY(Main[[#This Row],[Tech Start Date]],19),IF(Main[[#This Row],[Class]]="B", WORKDAY(Main[[#This Row],[Tech Start Date]],12),IF(Main[[#This Row],[Class]]="A",WORKDAY(Main[[#This Row],[Tech Start Date]],4),""))))</f>
        <v/>
      </c>
      <c r="O1154" s="77" t="str">
        <f>IF(Main[[#This Row],[Tech Start Date]]&lt;1/1/1990,"",IF(Main[[#This Row],[Class]]="C",WORKDAY(Main[[#This Row],[Tech Start Date]],23),IF(Main[[#This Row],[Class]]="B", WORKDAY(Main[[#This Row],[Tech Start Date]],15),IF(Main[[#This Row],[Class]]="A",WORKDAY(Main[[#This Row],[Tech Start Date]],5),""))))</f>
        <v/>
      </c>
      <c r="P1154" s="77" t="str">
        <f>IF(Main[[#This Row],[Tech Start Date]]&lt;1/1/1990,"",IF(Main[[#This Row],[Class]]="C",WORKDAY(Main[[#This Row],[Tech Start Date]],28),IF(Main[[#This Row],[Class]]="B", WORKDAY(Main[[#This Row],[Tech Start Date]],19),IF(Main[[#This Row],[Class]]="A",WORKDAY(Main[[#This Row],[Tech Start Date]],9),""))))</f>
        <v/>
      </c>
      <c r="Q1154" s="74">
        <v>40310</v>
      </c>
      <c r="R1154" s="74"/>
      <c r="S1154" s="72" t="s">
        <v>6</v>
      </c>
      <c r="T1154" s="80" t="s">
        <v>4</v>
      </c>
      <c r="U1154" s="72" t="s">
        <v>14</v>
      </c>
      <c r="V1154" s="72" t="s">
        <v>1932</v>
      </c>
      <c r="W1154" s="72" t="s">
        <v>1937</v>
      </c>
      <c r="X1154" s="72" t="s">
        <v>894</v>
      </c>
      <c r="Y1154" s="72" t="s">
        <v>3050</v>
      </c>
      <c r="Z1154" s="72" t="s">
        <v>4</v>
      </c>
      <c r="AA1154" s="147" t="s">
        <v>894</v>
      </c>
    </row>
    <row r="1155" spans="1:27" ht="18.600000000000001" customHeight="1">
      <c r="A1155" s="140" t="str">
        <f>IF(priority(Main[[#This Row],[Comments]])&lt;&gt;0, priority(Main[[#This Row],[Comments]]),"")</f>
        <v/>
      </c>
      <c r="B1155" s="90" t="s">
        <v>2627</v>
      </c>
      <c r="C1155" s="72" t="s">
        <v>4</v>
      </c>
      <c r="D1155" s="73" t="s">
        <v>2829</v>
      </c>
      <c r="E1155" s="74"/>
      <c r="F1155" s="74"/>
      <c r="G1155" s="75" t="str">
        <f>IF(stdProdLT(Main[[#This Row],[Comments]])=0.1,"N/A",IF(stdProdLT(Main[[#This Row],[Comments]])=0,"",stdProdLT(Main[[#This Row],[Comments]])))</f>
        <v/>
      </c>
      <c r="H1155" s="76" t="str">
        <f>IF(AND(Main[[#This Row],[In Stock Date]]&lt;&gt;"",Main[[#This Row],[Revised Due Date]]&lt;&gt;""),Main[[#This Row],[In Stock Date]]-Main[[#This Row],[Revised Due Date]],"")</f>
        <v/>
      </c>
      <c r="I1155" s="72" t="s">
        <v>242</v>
      </c>
      <c r="J1155" s="72" t="s">
        <v>28</v>
      </c>
      <c r="K1155" s="72" t="s">
        <v>1941</v>
      </c>
      <c r="L1155" s="74"/>
      <c r="M1155" s="77" t="str">
        <f>IF(Main[[#This Row],[Tech Start Date]]&lt;1/1/1990,"",IF(Main[[#This Row],[Class]]="C",WORKDAY(Main[[#This Row],[Tech Start Date]],9),IF(Main[[#This Row],[Class]]="B", WORKDAY(Main[[#This Row],[Tech Start Date]],6),IF(Main[[#This Row],[Class]]="A",WORKDAY(Main[[#This Row],[Tech Start Date]],2),""))))</f>
        <v/>
      </c>
      <c r="N1155" s="77" t="str">
        <f>IF(Main[[#This Row],[Tech Start Date]]&lt;1/1/1990,"",IF(Main[[#This Row],[Class]]="C",WORKDAY(Main[[#This Row],[Tech Start Date]],19),IF(Main[[#This Row],[Class]]="B", WORKDAY(Main[[#This Row],[Tech Start Date]],12),IF(Main[[#This Row],[Class]]="A",WORKDAY(Main[[#This Row],[Tech Start Date]],4),""))))</f>
        <v/>
      </c>
      <c r="O1155" s="77" t="str">
        <f>IF(Main[[#This Row],[Tech Start Date]]&lt;1/1/1990,"",IF(Main[[#This Row],[Class]]="C",WORKDAY(Main[[#This Row],[Tech Start Date]],23),IF(Main[[#This Row],[Class]]="B", WORKDAY(Main[[#This Row],[Tech Start Date]],15),IF(Main[[#This Row],[Class]]="A",WORKDAY(Main[[#This Row],[Tech Start Date]],5),""))))</f>
        <v/>
      </c>
      <c r="P1155" s="77" t="str">
        <f>IF(Main[[#This Row],[Tech Start Date]]&lt;1/1/1990,"",IF(Main[[#This Row],[Class]]="C",WORKDAY(Main[[#This Row],[Tech Start Date]],28),IF(Main[[#This Row],[Class]]="B", WORKDAY(Main[[#This Row],[Tech Start Date]],19),IF(Main[[#This Row],[Class]]="A",WORKDAY(Main[[#This Row],[Tech Start Date]],9),""))))</f>
        <v/>
      </c>
      <c r="Q1155" s="74">
        <v>40907</v>
      </c>
      <c r="R1155" s="74"/>
      <c r="S1155" s="72" t="s">
        <v>6</v>
      </c>
      <c r="T1155" s="80" t="s">
        <v>4</v>
      </c>
      <c r="U1155" s="72" t="s">
        <v>14</v>
      </c>
      <c r="V1155" s="72" t="s">
        <v>1935</v>
      </c>
      <c r="W1155" s="72" t="s">
        <v>1936</v>
      </c>
      <c r="X1155" s="72" t="s">
        <v>2903</v>
      </c>
      <c r="Y1155" s="72" t="s">
        <v>3019</v>
      </c>
      <c r="Z1155" s="72" t="s">
        <v>30</v>
      </c>
      <c r="AA1155" s="147" t="s">
        <v>2903</v>
      </c>
    </row>
    <row r="1156" spans="1:27" ht="18.600000000000001" customHeight="1">
      <c r="A1156" s="140" t="str">
        <f>IF(priority(Main[[#This Row],[Comments]])&lt;&gt;0, priority(Main[[#This Row],[Comments]]),"")</f>
        <v/>
      </c>
      <c r="B1156" s="90" t="s">
        <v>2564</v>
      </c>
      <c r="C1156" s="72" t="s">
        <v>4</v>
      </c>
      <c r="D1156" s="73" t="s">
        <v>2565</v>
      </c>
      <c r="E1156" s="74"/>
      <c r="F1156" s="74"/>
      <c r="G1156" s="75" t="str">
        <f>IF(stdProdLT(Main[[#This Row],[Comments]])=0.1,"N/A",IF(stdProdLT(Main[[#This Row],[Comments]])=0,"",stdProdLT(Main[[#This Row],[Comments]])))</f>
        <v/>
      </c>
      <c r="H1156" s="76" t="str">
        <f>IF(AND(Main[[#This Row],[In Stock Date]]&lt;&gt;"",Main[[#This Row],[Revised Due Date]]&lt;&gt;""),Main[[#This Row],[In Stock Date]]-Main[[#This Row],[Revised Due Date]],"")</f>
        <v/>
      </c>
      <c r="I1156" s="72" t="s">
        <v>4</v>
      </c>
      <c r="J1156" s="72" t="s">
        <v>4</v>
      </c>
      <c r="K1156" s="72" t="s">
        <v>4</v>
      </c>
      <c r="L1156" s="74"/>
      <c r="M1156" s="77" t="str">
        <f>IF(Main[[#This Row],[Tech Start Date]]&lt;1/1/1990,"",IF(Main[[#This Row],[Class]]="C",WORKDAY(Main[[#This Row],[Tech Start Date]],9),IF(Main[[#This Row],[Class]]="B", WORKDAY(Main[[#This Row],[Tech Start Date]],6),IF(Main[[#This Row],[Class]]="A",WORKDAY(Main[[#This Row],[Tech Start Date]],2),""))))</f>
        <v/>
      </c>
      <c r="N1156" s="77" t="str">
        <f>IF(Main[[#This Row],[Tech Start Date]]&lt;1/1/1990,"",IF(Main[[#This Row],[Class]]="C",WORKDAY(Main[[#This Row],[Tech Start Date]],19),IF(Main[[#This Row],[Class]]="B", WORKDAY(Main[[#This Row],[Tech Start Date]],12),IF(Main[[#This Row],[Class]]="A",WORKDAY(Main[[#This Row],[Tech Start Date]],4),""))))</f>
        <v/>
      </c>
      <c r="O1156" s="77" t="str">
        <f>IF(Main[[#This Row],[Tech Start Date]]&lt;1/1/1990,"",IF(Main[[#This Row],[Class]]="C",WORKDAY(Main[[#This Row],[Tech Start Date]],23),IF(Main[[#This Row],[Class]]="B", WORKDAY(Main[[#This Row],[Tech Start Date]],15),IF(Main[[#This Row],[Class]]="A",WORKDAY(Main[[#This Row],[Tech Start Date]],5),""))))</f>
        <v/>
      </c>
      <c r="P1156" s="77" t="str">
        <f>IF(Main[[#This Row],[Tech Start Date]]&lt;1/1/1990,"",IF(Main[[#This Row],[Class]]="C",WORKDAY(Main[[#This Row],[Tech Start Date]],28),IF(Main[[#This Row],[Class]]="B", WORKDAY(Main[[#This Row],[Tech Start Date]],19),IF(Main[[#This Row],[Class]]="A",WORKDAY(Main[[#This Row],[Tech Start Date]],9),""))))</f>
        <v/>
      </c>
      <c r="Q1156" s="74"/>
      <c r="R1156" s="74"/>
      <c r="S1156" s="72" t="s">
        <v>11</v>
      </c>
      <c r="T1156" s="80" t="s">
        <v>4</v>
      </c>
      <c r="U1156" s="72" t="s">
        <v>14</v>
      </c>
      <c r="V1156" s="72" t="s">
        <v>1933</v>
      </c>
      <c r="W1156" s="72" t="s">
        <v>4</v>
      </c>
      <c r="X1156" s="72" t="s">
        <v>2278</v>
      </c>
      <c r="Y1156" s="72" t="s">
        <v>4</v>
      </c>
      <c r="Z1156" s="72" t="s">
        <v>4</v>
      </c>
      <c r="AA1156" s="147" t="s">
        <v>4</v>
      </c>
    </row>
    <row r="1157" spans="1:27" ht="18.600000000000001" customHeight="1">
      <c r="A1157" s="140" t="str">
        <f>IF(priority(Main[[#This Row],[Comments]])&lt;&gt;0, priority(Main[[#This Row],[Comments]]),"")</f>
        <v/>
      </c>
      <c r="B1157" s="90" t="s">
        <v>3771</v>
      </c>
      <c r="C1157" s="72" t="s">
        <v>3754</v>
      </c>
      <c r="D1157" s="73" t="s">
        <v>3772</v>
      </c>
      <c r="E1157" s="74"/>
      <c r="F1157" s="74">
        <v>41026</v>
      </c>
      <c r="G1157" s="75" t="str">
        <f>IF(stdProdLT(Main[[#This Row],[Comments]])=0.1,"N/A",IF(stdProdLT(Main[[#This Row],[Comments]])=0,"",stdProdLT(Main[[#This Row],[Comments]])))</f>
        <v/>
      </c>
      <c r="H1157" s="76" t="str">
        <f>IF(AND(Main[[#This Row],[In Stock Date]]&lt;&gt;"",Main[[#This Row],[Revised Due Date]]&lt;&gt;""),Main[[#This Row],[In Stock Date]]-Main[[#This Row],[Revised Due Date]],"")</f>
        <v/>
      </c>
      <c r="I1157" s="72" t="s">
        <v>4</v>
      </c>
      <c r="J1157" s="72" t="s">
        <v>75</v>
      </c>
      <c r="K1157" s="81" t="s">
        <v>4</v>
      </c>
      <c r="L1157" s="74"/>
      <c r="M1157" s="77" t="str">
        <f>IF(Main[[#This Row],[Tech Start Date]]&lt;1/1/1990,"",IF(Main[[#This Row],[Class]]="C",WORKDAY(Main[[#This Row],[Tech Start Date]],9),IF(Main[[#This Row],[Class]]="B", WORKDAY(Main[[#This Row],[Tech Start Date]],6),IF(Main[[#This Row],[Class]]="A",WORKDAY(Main[[#This Row],[Tech Start Date]],2),""))))</f>
        <v/>
      </c>
      <c r="N1157" s="77" t="str">
        <f>IF(Main[[#This Row],[Tech Start Date]]&lt;1/1/1990,"",IF(Main[[#This Row],[Class]]="C",WORKDAY(Main[[#This Row],[Tech Start Date]],19),IF(Main[[#This Row],[Class]]="B", WORKDAY(Main[[#This Row],[Tech Start Date]],12),IF(Main[[#This Row],[Class]]="A",WORKDAY(Main[[#This Row],[Tech Start Date]],4),""))))</f>
        <v/>
      </c>
      <c r="O1157" s="77" t="str">
        <f>IF(Main[[#This Row],[Tech Start Date]]&lt;1/1/1990,"",IF(Main[[#This Row],[Class]]="C",WORKDAY(Main[[#This Row],[Tech Start Date]],23),IF(Main[[#This Row],[Class]]="B", WORKDAY(Main[[#This Row],[Tech Start Date]],15),IF(Main[[#This Row],[Class]]="A",WORKDAY(Main[[#This Row],[Tech Start Date]],5),""))))</f>
        <v/>
      </c>
      <c r="P1157" s="77" t="str">
        <f>IF(Main[[#This Row],[Tech Start Date]]&lt;1/1/1990,"",IF(Main[[#This Row],[Class]]="C",WORKDAY(Main[[#This Row],[Tech Start Date]],28),IF(Main[[#This Row],[Class]]="B", WORKDAY(Main[[#This Row],[Tech Start Date]],19),IF(Main[[#This Row],[Class]]="A",WORKDAY(Main[[#This Row],[Tech Start Date]],9),""))))</f>
        <v/>
      </c>
      <c r="Q1157" s="74">
        <v>40954</v>
      </c>
      <c r="R1157" s="74"/>
      <c r="S1157" s="72" t="s">
        <v>11</v>
      </c>
      <c r="T1157" s="80" t="s">
        <v>4</v>
      </c>
      <c r="U1157" s="72" t="s">
        <v>14</v>
      </c>
      <c r="V1157" s="72" t="s">
        <v>1942</v>
      </c>
      <c r="W1157" s="72" t="s">
        <v>1940</v>
      </c>
      <c r="X1157" s="72" t="s">
        <v>2913</v>
      </c>
      <c r="Y1157" s="72" t="s">
        <v>3038</v>
      </c>
      <c r="Z1157" s="72" t="s">
        <v>535</v>
      </c>
      <c r="AA1157" s="147" t="s">
        <v>2913</v>
      </c>
    </row>
    <row r="1158" spans="1:27" ht="18.600000000000001" customHeight="1">
      <c r="A1158" s="140" t="str">
        <f>IF(priority(Main[[#This Row],[Comments]])&lt;&gt;0, priority(Main[[#This Row],[Comments]]),"")</f>
        <v/>
      </c>
      <c r="B1158" s="90" t="s">
        <v>3773</v>
      </c>
      <c r="C1158" s="72" t="s">
        <v>4</v>
      </c>
      <c r="D1158" s="73" t="s">
        <v>3774</v>
      </c>
      <c r="E1158" s="74">
        <v>40949.904050925928</v>
      </c>
      <c r="F1158" s="74"/>
      <c r="G1158" s="75" t="str">
        <f>IF(stdProdLT(Main[[#This Row],[Comments]])=0.1,"N/A",IF(stdProdLT(Main[[#This Row],[Comments]])=0,"",stdProdLT(Main[[#This Row],[Comments]])))</f>
        <v/>
      </c>
      <c r="H1158" s="76" t="str">
        <f>IF(AND(Main[[#This Row],[In Stock Date]]&lt;&gt;"",Main[[#This Row],[Revised Due Date]]&lt;&gt;""),Main[[#This Row],[In Stock Date]]-Main[[#This Row],[Revised Due Date]],"")</f>
        <v/>
      </c>
      <c r="I1158" s="72" t="s">
        <v>4</v>
      </c>
      <c r="J1158" s="72" t="s">
        <v>4</v>
      </c>
      <c r="K1158" s="72" t="s">
        <v>4</v>
      </c>
      <c r="L1158" s="74"/>
      <c r="M1158" s="77" t="str">
        <f>IF(Main[[#This Row],[Tech Start Date]]&lt;1/1/1990,"",IF(Main[[#This Row],[Class]]="C",WORKDAY(Main[[#This Row],[Tech Start Date]],9),IF(Main[[#This Row],[Class]]="B", WORKDAY(Main[[#This Row],[Tech Start Date]],6),IF(Main[[#This Row],[Class]]="A",WORKDAY(Main[[#This Row],[Tech Start Date]],2),""))))</f>
        <v/>
      </c>
      <c r="N1158" s="77" t="str">
        <f>IF(Main[[#This Row],[Tech Start Date]]&lt;1/1/1990,"",IF(Main[[#This Row],[Class]]="C",WORKDAY(Main[[#This Row],[Tech Start Date]],19),IF(Main[[#This Row],[Class]]="B", WORKDAY(Main[[#This Row],[Tech Start Date]],12),IF(Main[[#This Row],[Class]]="A",WORKDAY(Main[[#This Row],[Tech Start Date]],4),""))))</f>
        <v/>
      </c>
      <c r="O1158" s="77" t="str">
        <f>IF(Main[[#This Row],[Tech Start Date]]&lt;1/1/1990,"",IF(Main[[#This Row],[Class]]="C",WORKDAY(Main[[#This Row],[Tech Start Date]],23),IF(Main[[#This Row],[Class]]="B", WORKDAY(Main[[#This Row],[Tech Start Date]],15),IF(Main[[#This Row],[Class]]="A",WORKDAY(Main[[#This Row],[Tech Start Date]],5),""))))</f>
        <v/>
      </c>
      <c r="P1158" s="77" t="str">
        <f>IF(Main[[#This Row],[Tech Start Date]]&lt;1/1/1990,"",IF(Main[[#This Row],[Class]]="C",WORKDAY(Main[[#This Row],[Tech Start Date]],28),IF(Main[[#This Row],[Class]]="B", WORKDAY(Main[[#This Row],[Tech Start Date]],19),IF(Main[[#This Row],[Class]]="A",WORKDAY(Main[[#This Row],[Tech Start Date]],9),""))))</f>
        <v/>
      </c>
      <c r="Q1158" s="74">
        <v>40952</v>
      </c>
      <c r="R1158" s="74"/>
      <c r="S1158" s="72" t="s">
        <v>6</v>
      </c>
      <c r="T1158" s="80" t="s">
        <v>4</v>
      </c>
      <c r="U1158" s="72" t="s">
        <v>7</v>
      </c>
      <c r="V1158" s="72" t="s">
        <v>1935</v>
      </c>
      <c r="W1158" s="72" t="s">
        <v>1936</v>
      </c>
      <c r="X1158" s="72" t="s">
        <v>2979</v>
      </c>
      <c r="Y1158" s="72" t="s">
        <v>3147</v>
      </c>
      <c r="Z1158" s="72" t="s">
        <v>4</v>
      </c>
      <c r="AA1158" s="147" t="s">
        <v>2979</v>
      </c>
    </row>
    <row r="1159" spans="1:27" ht="18.600000000000001" customHeight="1">
      <c r="A1159" s="140" t="str">
        <f>IF(priority(Main[[#This Row],[Comments]])&lt;&gt;0, priority(Main[[#This Row],[Comments]]),"")</f>
        <v/>
      </c>
      <c r="B1159" s="90" t="s">
        <v>3681</v>
      </c>
      <c r="C1159" s="72" t="s">
        <v>31</v>
      </c>
      <c r="D1159" s="73" t="s">
        <v>3775</v>
      </c>
      <c r="E1159" s="74">
        <v>40940.680509259262</v>
      </c>
      <c r="F1159" s="74">
        <v>41061</v>
      </c>
      <c r="G1159" s="75" t="str">
        <f>IF(stdProdLT(Main[[#This Row],[Comments]])=0.1,"N/A",IF(stdProdLT(Main[[#This Row],[Comments]])=0,"",stdProdLT(Main[[#This Row],[Comments]])))</f>
        <v/>
      </c>
      <c r="H1159" s="76" t="str">
        <f>IF(AND(Main[[#This Row],[In Stock Date]]&lt;&gt;"",Main[[#This Row],[Revised Due Date]]&lt;&gt;""),Main[[#This Row],[In Stock Date]]-Main[[#This Row],[Revised Due Date]],"")</f>
        <v/>
      </c>
      <c r="I1159" s="72" t="s">
        <v>2234</v>
      </c>
      <c r="J1159" s="72" t="s">
        <v>75</v>
      </c>
      <c r="K1159" s="81" t="s">
        <v>1939</v>
      </c>
      <c r="L1159" s="74"/>
      <c r="M1159" s="77" t="str">
        <f>IF(Main[[#This Row],[Tech Start Date]]&lt;1/1/1990,"",IF(Main[[#This Row],[Class]]="C",WORKDAY(Main[[#This Row],[Tech Start Date]],9),IF(Main[[#This Row],[Class]]="B", WORKDAY(Main[[#This Row],[Tech Start Date]],6),IF(Main[[#This Row],[Class]]="A",WORKDAY(Main[[#This Row],[Tech Start Date]],2),""))))</f>
        <v/>
      </c>
      <c r="N1159" s="77" t="str">
        <f>IF(Main[[#This Row],[Tech Start Date]]&lt;1/1/1990,"",IF(Main[[#This Row],[Class]]="C",WORKDAY(Main[[#This Row],[Tech Start Date]],19),IF(Main[[#This Row],[Class]]="B", WORKDAY(Main[[#This Row],[Tech Start Date]],12),IF(Main[[#This Row],[Class]]="A",WORKDAY(Main[[#This Row],[Tech Start Date]],4),""))))</f>
        <v/>
      </c>
      <c r="O1159" s="77" t="str">
        <f>IF(Main[[#This Row],[Tech Start Date]]&lt;1/1/1990,"",IF(Main[[#This Row],[Class]]="C",WORKDAY(Main[[#This Row],[Tech Start Date]],23),IF(Main[[#This Row],[Class]]="B", WORKDAY(Main[[#This Row],[Tech Start Date]],15),IF(Main[[#This Row],[Class]]="A",WORKDAY(Main[[#This Row],[Tech Start Date]],5),""))))</f>
        <v/>
      </c>
      <c r="P1159" s="77" t="str">
        <f>IF(Main[[#This Row],[Tech Start Date]]&lt;1/1/1990,"",IF(Main[[#This Row],[Class]]="C",WORKDAY(Main[[#This Row],[Tech Start Date]],28),IF(Main[[#This Row],[Class]]="B", WORKDAY(Main[[#This Row],[Tech Start Date]],19),IF(Main[[#This Row],[Class]]="A",WORKDAY(Main[[#This Row],[Tech Start Date]],9),""))))</f>
        <v/>
      </c>
      <c r="Q1159" s="74">
        <v>40942</v>
      </c>
      <c r="R1159" s="74"/>
      <c r="S1159" s="72" t="s">
        <v>11</v>
      </c>
      <c r="T1159" s="80" t="s">
        <v>4</v>
      </c>
      <c r="U1159" s="72" t="s">
        <v>29</v>
      </c>
      <c r="V1159" s="72" t="s">
        <v>1932</v>
      </c>
      <c r="W1159" s="72" t="s">
        <v>1938</v>
      </c>
      <c r="X1159" s="72" t="s">
        <v>2954</v>
      </c>
      <c r="Y1159" s="72" t="s">
        <v>3103</v>
      </c>
      <c r="Z1159" s="72" t="s">
        <v>310</v>
      </c>
      <c r="AA1159" s="147" t="s">
        <v>2954</v>
      </c>
    </row>
    <row r="1160" spans="1:27" ht="18.600000000000001" customHeight="1">
      <c r="A1160" s="140" t="str">
        <f>IF(priority(Main[[#This Row],[Comments]])&lt;&gt;0, priority(Main[[#This Row],[Comments]]),"")</f>
        <v/>
      </c>
      <c r="B1160" s="90" t="s">
        <v>3776</v>
      </c>
      <c r="C1160" s="72" t="s">
        <v>4</v>
      </c>
      <c r="D1160" s="73" t="s">
        <v>3777</v>
      </c>
      <c r="E1160" s="74">
        <v>40945.502060185187</v>
      </c>
      <c r="F1160" s="74"/>
      <c r="G1160" s="75" t="str">
        <f>IF(stdProdLT(Main[[#This Row],[Comments]])=0.1,"N/A",IF(stdProdLT(Main[[#This Row],[Comments]])=0,"",stdProdLT(Main[[#This Row],[Comments]])))</f>
        <v/>
      </c>
      <c r="H1160" s="76" t="str">
        <f>IF(AND(Main[[#This Row],[In Stock Date]]&lt;&gt;"",Main[[#This Row],[Revised Due Date]]&lt;&gt;""),Main[[#This Row],[In Stock Date]]-Main[[#This Row],[Revised Due Date]],"")</f>
        <v/>
      </c>
      <c r="I1160" s="72" t="s">
        <v>535</v>
      </c>
      <c r="J1160" s="72" t="s">
        <v>21</v>
      </c>
      <c r="K1160" s="81" t="s">
        <v>4</v>
      </c>
      <c r="L1160" s="74"/>
      <c r="M1160" s="77" t="str">
        <f>IF(Main[[#This Row],[Tech Start Date]]&lt;1/1/1990,"",IF(Main[[#This Row],[Class]]="C",WORKDAY(Main[[#This Row],[Tech Start Date]],9),IF(Main[[#This Row],[Class]]="B", WORKDAY(Main[[#This Row],[Tech Start Date]],6),IF(Main[[#This Row],[Class]]="A",WORKDAY(Main[[#This Row],[Tech Start Date]],2),""))))</f>
        <v/>
      </c>
      <c r="N1160" s="77" t="str">
        <f>IF(Main[[#This Row],[Tech Start Date]]&lt;1/1/1990,"",IF(Main[[#This Row],[Class]]="C",WORKDAY(Main[[#This Row],[Tech Start Date]],19),IF(Main[[#This Row],[Class]]="B", WORKDAY(Main[[#This Row],[Tech Start Date]],12),IF(Main[[#This Row],[Class]]="A",WORKDAY(Main[[#This Row],[Tech Start Date]],4),""))))</f>
        <v/>
      </c>
      <c r="O1160" s="77" t="str">
        <f>IF(Main[[#This Row],[Tech Start Date]]&lt;1/1/1990,"",IF(Main[[#This Row],[Class]]="C",WORKDAY(Main[[#This Row],[Tech Start Date]],23),IF(Main[[#This Row],[Class]]="B", WORKDAY(Main[[#This Row],[Tech Start Date]],15),IF(Main[[#This Row],[Class]]="A",WORKDAY(Main[[#This Row],[Tech Start Date]],5),""))))</f>
        <v/>
      </c>
      <c r="P1160" s="77" t="str">
        <f>IF(Main[[#This Row],[Tech Start Date]]&lt;1/1/1990,"",IF(Main[[#This Row],[Class]]="C",WORKDAY(Main[[#This Row],[Tech Start Date]],28),IF(Main[[#This Row],[Class]]="B", WORKDAY(Main[[#This Row],[Tech Start Date]],19),IF(Main[[#This Row],[Class]]="A",WORKDAY(Main[[#This Row],[Tech Start Date]],9),""))))</f>
        <v/>
      </c>
      <c r="Q1160" s="74"/>
      <c r="R1160" s="74"/>
      <c r="S1160" s="72" t="s">
        <v>17</v>
      </c>
      <c r="T1160" s="80" t="s">
        <v>4</v>
      </c>
      <c r="U1160" s="72" t="s">
        <v>29</v>
      </c>
      <c r="V1160" s="72" t="s">
        <v>1935</v>
      </c>
      <c r="W1160" s="72" t="s">
        <v>1940</v>
      </c>
      <c r="X1160" s="72" t="s">
        <v>2066</v>
      </c>
      <c r="Y1160" s="72" t="s">
        <v>3246</v>
      </c>
      <c r="Z1160" s="72" t="s">
        <v>535</v>
      </c>
      <c r="AA1160" s="147" t="s">
        <v>2066</v>
      </c>
    </row>
    <row r="1161" spans="1:27" ht="18.600000000000001" customHeight="1">
      <c r="A1161" s="140" t="str">
        <f>IF(priority(Main[[#This Row],[Comments]])&lt;&gt;0, priority(Main[[#This Row],[Comments]]),"")</f>
        <v/>
      </c>
      <c r="B1161" s="90" t="s">
        <v>2398</v>
      </c>
      <c r="C1161" s="72" t="s">
        <v>4</v>
      </c>
      <c r="D1161" s="73" t="s">
        <v>3516</v>
      </c>
      <c r="E1161" s="74">
        <v>40842.639374999999</v>
      </c>
      <c r="F1161" s="74"/>
      <c r="G1161" s="75" t="str">
        <f>IF(stdProdLT(Main[[#This Row],[Comments]])=0.1,"N/A",IF(stdProdLT(Main[[#This Row],[Comments]])=0,"",stdProdLT(Main[[#This Row],[Comments]])))</f>
        <v/>
      </c>
      <c r="H1161" s="76" t="str">
        <f>IF(AND(Main[[#This Row],[In Stock Date]]&lt;&gt;"",Main[[#This Row],[Revised Due Date]]&lt;&gt;""),Main[[#This Row],[In Stock Date]]-Main[[#This Row],[Revised Due Date]],"")</f>
        <v/>
      </c>
      <c r="I1161" s="72" t="s">
        <v>69</v>
      </c>
      <c r="J1161" s="72" t="s">
        <v>70</v>
      </c>
      <c r="K1161" s="72" t="s">
        <v>1941</v>
      </c>
      <c r="L1161" s="74"/>
      <c r="M1161" s="77" t="str">
        <f>IF(Main[[#This Row],[Tech Start Date]]&lt;1/1/1990,"",IF(Main[[#This Row],[Class]]="C",WORKDAY(Main[[#This Row],[Tech Start Date]],9),IF(Main[[#This Row],[Class]]="B", WORKDAY(Main[[#This Row],[Tech Start Date]],6),IF(Main[[#This Row],[Class]]="A",WORKDAY(Main[[#This Row],[Tech Start Date]],2),""))))</f>
        <v/>
      </c>
      <c r="N1161" s="77" t="str">
        <f>IF(Main[[#This Row],[Tech Start Date]]&lt;1/1/1990,"",IF(Main[[#This Row],[Class]]="C",WORKDAY(Main[[#This Row],[Tech Start Date]],19),IF(Main[[#This Row],[Class]]="B", WORKDAY(Main[[#This Row],[Tech Start Date]],12),IF(Main[[#This Row],[Class]]="A",WORKDAY(Main[[#This Row],[Tech Start Date]],4),""))))</f>
        <v/>
      </c>
      <c r="O1161" s="77" t="str">
        <f>IF(Main[[#This Row],[Tech Start Date]]&lt;1/1/1990,"",IF(Main[[#This Row],[Class]]="C",WORKDAY(Main[[#This Row],[Tech Start Date]],23),IF(Main[[#This Row],[Class]]="B", WORKDAY(Main[[#This Row],[Tech Start Date]],15),IF(Main[[#This Row],[Class]]="A",WORKDAY(Main[[#This Row],[Tech Start Date]],5),""))))</f>
        <v/>
      </c>
      <c r="P1161" s="77" t="str">
        <f>IF(Main[[#This Row],[Tech Start Date]]&lt;1/1/1990,"",IF(Main[[#This Row],[Class]]="C",WORKDAY(Main[[#This Row],[Tech Start Date]],28),IF(Main[[#This Row],[Class]]="B", WORKDAY(Main[[#This Row],[Tech Start Date]],19),IF(Main[[#This Row],[Class]]="A",WORKDAY(Main[[#This Row],[Tech Start Date]],9),""))))</f>
        <v/>
      </c>
      <c r="Q1161" s="74">
        <v>40872</v>
      </c>
      <c r="R1161" s="74"/>
      <c r="S1161" s="72" t="s">
        <v>6</v>
      </c>
      <c r="T1161" s="80" t="s">
        <v>4</v>
      </c>
      <c r="U1161" s="72" t="s">
        <v>29</v>
      </c>
      <c r="V1161" s="72" t="s">
        <v>1935</v>
      </c>
      <c r="W1161" s="72" t="s">
        <v>1936</v>
      </c>
      <c r="X1161" s="72" t="s">
        <v>2903</v>
      </c>
      <c r="Y1161" s="72" t="s">
        <v>3019</v>
      </c>
      <c r="Z1161" s="72" t="s">
        <v>30</v>
      </c>
      <c r="AA1161" s="147" t="s">
        <v>2903</v>
      </c>
    </row>
    <row r="1162" spans="1:27" ht="18.600000000000001" customHeight="1">
      <c r="A1162" s="140" t="str">
        <f>IF(priority(Main[[#This Row],[Comments]])&lt;&gt;0, priority(Main[[#This Row],[Comments]]),"")</f>
        <v/>
      </c>
      <c r="B1162" s="90" t="s">
        <v>3517</v>
      </c>
      <c r="C1162" s="72" t="s">
        <v>4</v>
      </c>
      <c r="D1162" s="73" t="s">
        <v>3518</v>
      </c>
      <c r="E1162" s="74">
        <v>40939.631828703707</v>
      </c>
      <c r="F1162" s="74"/>
      <c r="G1162" s="75" t="str">
        <f>IF(stdProdLT(Main[[#This Row],[Comments]])=0.1,"N/A",IF(stdProdLT(Main[[#This Row],[Comments]])=0,"",stdProdLT(Main[[#This Row],[Comments]])))</f>
        <v/>
      </c>
      <c r="H1162" s="76" t="str">
        <f>IF(AND(Main[[#This Row],[In Stock Date]]&lt;&gt;"",Main[[#This Row],[Revised Due Date]]&lt;&gt;""),Main[[#This Row],[In Stock Date]]-Main[[#This Row],[Revised Due Date]],"")</f>
        <v/>
      </c>
      <c r="I1162" s="72" t="s">
        <v>4</v>
      </c>
      <c r="J1162" s="72" t="s">
        <v>4</v>
      </c>
      <c r="K1162" s="72" t="s">
        <v>4</v>
      </c>
      <c r="L1162" s="74"/>
      <c r="M1162" s="77" t="str">
        <f>IF(Main[[#This Row],[Tech Start Date]]&lt;1/1/1990,"",IF(Main[[#This Row],[Class]]="C",WORKDAY(Main[[#This Row],[Tech Start Date]],9),IF(Main[[#This Row],[Class]]="B", WORKDAY(Main[[#This Row],[Tech Start Date]],6),IF(Main[[#This Row],[Class]]="A",WORKDAY(Main[[#This Row],[Tech Start Date]],2),""))))</f>
        <v/>
      </c>
      <c r="N1162" s="77" t="str">
        <f>IF(Main[[#This Row],[Tech Start Date]]&lt;1/1/1990,"",IF(Main[[#This Row],[Class]]="C",WORKDAY(Main[[#This Row],[Tech Start Date]],19),IF(Main[[#This Row],[Class]]="B", WORKDAY(Main[[#This Row],[Tech Start Date]],12),IF(Main[[#This Row],[Class]]="A",WORKDAY(Main[[#This Row],[Tech Start Date]],4),""))))</f>
        <v/>
      </c>
      <c r="O1162" s="77" t="str">
        <f>IF(Main[[#This Row],[Tech Start Date]]&lt;1/1/1990,"",IF(Main[[#This Row],[Class]]="C",WORKDAY(Main[[#This Row],[Tech Start Date]],23),IF(Main[[#This Row],[Class]]="B", WORKDAY(Main[[#This Row],[Tech Start Date]],15),IF(Main[[#This Row],[Class]]="A",WORKDAY(Main[[#This Row],[Tech Start Date]],5),""))))</f>
        <v/>
      </c>
      <c r="P1162" s="77" t="str">
        <f>IF(Main[[#This Row],[Tech Start Date]]&lt;1/1/1990,"",IF(Main[[#This Row],[Class]]="C",WORKDAY(Main[[#This Row],[Tech Start Date]],28),IF(Main[[#This Row],[Class]]="B", WORKDAY(Main[[#This Row],[Tech Start Date]],19),IF(Main[[#This Row],[Class]]="A",WORKDAY(Main[[#This Row],[Tech Start Date]],9),""))))</f>
        <v/>
      </c>
      <c r="Q1162" s="74"/>
      <c r="R1162" s="74"/>
      <c r="S1162" s="72" t="s">
        <v>6</v>
      </c>
      <c r="T1162" s="80" t="s">
        <v>4</v>
      </c>
      <c r="U1162" s="72" t="s">
        <v>7</v>
      </c>
      <c r="V1162" s="72" t="s">
        <v>1932</v>
      </c>
      <c r="W1162" s="72" t="s">
        <v>1936</v>
      </c>
      <c r="X1162" s="72" t="s">
        <v>310</v>
      </c>
      <c r="Y1162" s="72" t="s">
        <v>4</v>
      </c>
      <c r="Z1162" s="72" t="s">
        <v>4</v>
      </c>
      <c r="AA1162" s="147" t="s">
        <v>4</v>
      </c>
    </row>
    <row r="1163" spans="1:27" ht="18.600000000000001" customHeight="1">
      <c r="A1163" s="140" t="str">
        <f>IF(priority(Main[[#This Row],[Comments]])&lt;&gt;0, priority(Main[[#This Row],[Comments]]),"")</f>
        <v/>
      </c>
      <c r="B1163" s="90" t="s">
        <v>2540</v>
      </c>
      <c r="C1163" s="72" t="s">
        <v>2541</v>
      </c>
      <c r="D1163" s="73" t="s">
        <v>2709</v>
      </c>
      <c r="E1163" s="74">
        <v>40871.220509259256</v>
      </c>
      <c r="F1163" s="74"/>
      <c r="G1163" s="75" t="str">
        <f>IF(stdProdLT(Main[[#This Row],[Comments]])=0.1,"N/A",IF(stdProdLT(Main[[#This Row],[Comments]])=0,"",stdProdLT(Main[[#This Row],[Comments]])))</f>
        <v/>
      </c>
      <c r="H1163" s="76" t="str">
        <f>IF(AND(Main[[#This Row],[In Stock Date]]&lt;&gt;"",Main[[#This Row],[Revised Due Date]]&lt;&gt;""),Main[[#This Row],[In Stock Date]]-Main[[#This Row],[Revised Due Date]],"")</f>
        <v/>
      </c>
      <c r="I1163" s="72" t="s">
        <v>4</v>
      </c>
      <c r="J1163" s="72" t="s">
        <v>4</v>
      </c>
      <c r="K1163" s="81" t="s">
        <v>4</v>
      </c>
      <c r="L1163" s="74"/>
      <c r="M1163" s="77" t="str">
        <f>IF(Main[[#This Row],[Tech Start Date]]&lt;1/1/1990,"",IF(Main[[#This Row],[Class]]="C",WORKDAY(Main[[#This Row],[Tech Start Date]],9),IF(Main[[#This Row],[Class]]="B", WORKDAY(Main[[#This Row],[Tech Start Date]],6),IF(Main[[#This Row],[Class]]="A",WORKDAY(Main[[#This Row],[Tech Start Date]],2),""))))</f>
        <v/>
      </c>
      <c r="N1163" s="77" t="str">
        <f>IF(Main[[#This Row],[Tech Start Date]]&lt;1/1/1990,"",IF(Main[[#This Row],[Class]]="C",WORKDAY(Main[[#This Row],[Tech Start Date]],19),IF(Main[[#This Row],[Class]]="B", WORKDAY(Main[[#This Row],[Tech Start Date]],12),IF(Main[[#This Row],[Class]]="A",WORKDAY(Main[[#This Row],[Tech Start Date]],4),""))))</f>
        <v/>
      </c>
      <c r="O1163" s="77" t="str">
        <f>IF(Main[[#This Row],[Tech Start Date]]&lt;1/1/1990,"",IF(Main[[#This Row],[Class]]="C",WORKDAY(Main[[#This Row],[Tech Start Date]],23),IF(Main[[#This Row],[Class]]="B", WORKDAY(Main[[#This Row],[Tech Start Date]],15),IF(Main[[#This Row],[Class]]="A",WORKDAY(Main[[#This Row],[Tech Start Date]],5),""))))</f>
        <v/>
      </c>
      <c r="P1163" s="77" t="str">
        <f>IF(Main[[#This Row],[Tech Start Date]]&lt;1/1/1990,"",IF(Main[[#This Row],[Class]]="C",WORKDAY(Main[[#This Row],[Tech Start Date]],28),IF(Main[[#This Row],[Class]]="B", WORKDAY(Main[[#This Row],[Tech Start Date]],19),IF(Main[[#This Row],[Class]]="A",WORKDAY(Main[[#This Row],[Tech Start Date]],9),""))))</f>
        <v/>
      </c>
      <c r="Q1163" s="74">
        <v>40875</v>
      </c>
      <c r="R1163" s="74"/>
      <c r="S1163" s="72" t="s">
        <v>11</v>
      </c>
      <c r="T1163" s="80" t="s">
        <v>2710</v>
      </c>
      <c r="U1163" s="72" t="s">
        <v>703</v>
      </c>
      <c r="V1163" s="72" t="s">
        <v>1935</v>
      </c>
      <c r="W1163" s="72" t="s">
        <v>1940</v>
      </c>
      <c r="X1163" s="72" t="s">
        <v>2995</v>
      </c>
      <c r="Y1163" s="72" t="s">
        <v>3217</v>
      </c>
      <c r="Z1163" s="72" t="s">
        <v>4</v>
      </c>
      <c r="AA1163" s="147" t="s">
        <v>3649</v>
      </c>
    </row>
    <row r="1164" spans="1:27" ht="18.600000000000001" customHeight="1">
      <c r="A1164" s="140" t="str">
        <f>IF(priority(Main[[#This Row],[Comments]])&lt;&gt;0, priority(Main[[#This Row],[Comments]]),"")</f>
        <v/>
      </c>
      <c r="B1164" s="90" t="s">
        <v>3326</v>
      </c>
      <c r="C1164" s="72" t="s">
        <v>138</v>
      </c>
      <c r="D1164" s="73" t="s">
        <v>3327</v>
      </c>
      <c r="E1164" s="74">
        <v>40924.463275462964</v>
      </c>
      <c r="F1164" s="74">
        <v>41008</v>
      </c>
      <c r="G1164" s="75" t="str">
        <f>IF(stdProdLT(Main[[#This Row],[Comments]])=0.1,"N/A",IF(stdProdLT(Main[[#This Row],[Comments]])=0,"",stdProdLT(Main[[#This Row],[Comments]])))</f>
        <v/>
      </c>
      <c r="H1164" s="76" t="str">
        <f>IF(AND(Main[[#This Row],[In Stock Date]]&lt;&gt;"",Main[[#This Row],[Revised Due Date]]&lt;&gt;""),Main[[#This Row],[In Stock Date]]-Main[[#This Row],[Revised Due Date]],"")</f>
        <v/>
      </c>
      <c r="I1164" s="72" t="s">
        <v>4</v>
      </c>
      <c r="J1164" s="72" t="s">
        <v>4</v>
      </c>
      <c r="K1164" s="72" t="s">
        <v>4</v>
      </c>
      <c r="L1164" s="74"/>
      <c r="M1164" s="77" t="str">
        <f>IF(Main[[#This Row],[Tech Start Date]]&lt;1/1/1990,"",IF(Main[[#This Row],[Class]]="C",WORKDAY(Main[[#This Row],[Tech Start Date]],9),IF(Main[[#This Row],[Class]]="B", WORKDAY(Main[[#This Row],[Tech Start Date]],6),IF(Main[[#This Row],[Class]]="A",WORKDAY(Main[[#This Row],[Tech Start Date]],2),""))))</f>
        <v/>
      </c>
      <c r="N1164" s="77" t="str">
        <f>IF(Main[[#This Row],[Tech Start Date]]&lt;1/1/1990,"",IF(Main[[#This Row],[Class]]="C",WORKDAY(Main[[#This Row],[Tech Start Date]],19),IF(Main[[#This Row],[Class]]="B", WORKDAY(Main[[#This Row],[Tech Start Date]],12),IF(Main[[#This Row],[Class]]="A",WORKDAY(Main[[#This Row],[Tech Start Date]],4),""))))</f>
        <v/>
      </c>
      <c r="O1164" s="77" t="str">
        <f>IF(Main[[#This Row],[Tech Start Date]]&lt;1/1/1990,"",IF(Main[[#This Row],[Class]]="C",WORKDAY(Main[[#This Row],[Tech Start Date]],23),IF(Main[[#This Row],[Class]]="B", WORKDAY(Main[[#This Row],[Tech Start Date]],15),IF(Main[[#This Row],[Class]]="A",WORKDAY(Main[[#This Row],[Tech Start Date]],5),""))))</f>
        <v/>
      </c>
      <c r="P1164" s="77" t="str">
        <f>IF(Main[[#This Row],[Tech Start Date]]&lt;1/1/1990,"",IF(Main[[#This Row],[Class]]="C",WORKDAY(Main[[#This Row],[Tech Start Date]],28),IF(Main[[#This Row],[Class]]="B", WORKDAY(Main[[#This Row],[Tech Start Date]],19),IF(Main[[#This Row],[Class]]="A",WORKDAY(Main[[#This Row],[Tech Start Date]],9),""))))</f>
        <v/>
      </c>
      <c r="Q1164" s="74">
        <v>40945</v>
      </c>
      <c r="R1164" s="74"/>
      <c r="S1164" s="72" t="s">
        <v>49</v>
      </c>
      <c r="T1164" s="80" t="s">
        <v>3328</v>
      </c>
      <c r="U1164" s="72" t="s">
        <v>7</v>
      </c>
      <c r="V1164" s="72" t="s">
        <v>1942</v>
      </c>
      <c r="W1164" s="72" t="s">
        <v>1940</v>
      </c>
      <c r="X1164" s="72" t="s">
        <v>2990</v>
      </c>
      <c r="Y1164" s="72" t="s">
        <v>3183</v>
      </c>
      <c r="Z1164" s="72" t="s">
        <v>4</v>
      </c>
      <c r="AA1164" s="147" t="s">
        <v>2990</v>
      </c>
    </row>
    <row r="1165" spans="1:27" ht="18.600000000000001" customHeight="1">
      <c r="A1165" s="140" t="str">
        <f>IF(priority(Main[[#This Row],[Comments]])&lt;&gt;0, priority(Main[[#This Row],[Comments]]),"")</f>
        <v/>
      </c>
      <c r="B1165" s="90" t="s">
        <v>2560</v>
      </c>
      <c r="C1165" s="72" t="s">
        <v>4</v>
      </c>
      <c r="D1165" s="73" t="s">
        <v>2561</v>
      </c>
      <c r="E1165" s="74"/>
      <c r="F1165" s="74"/>
      <c r="G1165" s="75" t="str">
        <f>IF(stdProdLT(Main[[#This Row],[Comments]])=0.1,"N/A",IF(stdProdLT(Main[[#This Row],[Comments]])=0,"",stdProdLT(Main[[#This Row],[Comments]])))</f>
        <v/>
      </c>
      <c r="H1165" s="76" t="str">
        <f>IF(AND(Main[[#This Row],[In Stock Date]]&lt;&gt;"",Main[[#This Row],[Revised Due Date]]&lt;&gt;""),Main[[#This Row],[In Stock Date]]-Main[[#This Row],[Revised Due Date]],"")</f>
        <v/>
      </c>
      <c r="I1165" s="72" t="s">
        <v>4</v>
      </c>
      <c r="J1165" s="72" t="s">
        <v>4</v>
      </c>
      <c r="K1165" s="72" t="s">
        <v>4</v>
      </c>
      <c r="L1165" s="74"/>
      <c r="M1165" s="77" t="str">
        <f>IF(Main[[#This Row],[Tech Start Date]]&lt;1/1/1990,"",IF(Main[[#This Row],[Class]]="C",WORKDAY(Main[[#This Row],[Tech Start Date]],9),IF(Main[[#This Row],[Class]]="B", WORKDAY(Main[[#This Row],[Tech Start Date]],6),IF(Main[[#This Row],[Class]]="A",WORKDAY(Main[[#This Row],[Tech Start Date]],2),""))))</f>
        <v/>
      </c>
      <c r="N1165" s="77" t="str">
        <f>IF(Main[[#This Row],[Tech Start Date]]&lt;1/1/1990,"",IF(Main[[#This Row],[Class]]="C",WORKDAY(Main[[#This Row],[Tech Start Date]],19),IF(Main[[#This Row],[Class]]="B", WORKDAY(Main[[#This Row],[Tech Start Date]],12),IF(Main[[#This Row],[Class]]="A",WORKDAY(Main[[#This Row],[Tech Start Date]],4),""))))</f>
        <v/>
      </c>
      <c r="O1165" s="77" t="str">
        <f>IF(Main[[#This Row],[Tech Start Date]]&lt;1/1/1990,"",IF(Main[[#This Row],[Class]]="C",WORKDAY(Main[[#This Row],[Tech Start Date]],23),IF(Main[[#This Row],[Class]]="B", WORKDAY(Main[[#This Row],[Tech Start Date]],15),IF(Main[[#This Row],[Class]]="A",WORKDAY(Main[[#This Row],[Tech Start Date]],5),""))))</f>
        <v/>
      </c>
      <c r="P1165" s="77" t="str">
        <f>IF(Main[[#This Row],[Tech Start Date]]&lt;1/1/1990,"",IF(Main[[#This Row],[Class]]="C",WORKDAY(Main[[#This Row],[Tech Start Date]],28),IF(Main[[#This Row],[Class]]="B", WORKDAY(Main[[#This Row],[Tech Start Date]],19),IF(Main[[#This Row],[Class]]="A",WORKDAY(Main[[#This Row],[Tech Start Date]],9),""))))</f>
        <v/>
      </c>
      <c r="Q1165" s="74">
        <v>40858</v>
      </c>
      <c r="R1165" s="74"/>
      <c r="S1165" s="72" t="s">
        <v>6</v>
      </c>
      <c r="T1165" s="80" t="s">
        <v>4</v>
      </c>
      <c r="U1165" s="72" t="s">
        <v>14</v>
      </c>
      <c r="V1165" s="72" t="s">
        <v>1935</v>
      </c>
      <c r="W1165" s="72" t="s">
        <v>4</v>
      </c>
      <c r="X1165" s="72" t="s">
        <v>2903</v>
      </c>
      <c r="Y1165" s="72" t="s">
        <v>3019</v>
      </c>
      <c r="Z1165" s="72" t="s">
        <v>4</v>
      </c>
      <c r="AA1165" s="147" t="s">
        <v>2903</v>
      </c>
    </row>
    <row r="1166" spans="1:27" ht="18.600000000000001" customHeight="1">
      <c r="A1166" s="140" t="str">
        <f>IF(priority(Main[[#This Row],[Comments]])&lt;&gt;0, priority(Main[[#This Row],[Comments]]),"")</f>
        <v/>
      </c>
      <c r="B1166" s="90" t="s">
        <v>1414</v>
      </c>
      <c r="C1166" s="72" t="s">
        <v>488</v>
      </c>
      <c r="D1166" s="73" t="s">
        <v>2569</v>
      </c>
      <c r="E1166" s="74"/>
      <c r="F1166" s="74">
        <v>40452</v>
      </c>
      <c r="G1166" s="75" t="str">
        <f>IF(stdProdLT(Main[[#This Row],[Comments]])=0.1,"N/A",IF(stdProdLT(Main[[#This Row],[Comments]])=0,"",stdProdLT(Main[[#This Row],[Comments]])))</f>
        <v/>
      </c>
      <c r="H1166" s="76" t="str">
        <f>IF(AND(Main[[#This Row],[In Stock Date]]&lt;&gt;"",Main[[#This Row],[Revised Due Date]]&lt;&gt;""),Main[[#This Row],[In Stock Date]]-Main[[#This Row],[Revised Due Date]],"")</f>
        <v/>
      </c>
      <c r="I1166" s="72" t="s">
        <v>4</v>
      </c>
      <c r="J1166" s="72" t="s">
        <v>4</v>
      </c>
      <c r="K1166" s="72" t="s">
        <v>4</v>
      </c>
      <c r="L1166" s="74"/>
      <c r="M1166" s="77" t="str">
        <f>IF(Main[[#This Row],[Tech Start Date]]&lt;1/1/1990,"",IF(Main[[#This Row],[Class]]="C",WORKDAY(Main[[#This Row],[Tech Start Date]],9),IF(Main[[#This Row],[Class]]="B", WORKDAY(Main[[#This Row],[Tech Start Date]],6),IF(Main[[#This Row],[Class]]="A",WORKDAY(Main[[#This Row],[Tech Start Date]],2),""))))</f>
        <v/>
      </c>
      <c r="N1166" s="77" t="str">
        <f>IF(Main[[#This Row],[Tech Start Date]]&lt;1/1/1990,"",IF(Main[[#This Row],[Class]]="C",WORKDAY(Main[[#This Row],[Tech Start Date]],19),IF(Main[[#This Row],[Class]]="B", WORKDAY(Main[[#This Row],[Tech Start Date]],12),IF(Main[[#This Row],[Class]]="A",WORKDAY(Main[[#This Row],[Tech Start Date]],4),""))))</f>
        <v/>
      </c>
      <c r="O1166" s="77" t="str">
        <f>IF(Main[[#This Row],[Tech Start Date]]&lt;1/1/1990,"",IF(Main[[#This Row],[Class]]="C",WORKDAY(Main[[#This Row],[Tech Start Date]],23),IF(Main[[#This Row],[Class]]="B", WORKDAY(Main[[#This Row],[Tech Start Date]],15),IF(Main[[#This Row],[Class]]="A",WORKDAY(Main[[#This Row],[Tech Start Date]],5),""))))</f>
        <v/>
      </c>
      <c r="P1166" s="77" t="str">
        <f>IF(Main[[#This Row],[Tech Start Date]]&lt;1/1/1990,"",IF(Main[[#This Row],[Class]]="C",WORKDAY(Main[[#This Row],[Tech Start Date]],28),IF(Main[[#This Row],[Class]]="B", WORKDAY(Main[[#This Row],[Tech Start Date]],19),IF(Main[[#This Row],[Class]]="A",WORKDAY(Main[[#This Row],[Tech Start Date]],9),""))))</f>
        <v/>
      </c>
      <c r="Q1166" s="74">
        <v>40391</v>
      </c>
      <c r="R1166" s="74"/>
      <c r="S1166" s="72" t="s">
        <v>6</v>
      </c>
      <c r="T1166" s="80" t="s">
        <v>4</v>
      </c>
      <c r="U1166" s="72" t="s">
        <v>14</v>
      </c>
      <c r="V1166" s="72" t="s">
        <v>1932</v>
      </c>
      <c r="W1166" s="72" t="s">
        <v>1937</v>
      </c>
      <c r="X1166" s="72" t="s">
        <v>2908</v>
      </c>
      <c r="Y1166" s="72" t="s">
        <v>3030</v>
      </c>
      <c r="Z1166" s="72" t="s">
        <v>4</v>
      </c>
      <c r="AA1166" s="147" t="s">
        <v>2908</v>
      </c>
    </row>
    <row r="1167" spans="1:27" ht="18.600000000000001" customHeight="1">
      <c r="A1167" s="140" t="str">
        <f>IF(priority(Main[[#This Row],[Comments]])&lt;&gt;0, priority(Main[[#This Row],[Comments]]),"")</f>
        <v/>
      </c>
      <c r="B1167" s="90" t="s">
        <v>2562</v>
      </c>
      <c r="C1167" s="72" t="s">
        <v>4</v>
      </c>
      <c r="D1167" s="73" t="s">
        <v>2563</v>
      </c>
      <c r="E1167" s="74"/>
      <c r="F1167" s="74"/>
      <c r="G1167" s="75" t="str">
        <f>IF(stdProdLT(Main[[#This Row],[Comments]])=0.1,"N/A",IF(stdProdLT(Main[[#This Row],[Comments]])=0,"",stdProdLT(Main[[#This Row],[Comments]])))</f>
        <v/>
      </c>
      <c r="H1167" s="76" t="str">
        <f>IF(AND(Main[[#This Row],[In Stock Date]]&lt;&gt;"",Main[[#This Row],[Revised Due Date]]&lt;&gt;""),Main[[#This Row],[In Stock Date]]-Main[[#This Row],[Revised Due Date]],"")</f>
        <v/>
      </c>
      <c r="I1167" s="72" t="s">
        <v>4</v>
      </c>
      <c r="J1167" s="72" t="s">
        <v>4</v>
      </c>
      <c r="K1167" s="72" t="s">
        <v>4</v>
      </c>
      <c r="L1167" s="74"/>
      <c r="M1167" s="77" t="str">
        <f>IF(Main[[#This Row],[Tech Start Date]]&lt;1/1/1990,"",IF(Main[[#This Row],[Class]]="C",WORKDAY(Main[[#This Row],[Tech Start Date]],9),IF(Main[[#This Row],[Class]]="B", WORKDAY(Main[[#This Row],[Tech Start Date]],6),IF(Main[[#This Row],[Class]]="A",WORKDAY(Main[[#This Row],[Tech Start Date]],2),""))))</f>
        <v/>
      </c>
      <c r="N1167" s="77" t="str">
        <f>IF(Main[[#This Row],[Tech Start Date]]&lt;1/1/1990,"",IF(Main[[#This Row],[Class]]="C",WORKDAY(Main[[#This Row],[Tech Start Date]],19),IF(Main[[#This Row],[Class]]="B", WORKDAY(Main[[#This Row],[Tech Start Date]],12),IF(Main[[#This Row],[Class]]="A",WORKDAY(Main[[#This Row],[Tech Start Date]],4),""))))</f>
        <v/>
      </c>
      <c r="O1167" s="77" t="str">
        <f>IF(Main[[#This Row],[Tech Start Date]]&lt;1/1/1990,"",IF(Main[[#This Row],[Class]]="C",WORKDAY(Main[[#This Row],[Tech Start Date]],23),IF(Main[[#This Row],[Class]]="B", WORKDAY(Main[[#This Row],[Tech Start Date]],15),IF(Main[[#This Row],[Class]]="A",WORKDAY(Main[[#This Row],[Tech Start Date]],5),""))))</f>
        <v/>
      </c>
      <c r="P1167" s="77" t="str">
        <f>IF(Main[[#This Row],[Tech Start Date]]&lt;1/1/1990,"",IF(Main[[#This Row],[Class]]="C",WORKDAY(Main[[#This Row],[Tech Start Date]],28),IF(Main[[#This Row],[Class]]="B", WORKDAY(Main[[#This Row],[Tech Start Date]],19),IF(Main[[#This Row],[Class]]="A",WORKDAY(Main[[#This Row],[Tech Start Date]],9),""))))</f>
        <v/>
      </c>
      <c r="Q1167" s="74"/>
      <c r="R1167" s="74"/>
      <c r="S1167" s="72" t="s">
        <v>23</v>
      </c>
      <c r="T1167" s="80" t="s">
        <v>4</v>
      </c>
      <c r="U1167" s="72" t="s">
        <v>14</v>
      </c>
      <c r="V1167" s="72" t="s">
        <v>1932</v>
      </c>
      <c r="W1167" s="72" t="s">
        <v>1938</v>
      </c>
      <c r="X1167" s="72" t="s">
        <v>403</v>
      </c>
      <c r="Y1167" s="72" t="s">
        <v>4</v>
      </c>
      <c r="Z1167" s="72" t="s">
        <v>4</v>
      </c>
      <c r="AA1167" s="147" t="s">
        <v>3611</v>
      </c>
    </row>
    <row r="1168" spans="1:27" ht="18.600000000000001" customHeight="1">
      <c r="A1168" s="140" t="str">
        <f>IF(priority(Main[[#This Row],[Comments]])&lt;&gt;0, priority(Main[[#This Row],[Comments]]),"")</f>
        <v/>
      </c>
      <c r="B1168" s="90" t="s">
        <v>3714</v>
      </c>
      <c r="C1168" s="72" t="s">
        <v>4</v>
      </c>
      <c r="D1168" s="73" t="s">
        <v>3715</v>
      </c>
      <c r="E1168" s="74">
        <v>40942.690023148149</v>
      </c>
      <c r="F1168" s="74"/>
      <c r="G1168" s="75" t="str">
        <f>IF(stdProdLT(Main[[#This Row],[Comments]])=0.1,"N/A",IF(stdProdLT(Main[[#This Row],[Comments]])=0,"",stdProdLT(Main[[#This Row],[Comments]])))</f>
        <v/>
      </c>
      <c r="H1168" s="76" t="str">
        <f>IF(AND(Main[[#This Row],[In Stock Date]]&lt;&gt;"",Main[[#This Row],[Revised Due Date]]&lt;&gt;""),Main[[#This Row],[In Stock Date]]-Main[[#This Row],[Revised Due Date]],"")</f>
        <v/>
      </c>
      <c r="I1168" s="72" t="s">
        <v>4</v>
      </c>
      <c r="J1168" s="72" t="s">
        <v>4</v>
      </c>
      <c r="K1168" s="72" t="s">
        <v>4</v>
      </c>
      <c r="L1168" s="74"/>
      <c r="M1168" s="77" t="str">
        <f>IF(Main[[#This Row],[Tech Start Date]]&lt;1/1/1990,"",IF(Main[[#This Row],[Class]]="C",WORKDAY(Main[[#This Row],[Tech Start Date]],9),IF(Main[[#This Row],[Class]]="B", WORKDAY(Main[[#This Row],[Tech Start Date]],6),IF(Main[[#This Row],[Class]]="A",WORKDAY(Main[[#This Row],[Tech Start Date]],2),""))))</f>
        <v/>
      </c>
      <c r="N1168" s="77" t="str">
        <f>IF(Main[[#This Row],[Tech Start Date]]&lt;1/1/1990,"",IF(Main[[#This Row],[Class]]="C",WORKDAY(Main[[#This Row],[Tech Start Date]],19),IF(Main[[#This Row],[Class]]="B", WORKDAY(Main[[#This Row],[Tech Start Date]],12),IF(Main[[#This Row],[Class]]="A",WORKDAY(Main[[#This Row],[Tech Start Date]],4),""))))</f>
        <v/>
      </c>
      <c r="O1168" s="77" t="str">
        <f>IF(Main[[#This Row],[Tech Start Date]]&lt;1/1/1990,"",IF(Main[[#This Row],[Class]]="C",WORKDAY(Main[[#This Row],[Tech Start Date]],23),IF(Main[[#This Row],[Class]]="B", WORKDAY(Main[[#This Row],[Tech Start Date]],15),IF(Main[[#This Row],[Class]]="A",WORKDAY(Main[[#This Row],[Tech Start Date]],5),""))))</f>
        <v/>
      </c>
      <c r="P1168" s="77" t="str">
        <f>IF(Main[[#This Row],[Tech Start Date]]&lt;1/1/1990,"",IF(Main[[#This Row],[Class]]="C",WORKDAY(Main[[#This Row],[Tech Start Date]],28),IF(Main[[#This Row],[Class]]="B", WORKDAY(Main[[#This Row],[Tech Start Date]],19),IF(Main[[#This Row],[Class]]="A",WORKDAY(Main[[#This Row],[Tech Start Date]],9),""))))</f>
        <v/>
      </c>
      <c r="Q1168" s="74">
        <v>40970</v>
      </c>
      <c r="R1168" s="74"/>
      <c r="S1168" s="72" t="s">
        <v>6</v>
      </c>
      <c r="T1168" s="80" t="s">
        <v>4</v>
      </c>
      <c r="U1168" s="72" t="s">
        <v>7</v>
      </c>
      <c r="V1168" s="72" t="s">
        <v>1935</v>
      </c>
      <c r="W1168" s="72" t="s">
        <v>4</v>
      </c>
      <c r="X1168" s="72" t="s">
        <v>2903</v>
      </c>
      <c r="Y1168" s="72" t="s">
        <v>3019</v>
      </c>
      <c r="Z1168" s="72" t="s">
        <v>4</v>
      </c>
      <c r="AA1168" s="147" t="s">
        <v>2903</v>
      </c>
    </row>
    <row r="1169" spans="1:27" ht="18.600000000000001" customHeight="1">
      <c r="A1169" s="140" t="str">
        <f>IF(priority(Main[[#This Row],[Comments]])&lt;&gt;0, priority(Main[[#This Row],[Comments]]),"")</f>
        <v/>
      </c>
      <c r="B1169" s="90" t="s">
        <v>3778</v>
      </c>
      <c r="C1169" s="72" t="s">
        <v>4</v>
      </c>
      <c r="D1169" s="73" t="s">
        <v>3779</v>
      </c>
      <c r="E1169" s="74">
        <v>40949.264513888891</v>
      </c>
      <c r="F1169" s="74"/>
      <c r="G1169" s="75" t="str">
        <f>IF(stdProdLT(Main[[#This Row],[Comments]])=0.1,"N/A",IF(stdProdLT(Main[[#This Row],[Comments]])=0,"",stdProdLT(Main[[#This Row],[Comments]])))</f>
        <v/>
      </c>
      <c r="H1169" s="76" t="str">
        <f>IF(AND(Main[[#This Row],[In Stock Date]]&lt;&gt;"",Main[[#This Row],[Revised Due Date]]&lt;&gt;""),Main[[#This Row],[In Stock Date]]-Main[[#This Row],[Revised Due Date]],"")</f>
        <v/>
      </c>
      <c r="I1169" s="72" t="s">
        <v>4</v>
      </c>
      <c r="J1169" s="72" t="s">
        <v>4</v>
      </c>
      <c r="K1169" s="72" t="s">
        <v>4</v>
      </c>
      <c r="L1169" s="74"/>
      <c r="M1169" s="77" t="str">
        <f>IF(Main[[#This Row],[Tech Start Date]]&lt;1/1/1990,"",IF(Main[[#This Row],[Class]]="C",WORKDAY(Main[[#This Row],[Tech Start Date]],9),IF(Main[[#This Row],[Class]]="B", WORKDAY(Main[[#This Row],[Tech Start Date]],6),IF(Main[[#This Row],[Class]]="A",WORKDAY(Main[[#This Row],[Tech Start Date]],2),""))))</f>
        <v/>
      </c>
      <c r="N1169" s="77" t="str">
        <f>IF(Main[[#This Row],[Tech Start Date]]&lt;1/1/1990,"",IF(Main[[#This Row],[Class]]="C",WORKDAY(Main[[#This Row],[Tech Start Date]],19),IF(Main[[#This Row],[Class]]="B", WORKDAY(Main[[#This Row],[Tech Start Date]],12),IF(Main[[#This Row],[Class]]="A",WORKDAY(Main[[#This Row],[Tech Start Date]],4),""))))</f>
        <v/>
      </c>
      <c r="O1169" s="77" t="str">
        <f>IF(Main[[#This Row],[Tech Start Date]]&lt;1/1/1990,"",IF(Main[[#This Row],[Class]]="C",WORKDAY(Main[[#This Row],[Tech Start Date]],23),IF(Main[[#This Row],[Class]]="B", WORKDAY(Main[[#This Row],[Tech Start Date]],15),IF(Main[[#This Row],[Class]]="A",WORKDAY(Main[[#This Row],[Tech Start Date]],5),""))))</f>
        <v/>
      </c>
      <c r="P1169" s="77" t="str">
        <f>IF(Main[[#This Row],[Tech Start Date]]&lt;1/1/1990,"",IF(Main[[#This Row],[Class]]="C",WORKDAY(Main[[#This Row],[Tech Start Date]],28),IF(Main[[#This Row],[Class]]="B", WORKDAY(Main[[#This Row],[Tech Start Date]],19),IF(Main[[#This Row],[Class]]="A",WORKDAY(Main[[#This Row],[Tech Start Date]],9),""))))</f>
        <v/>
      </c>
      <c r="Q1169" s="74">
        <v>40998</v>
      </c>
      <c r="R1169" s="74"/>
      <c r="S1169" s="72" t="s">
        <v>6</v>
      </c>
      <c r="T1169" s="80" t="s">
        <v>4</v>
      </c>
      <c r="U1169" s="72" t="s">
        <v>7</v>
      </c>
      <c r="V1169" s="72" t="s">
        <v>1935</v>
      </c>
      <c r="W1169" s="72" t="s">
        <v>4</v>
      </c>
      <c r="X1169" s="72" t="s">
        <v>2906</v>
      </c>
      <c r="Y1169" s="72" t="s">
        <v>3025</v>
      </c>
      <c r="Z1169" s="72" t="s">
        <v>4</v>
      </c>
      <c r="AA1169" s="147" t="s">
        <v>2906</v>
      </c>
    </row>
    <row r="1170" spans="1:27" ht="18.600000000000001" customHeight="1">
      <c r="A1170" s="140" t="str">
        <f>IF(priority(Main[[#This Row],[Comments]])&lt;&gt;0, priority(Main[[#This Row],[Comments]]),"")</f>
        <v/>
      </c>
      <c r="B1170" s="90" t="s">
        <v>2077</v>
      </c>
      <c r="C1170" s="72" t="s">
        <v>4</v>
      </c>
      <c r="D1170" s="73" t="s">
        <v>2078</v>
      </c>
      <c r="E1170" s="74">
        <v>40757.464699074073</v>
      </c>
      <c r="F1170" s="74"/>
      <c r="G1170" s="75" t="str">
        <f>IF(stdProdLT(Main[[#This Row],[Comments]])=0.1,"N/A",IF(stdProdLT(Main[[#This Row],[Comments]])=0,"",stdProdLT(Main[[#This Row],[Comments]])))</f>
        <v/>
      </c>
      <c r="H1170" s="76" t="str">
        <f>IF(AND(Main[[#This Row],[In Stock Date]]&lt;&gt;"",Main[[#This Row],[Revised Due Date]]&lt;&gt;""),Main[[#This Row],[In Stock Date]]-Main[[#This Row],[Revised Due Date]],"")</f>
        <v/>
      </c>
      <c r="I1170" s="72" t="s">
        <v>4</v>
      </c>
      <c r="J1170" s="72" t="s">
        <v>4</v>
      </c>
      <c r="K1170" s="72" t="s">
        <v>4</v>
      </c>
      <c r="L1170" s="74"/>
      <c r="M1170" s="77" t="str">
        <f>IF(Main[[#This Row],[Tech Start Date]]&lt;1/1/1990,"",IF(Main[[#This Row],[Class]]="C",WORKDAY(Main[[#This Row],[Tech Start Date]],9),IF(Main[[#This Row],[Class]]="B", WORKDAY(Main[[#This Row],[Tech Start Date]],6),IF(Main[[#This Row],[Class]]="A",WORKDAY(Main[[#This Row],[Tech Start Date]],2),""))))</f>
        <v/>
      </c>
      <c r="N1170" s="77" t="str">
        <f>IF(Main[[#This Row],[Tech Start Date]]&lt;1/1/1990,"",IF(Main[[#This Row],[Class]]="C",WORKDAY(Main[[#This Row],[Tech Start Date]],19),IF(Main[[#This Row],[Class]]="B", WORKDAY(Main[[#This Row],[Tech Start Date]],12),IF(Main[[#This Row],[Class]]="A",WORKDAY(Main[[#This Row],[Tech Start Date]],4),""))))</f>
        <v/>
      </c>
      <c r="O1170" s="77" t="str">
        <f>IF(Main[[#This Row],[Tech Start Date]]&lt;1/1/1990,"",IF(Main[[#This Row],[Class]]="C",WORKDAY(Main[[#This Row],[Tech Start Date]],23),IF(Main[[#This Row],[Class]]="B", WORKDAY(Main[[#This Row],[Tech Start Date]],15),IF(Main[[#This Row],[Class]]="A",WORKDAY(Main[[#This Row],[Tech Start Date]],5),""))))</f>
        <v/>
      </c>
      <c r="P1170" s="77" t="str">
        <f>IF(Main[[#This Row],[Tech Start Date]]&lt;1/1/1990,"",IF(Main[[#This Row],[Class]]="C",WORKDAY(Main[[#This Row],[Tech Start Date]],28),IF(Main[[#This Row],[Class]]="B", WORKDAY(Main[[#This Row],[Tech Start Date]],19),IF(Main[[#This Row],[Class]]="A",WORKDAY(Main[[#This Row],[Tech Start Date]],9),""))))</f>
        <v/>
      </c>
      <c r="Q1170" s="74"/>
      <c r="R1170" s="74"/>
      <c r="S1170" s="72" t="s">
        <v>17</v>
      </c>
      <c r="T1170" s="80" t="s">
        <v>4</v>
      </c>
      <c r="U1170" s="72" t="s">
        <v>29</v>
      </c>
      <c r="V1170" s="72" t="s">
        <v>1935</v>
      </c>
      <c r="W1170" s="72" t="s">
        <v>4</v>
      </c>
      <c r="X1170" s="72" t="s">
        <v>659</v>
      </c>
      <c r="Y1170" s="72" t="s">
        <v>3215</v>
      </c>
      <c r="Z1170" s="72" t="s">
        <v>4</v>
      </c>
      <c r="AA1170" s="147" t="s">
        <v>659</v>
      </c>
    </row>
    <row r="1171" spans="1:27" ht="18.600000000000001" customHeight="1">
      <c r="A1171" s="140" t="str">
        <f>IF(priority(Main[[#This Row],[Comments]])&lt;&gt;0, priority(Main[[#This Row],[Comments]]),"")</f>
        <v/>
      </c>
      <c r="B1171" s="90" t="s">
        <v>2577</v>
      </c>
      <c r="C1171" s="72" t="s">
        <v>4</v>
      </c>
      <c r="D1171" s="73" t="s">
        <v>2578</v>
      </c>
      <c r="E1171" s="74"/>
      <c r="F1171" s="74"/>
      <c r="G1171" s="75" t="str">
        <f>IF(stdProdLT(Main[[#This Row],[Comments]])=0.1,"N/A",IF(stdProdLT(Main[[#This Row],[Comments]])=0,"",stdProdLT(Main[[#This Row],[Comments]])))</f>
        <v/>
      </c>
      <c r="H1171" s="76" t="str">
        <f>IF(AND(Main[[#This Row],[In Stock Date]]&lt;&gt;"",Main[[#This Row],[Revised Due Date]]&lt;&gt;""),Main[[#This Row],[In Stock Date]]-Main[[#This Row],[Revised Due Date]],"")</f>
        <v/>
      </c>
      <c r="I1171" s="72" t="s">
        <v>4</v>
      </c>
      <c r="J1171" s="72" t="s">
        <v>4</v>
      </c>
      <c r="K1171" s="72" t="s">
        <v>4</v>
      </c>
      <c r="L1171" s="74"/>
      <c r="M1171" s="77" t="str">
        <f>IF(Main[[#This Row],[Tech Start Date]]&lt;1/1/1990,"",IF(Main[[#This Row],[Class]]="C",WORKDAY(Main[[#This Row],[Tech Start Date]],9),IF(Main[[#This Row],[Class]]="B", WORKDAY(Main[[#This Row],[Tech Start Date]],6),IF(Main[[#This Row],[Class]]="A",WORKDAY(Main[[#This Row],[Tech Start Date]],2),""))))</f>
        <v/>
      </c>
      <c r="N1171" s="77" t="str">
        <f>IF(Main[[#This Row],[Tech Start Date]]&lt;1/1/1990,"",IF(Main[[#This Row],[Class]]="C",WORKDAY(Main[[#This Row],[Tech Start Date]],19),IF(Main[[#This Row],[Class]]="B", WORKDAY(Main[[#This Row],[Tech Start Date]],12),IF(Main[[#This Row],[Class]]="A",WORKDAY(Main[[#This Row],[Tech Start Date]],4),""))))</f>
        <v/>
      </c>
      <c r="O1171" s="77" t="str">
        <f>IF(Main[[#This Row],[Tech Start Date]]&lt;1/1/1990,"",IF(Main[[#This Row],[Class]]="C",WORKDAY(Main[[#This Row],[Tech Start Date]],23),IF(Main[[#This Row],[Class]]="B", WORKDAY(Main[[#This Row],[Tech Start Date]],15),IF(Main[[#This Row],[Class]]="A",WORKDAY(Main[[#This Row],[Tech Start Date]],5),""))))</f>
        <v/>
      </c>
      <c r="P1171" s="77" t="str">
        <f>IF(Main[[#This Row],[Tech Start Date]]&lt;1/1/1990,"",IF(Main[[#This Row],[Class]]="C",WORKDAY(Main[[#This Row],[Tech Start Date]],28),IF(Main[[#This Row],[Class]]="B", WORKDAY(Main[[#This Row],[Tech Start Date]],19),IF(Main[[#This Row],[Class]]="A",WORKDAY(Main[[#This Row],[Tech Start Date]],9),""))))</f>
        <v/>
      </c>
      <c r="Q1171" s="74"/>
      <c r="R1171" s="74"/>
      <c r="S1171" s="72" t="s">
        <v>6</v>
      </c>
      <c r="T1171" s="80" t="s">
        <v>4</v>
      </c>
      <c r="U1171" s="72" t="s">
        <v>14</v>
      </c>
      <c r="V1171" s="72" t="s">
        <v>1942</v>
      </c>
      <c r="W1171" s="72" t="s">
        <v>1936</v>
      </c>
      <c r="X1171" s="72" t="s">
        <v>102</v>
      </c>
      <c r="Y1171" s="72" t="s">
        <v>3218</v>
      </c>
      <c r="Z1171" s="72" t="s">
        <v>4</v>
      </c>
      <c r="AA1171" s="147" t="s">
        <v>3611</v>
      </c>
    </row>
    <row r="1172" spans="1:27" ht="18.600000000000001" customHeight="1">
      <c r="A1172" s="140" t="str">
        <f>IF(priority(Main[[#This Row],[Comments]])&lt;&gt;0, priority(Main[[#This Row],[Comments]]),"")</f>
        <v/>
      </c>
      <c r="B1172" s="90" t="s">
        <v>1752</v>
      </c>
      <c r="C1172" s="72" t="s">
        <v>4</v>
      </c>
      <c r="D1172" s="73" t="s">
        <v>3399</v>
      </c>
      <c r="E1172" s="74">
        <v>40540.606365740743</v>
      </c>
      <c r="F1172" s="74"/>
      <c r="G1172" s="75" t="str">
        <f>IF(stdProdLT(Main[[#This Row],[Comments]])=0.1,"N/A",IF(stdProdLT(Main[[#This Row],[Comments]])=0,"",stdProdLT(Main[[#This Row],[Comments]])))</f>
        <v/>
      </c>
      <c r="H1172" s="76" t="str">
        <f>IF(AND(Main[[#This Row],[In Stock Date]]&lt;&gt;"",Main[[#This Row],[Revised Due Date]]&lt;&gt;""),Main[[#This Row],[In Stock Date]]-Main[[#This Row],[Revised Due Date]],"")</f>
        <v/>
      </c>
      <c r="I1172" s="72" t="s">
        <v>1996</v>
      </c>
      <c r="J1172" s="72" t="s">
        <v>28</v>
      </c>
      <c r="K1172" s="72" t="s">
        <v>1944</v>
      </c>
      <c r="L1172" s="74"/>
      <c r="M1172" s="77" t="str">
        <f>IF(Main[[#This Row],[Tech Start Date]]&lt;1/1/1990,"",IF(Main[[#This Row],[Class]]="C",WORKDAY(Main[[#This Row],[Tech Start Date]],9),IF(Main[[#This Row],[Class]]="B", WORKDAY(Main[[#This Row],[Tech Start Date]],6),IF(Main[[#This Row],[Class]]="A",WORKDAY(Main[[#This Row],[Tech Start Date]],2),""))))</f>
        <v/>
      </c>
      <c r="N1172" s="77" t="str">
        <f>IF(Main[[#This Row],[Tech Start Date]]&lt;1/1/1990,"",IF(Main[[#This Row],[Class]]="C",WORKDAY(Main[[#This Row],[Tech Start Date]],19),IF(Main[[#This Row],[Class]]="B", WORKDAY(Main[[#This Row],[Tech Start Date]],12),IF(Main[[#This Row],[Class]]="A",WORKDAY(Main[[#This Row],[Tech Start Date]],4),""))))</f>
        <v/>
      </c>
      <c r="O1172" s="77" t="str">
        <f>IF(Main[[#This Row],[Tech Start Date]]&lt;1/1/1990,"",IF(Main[[#This Row],[Class]]="C",WORKDAY(Main[[#This Row],[Tech Start Date]],23),IF(Main[[#This Row],[Class]]="B", WORKDAY(Main[[#This Row],[Tech Start Date]],15),IF(Main[[#This Row],[Class]]="A",WORKDAY(Main[[#This Row],[Tech Start Date]],5),""))))</f>
        <v/>
      </c>
      <c r="P1172" s="77" t="str">
        <f>IF(Main[[#This Row],[Tech Start Date]]&lt;1/1/1990,"",IF(Main[[#This Row],[Class]]="C",WORKDAY(Main[[#This Row],[Tech Start Date]],28),IF(Main[[#This Row],[Class]]="B", WORKDAY(Main[[#This Row],[Tech Start Date]],19),IF(Main[[#This Row],[Class]]="A",WORKDAY(Main[[#This Row],[Tech Start Date]],9),""))))</f>
        <v/>
      </c>
      <c r="Q1172" s="74"/>
      <c r="R1172" s="74">
        <v>40875</v>
      </c>
      <c r="S1172" s="72" t="s">
        <v>17</v>
      </c>
      <c r="T1172" s="80" t="s">
        <v>4</v>
      </c>
      <c r="U1172" s="72" t="s">
        <v>29</v>
      </c>
      <c r="V1172" s="72" t="s">
        <v>1935</v>
      </c>
      <c r="W1172" s="72" t="s">
        <v>1937</v>
      </c>
      <c r="X1172" s="72" t="s">
        <v>559</v>
      </c>
      <c r="Y1172" s="72" t="s">
        <v>3039</v>
      </c>
      <c r="Z1172" s="72" t="s">
        <v>659</v>
      </c>
      <c r="AA1172" s="147" t="s">
        <v>559</v>
      </c>
    </row>
    <row r="1173" spans="1:27" ht="18.600000000000001" customHeight="1">
      <c r="A1173" s="140" t="str">
        <f>IF(priority(Main[[#This Row],[Comments]])&lt;&gt;0, priority(Main[[#This Row],[Comments]]),"")</f>
        <v/>
      </c>
      <c r="B1173" s="90" t="s">
        <v>2582</v>
      </c>
      <c r="C1173" s="72" t="s">
        <v>4</v>
      </c>
      <c r="D1173" s="73" t="s">
        <v>2583</v>
      </c>
      <c r="E1173" s="74">
        <v>40834.332835648151</v>
      </c>
      <c r="F1173" s="74"/>
      <c r="G1173" s="75" t="str">
        <f>IF(stdProdLT(Main[[#This Row],[Comments]])=0.1,"N/A",IF(stdProdLT(Main[[#This Row],[Comments]])=0,"",stdProdLT(Main[[#This Row],[Comments]])))</f>
        <v/>
      </c>
      <c r="H1173" s="76" t="str">
        <f>IF(AND(Main[[#This Row],[In Stock Date]]&lt;&gt;"",Main[[#This Row],[Revised Due Date]]&lt;&gt;""),Main[[#This Row],[In Stock Date]]-Main[[#This Row],[Revised Due Date]],"")</f>
        <v/>
      </c>
      <c r="I1173" s="72" t="s">
        <v>4</v>
      </c>
      <c r="J1173" s="72" t="s">
        <v>4</v>
      </c>
      <c r="K1173" s="72" t="s">
        <v>4</v>
      </c>
      <c r="L1173" s="74"/>
      <c r="M1173" s="77" t="str">
        <f>IF(Main[[#This Row],[Tech Start Date]]&lt;1/1/1990,"",IF(Main[[#This Row],[Class]]="C",WORKDAY(Main[[#This Row],[Tech Start Date]],9),IF(Main[[#This Row],[Class]]="B", WORKDAY(Main[[#This Row],[Tech Start Date]],6),IF(Main[[#This Row],[Class]]="A",WORKDAY(Main[[#This Row],[Tech Start Date]],2),""))))</f>
        <v/>
      </c>
      <c r="N1173" s="77" t="str">
        <f>IF(Main[[#This Row],[Tech Start Date]]&lt;1/1/1990,"",IF(Main[[#This Row],[Class]]="C",WORKDAY(Main[[#This Row],[Tech Start Date]],19),IF(Main[[#This Row],[Class]]="B", WORKDAY(Main[[#This Row],[Tech Start Date]],12),IF(Main[[#This Row],[Class]]="A",WORKDAY(Main[[#This Row],[Tech Start Date]],4),""))))</f>
        <v/>
      </c>
      <c r="O1173" s="77" t="str">
        <f>IF(Main[[#This Row],[Tech Start Date]]&lt;1/1/1990,"",IF(Main[[#This Row],[Class]]="C",WORKDAY(Main[[#This Row],[Tech Start Date]],23),IF(Main[[#This Row],[Class]]="B", WORKDAY(Main[[#This Row],[Tech Start Date]],15),IF(Main[[#This Row],[Class]]="A",WORKDAY(Main[[#This Row],[Tech Start Date]],5),""))))</f>
        <v/>
      </c>
      <c r="P1173" s="77" t="str">
        <f>IF(Main[[#This Row],[Tech Start Date]]&lt;1/1/1990,"",IF(Main[[#This Row],[Class]]="C",WORKDAY(Main[[#This Row],[Tech Start Date]],28),IF(Main[[#This Row],[Class]]="B", WORKDAY(Main[[#This Row],[Tech Start Date]],19),IF(Main[[#This Row],[Class]]="A",WORKDAY(Main[[#This Row],[Tech Start Date]],9),""))))</f>
        <v/>
      </c>
      <c r="Q1173" s="74"/>
      <c r="R1173" s="74"/>
      <c r="S1173" s="72" t="s">
        <v>6</v>
      </c>
      <c r="T1173" s="80" t="s">
        <v>4</v>
      </c>
      <c r="U1173" s="72" t="s">
        <v>29</v>
      </c>
      <c r="V1173" s="72" t="s">
        <v>1935</v>
      </c>
      <c r="W1173" s="72" t="s">
        <v>1936</v>
      </c>
      <c r="X1173" s="72" t="s">
        <v>403</v>
      </c>
      <c r="Y1173" s="72" t="s">
        <v>4</v>
      </c>
      <c r="Z1173" s="72" t="s">
        <v>4</v>
      </c>
      <c r="AA1173" s="147" t="s">
        <v>310</v>
      </c>
    </row>
    <row r="1174" spans="1:27" ht="18.600000000000001" customHeight="1">
      <c r="A1174" s="140" t="str">
        <f>IF(priority(Main[[#This Row],[Comments]])&lt;&gt;0, priority(Main[[#This Row],[Comments]]),"")</f>
        <v/>
      </c>
      <c r="B1174" s="90" t="s">
        <v>1310</v>
      </c>
      <c r="C1174" s="72" t="s">
        <v>4</v>
      </c>
      <c r="D1174" s="73" t="s">
        <v>373</v>
      </c>
      <c r="E1174" s="74">
        <v>40610.689421296294</v>
      </c>
      <c r="F1174" s="74"/>
      <c r="G1174" s="75" t="str">
        <f>IF(stdProdLT(Main[[#This Row],[Comments]])=0.1,"N/A",IF(stdProdLT(Main[[#This Row],[Comments]])=0,"",stdProdLT(Main[[#This Row],[Comments]])))</f>
        <v/>
      </c>
      <c r="H1174" s="76" t="str">
        <f>IF(AND(Main[[#This Row],[In Stock Date]]&lt;&gt;"",Main[[#This Row],[Revised Due Date]]&lt;&gt;""),Main[[#This Row],[In Stock Date]]-Main[[#This Row],[Revised Due Date]],"")</f>
        <v/>
      </c>
      <c r="I1174" s="72" t="s">
        <v>242</v>
      </c>
      <c r="J1174" s="72" t="s">
        <v>28</v>
      </c>
      <c r="K1174" s="72" t="s">
        <v>1941</v>
      </c>
      <c r="L1174" s="74"/>
      <c r="M1174" s="77" t="str">
        <f>IF(Main[[#This Row],[Tech Start Date]]&lt;1/1/1990,"",IF(Main[[#This Row],[Class]]="C",WORKDAY(Main[[#This Row],[Tech Start Date]],9),IF(Main[[#This Row],[Class]]="B", WORKDAY(Main[[#This Row],[Tech Start Date]],6),IF(Main[[#This Row],[Class]]="A",WORKDAY(Main[[#This Row],[Tech Start Date]],2),""))))</f>
        <v/>
      </c>
      <c r="N1174" s="77" t="str">
        <f>IF(Main[[#This Row],[Tech Start Date]]&lt;1/1/1990,"",IF(Main[[#This Row],[Class]]="C",WORKDAY(Main[[#This Row],[Tech Start Date]],19),IF(Main[[#This Row],[Class]]="B", WORKDAY(Main[[#This Row],[Tech Start Date]],12),IF(Main[[#This Row],[Class]]="A",WORKDAY(Main[[#This Row],[Tech Start Date]],4),""))))</f>
        <v/>
      </c>
      <c r="O1174" s="77" t="str">
        <f>IF(Main[[#This Row],[Tech Start Date]]&lt;1/1/1990,"",IF(Main[[#This Row],[Class]]="C",WORKDAY(Main[[#This Row],[Tech Start Date]],23),IF(Main[[#This Row],[Class]]="B", WORKDAY(Main[[#This Row],[Tech Start Date]],15),IF(Main[[#This Row],[Class]]="A",WORKDAY(Main[[#This Row],[Tech Start Date]],5),""))))</f>
        <v/>
      </c>
      <c r="P1174" s="77" t="str">
        <f>IF(Main[[#This Row],[Tech Start Date]]&lt;1/1/1990,"",IF(Main[[#This Row],[Class]]="C",WORKDAY(Main[[#This Row],[Tech Start Date]],28),IF(Main[[#This Row],[Class]]="B", WORKDAY(Main[[#This Row],[Tech Start Date]],19),IF(Main[[#This Row],[Class]]="A",WORKDAY(Main[[#This Row],[Tech Start Date]],9),""))))</f>
        <v/>
      </c>
      <c r="Q1174" s="74">
        <v>40695</v>
      </c>
      <c r="R1174" s="74"/>
      <c r="S1174" s="72" t="s">
        <v>6</v>
      </c>
      <c r="T1174" s="80" t="s">
        <v>4</v>
      </c>
      <c r="U1174" s="72" t="s">
        <v>29</v>
      </c>
      <c r="V1174" s="72" t="s">
        <v>1935</v>
      </c>
      <c r="W1174" s="72" t="s">
        <v>1934</v>
      </c>
      <c r="X1174" s="72" t="s">
        <v>559</v>
      </c>
      <c r="Y1174" s="72" t="s">
        <v>3039</v>
      </c>
      <c r="Z1174" s="72" t="s">
        <v>310</v>
      </c>
      <c r="AA1174" s="147" t="s">
        <v>559</v>
      </c>
    </row>
    <row r="1175" spans="1:27" ht="18.600000000000001" customHeight="1">
      <c r="A1175" s="140" t="str">
        <f>IF(priority(Main[[#This Row],[Comments]])&lt;&gt;0, priority(Main[[#This Row],[Comments]]),"")</f>
        <v/>
      </c>
      <c r="B1175" s="90" t="s">
        <v>2584</v>
      </c>
      <c r="C1175" s="72" t="s">
        <v>2585</v>
      </c>
      <c r="D1175" s="73" t="s">
        <v>2586</v>
      </c>
      <c r="E1175" s="74"/>
      <c r="F1175" s="74"/>
      <c r="G1175" s="75" t="str">
        <f>IF(stdProdLT(Main[[#This Row],[Comments]])=0.1,"N/A",IF(stdProdLT(Main[[#This Row],[Comments]])=0,"",stdProdLT(Main[[#This Row],[Comments]])))</f>
        <v/>
      </c>
      <c r="H1175" s="76" t="str">
        <f>IF(AND(Main[[#This Row],[In Stock Date]]&lt;&gt;"",Main[[#This Row],[Revised Due Date]]&lt;&gt;""),Main[[#This Row],[In Stock Date]]-Main[[#This Row],[Revised Due Date]],"")</f>
        <v/>
      </c>
      <c r="I1175" s="72" t="s">
        <v>4</v>
      </c>
      <c r="J1175" s="72" t="s">
        <v>4</v>
      </c>
      <c r="K1175" s="72" t="s">
        <v>4</v>
      </c>
      <c r="L1175" s="74"/>
      <c r="M1175" s="77" t="str">
        <f>IF(Main[[#This Row],[Tech Start Date]]&lt;1/1/1990,"",IF(Main[[#This Row],[Class]]="C",WORKDAY(Main[[#This Row],[Tech Start Date]],9),IF(Main[[#This Row],[Class]]="B", WORKDAY(Main[[#This Row],[Tech Start Date]],6),IF(Main[[#This Row],[Class]]="A",WORKDAY(Main[[#This Row],[Tech Start Date]],2),""))))</f>
        <v/>
      </c>
      <c r="N1175" s="77" t="str">
        <f>IF(Main[[#This Row],[Tech Start Date]]&lt;1/1/1990,"",IF(Main[[#This Row],[Class]]="C",WORKDAY(Main[[#This Row],[Tech Start Date]],19),IF(Main[[#This Row],[Class]]="B", WORKDAY(Main[[#This Row],[Tech Start Date]],12),IF(Main[[#This Row],[Class]]="A",WORKDAY(Main[[#This Row],[Tech Start Date]],4),""))))</f>
        <v/>
      </c>
      <c r="O1175" s="77" t="str">
        <f>IF(Main[[#This Row],[Tech Start Date]]&lt;1/1/1990,"",IF(Main[[#This Row],[Class]]="C",WORKDAY(Main[[#This Row],[Tech Start Date]],23),IF(Main[[#This Row],[Class]]="B", WORKDAY(Main[[#This Row],[Tech Start Date]],15),IF(Main[[#This Row],[Class]]="A",WORKDAY(Main[[#This Row],[Tech Start Date]],5),""))))</f>
        <v/>
      </c>
      <c r="P1175" s="77" t="str">
        <f>IF(Main[[#This Row],[Tech Start Date]]&lt;1/1/1990,"",IF(Main[[#This Row],[Class]]="C",WORKDAY(Main[[#This Row],[Tech Start Date]],28),IF(Main[[#This Row],[Class]]="B", WORKDAY(Main[[#This Row],[Tech Start Date]],19),IF(Main[[#This Row],[Class]]="A",WORKDAY(Main[[#This Row],[Tech Start Date]],9),""))))</f>
        <v/>
      </c>
      <c r="Q1175" s="74"/>
      <c r="R1175" s="74"/>
      <c r="S1175" s="72" t="s">
        <v>11</v>
      </c>
      <c r="T1175" s="80" t="s">
        <v>4</v>
      </c>
      <c r="U1175" s="72" t="s">
        <v>14</v>
      </c>
      <c r="V1175" s="72" t="s">
        <v>1933</v>
      </c>
      <c r="W1175" s="72" t="s">
        <v>1934</v>
      </c>
      <c r="X1175" s="72" t="s">
        <v>2899</v>
      </c>
      <c r="Y1175" s="72" t="s">
        <v>3080</v>
      </c>
      <c r="Z1175" s="72" t="s">
        <v>4</v>
      </c>
      <c r="AA1175" s="147" t="s">
        <v>3650</v>
      </c>
    </row>
    <row r="1176" spans="1:27" ht="18.600000000000001" customHeight="1">
      <c r="A1176" s="140" t="str">
        <f>IF(priority(Main[[#This Row],[Comments]])&lt;&gt;0, priority(Main[[#This Row],[Comments]]),"")</f>
        <v/>
      </c>
      <c r="B1176" s="90" t="s">
        <v>2796</v>
      </c>
      <c r="C1176" s="72" t="s">
        <v>4</v>
      </c>
      <c r="D1176" s="73" t="s">
        <v>3294</v>
      </c>
      <c r="E1176" s="74">
        <v>40890.414641203701</v>
      </c>
      <c r="F1176" s="74"/>
      <c r="G1176" s="75" t="str">
        <f>IF(stdProdLT(Main[[#This Row],[Comments]])=0.1,"N/A",IF(stdProdLT(Main[[#This Row],[Comments]])=0,"",stdProdLT(Main[[#This Row],[Comments]])))</f>
        <v/>
      </c>
      <c r="H1176" s="76" t="str">
        <f>IF(AND(Main[[#This Row],[In Stock Date]]&lt;&gt;"",Main[[#This Row],[Revised Due Date]]&lt;&gt;""),Main[[#This Row],[In Stock Date]]-Main[[#This Row],[Revised Due Date]],"")</f>
        <v/>
      </c>
      <c r="I1176" s="72" t="s">
        <v>30</v>
      </c>
      <c r="J1176" s="72" t="s">
        <v>28</v>
      </c>
      <c r="K1176" s="72" t="s">
        <v>1941</v>
      </c>
      <c r="L1176" s="74"/>
      <c r="M1176" s="77" t="str">
        <f>IF(Main[[#This Row],[Tech Start Date]]&lt;1/1/1990,"",IF(Main[[#This Row],[Class]]="C",WORKDAY(Main[[#This Row],[Tech Start Date]],9),IF(Main[[#This Row],[Class]]="B", WORKDAY(Main[[#This Row],[Tech Start Date]],6),IF(Main[[#This Row],[Class]]="A",WORKDAY(Main[[#This Row],[Tech Start Date]],2),""))))</f>
        <v/>
      </c>
      <c r="N1176" s="77" t="str">
        <f>IF(Main[[#This Row],[Tech Start Date]]&lt;1/1/1990,"",IF(Main[[#This Row],[Class]]="C",WORKDAY(Main[[#This Row],[Tech Start Date]],19),IF(Main[[#This Row],[Class]]="B", WORKDAY(Main[[#This Row],[Tech Start Date]],12),IF(Main[[#This Row],[Class]]="A",WORKDAY(Main[[#This Row],[Tech Start Date]],4),""))))</f>
        <v/>
      </c>
      <c r="O1176" s="77" t="str">
        <f>IF(Main[[#This Row],[Tech Start Date]]&lt;1/1/1990,"",IF(Main[[#This Row],[Class]]="C",WORKDAY(Main[[#This Row],[Tech Start Date]],23),IF(Main[[#This Row],[Class]]="B", WORKDAY(Main[[#This Row],[Tech Start Date]],15),IF(Main[[#This Row],[Class]]="A",WORKDAY(Main[[#This Row],[Tech Start Date]],5),""))))</f>
        <v/>
      </c>
      <c r="P1176" s="77" t="str">
        <f>IF(Main[[#This Row],[Tech Start Date]]&lt;1/1/1990,"",IF(Main[[#This Row],[Class]]="C",WORKDAY(Main[[#This Row],[Tech Start Date]],28),IF(Main[[#This Row],[Class]]="B", WORKDAY(Main[[#This Row],[Tech Start Date]],19),IF(Main[[#This Row],[Class]]="A",WORKDAY(Main[[#This Row],[Tech Start Date]],9),""))))</f>
        <v/>
      </c>
      <c r="Q1176" s="74">
        <v>40909</v>
      </c>
      <c r="R1176" s="74"/>
      <c r="S1176" s="72" t="s">
        <v>322</v>
      </c>
      <c r="T1176" s="80" t="s">
        <v>4</v>
      </c>
      <c r="U1176" s="72" t="s">
        <v>29</v>
      </c>
      <c r="V1176" s="72" t="s">
        <v>1935</v>
      </c>
      <c r="W1176" s="72" t="s">
        <v>1936</v>
      </c>
      <c r="X1176" s="72" t="s">
        <v>2900</v>
      </c>
      <c r="Y1176" s="72" t="s">
        <v>3015</v>
      </c>
      <c r="Z1176" s="72" t="s">
        <v>30</v>
      </c>
      <c r="AA1176" s="147" t="s">
        <v>2900</v>
      </c>
    </row>
    <row r="1177" spans="1:27" ht="18.600000000000001" customHeight="1">
      <c r="A1177" s="140" t="str">
        <f>IF(priority(Main[[#This Row],[Comments]])&lt;&gt;0, priority(Main[[#This Row],[Comments]]),"")</f>
        <v/>
      </c>
      <c r="B1177" s="90" t="s">
        <v>2363</v>
      </c>
      <c r="C1177" s="72" t="s">
        <v>4</v>
      </c>
      <c r="D1177" s="73" t="s">
        <v>2364</v>
      </c>
      <c r="E1177" s="74"/>
      <c r="F1177" s="74"/>
      <c r="G1177" s="75" t="str">
        <f>IF(stdProdLT(Main[[#This Row],[Comments]])=0.1,"N/A",IF(stdProdLT(Main[[#This Row],[Comments]])=0,"",stdProdLT(Main[[#This Row],[Comments]])))</f>
        <v/>
      </c>
      <c r="H1177" s="76" t="str">
        <f>IF(AND(Main[[#This Row],[In Stock Date]]&lt;&gt;"",Main[[#This Row],[Revised Due Date]]&lt;&gt;""),Main[[#This Row],[In Stock Date]]-Main[[#This Row],[Revised Due Date]],"")</f>
        <v/>
      </c>
      <c r="I1177" s="72" t="s">
        <v>4</v>
      </c>
      <c r="J1177" s="72" t="s">
        <v>4</v>
      </c>
      <c r="K1177" s="72" t="s">
        <v>4</v>
      </c>
      <c r="L1177" s="74"/>
      <c r="M1177" s="77" t="str">
        <f>IF(Main[[#This Row],[Tech Start Date]]&lt;1/1/1990,"",IF(Main[[#This Row],[Class]]="C",WORKDAY(Main[[#This Row],[Tech Start Date]],9),IF(Main[[#This Row],[Class]]="B", WORKDAY(Main[[#This Row],[Tech Start Date]],6),IF(Main[[#This Row],[Class]]="A",WORKDAY(Main[[#This Row],[Tech Start Date]],2),""))))</f>
        <v/>
      </c>
      <c r="N1177" s="77" t="str">
        <f>IF(Main[[#This Row],[Tech Start Date]]&lt;1/1/1990,"",IF(Main[[#This Row],[Class]]="C",WORKDAY(Main[[#This Row],[Tech Start Date]],19),IF(Main[[#This Row],[Class]]="B", WORKDAY(Main[[#This Row],[Tech Start Date]],12),IF(Main[[#This Row],[Class]]="A",WORKDAY(Main[[#This Row],[Tech Start Date]],4),""))))</f>
        <v/>
      </c>
      <c r="O1177" s="77" t="str">
        <f>IF(Main[[#This Row],[Tech Start Date]]&lt;1/1/1990,"",IF(Main[[#This Row],[Class]]="C",WORKDAY(Main[[#This Row],[Tech Start Date]],23),IF(Main[[#This Row],[Class]]="B", WORKDAY(Main[[#This Row],[Tech Start Date]],15),IF(Main[[#This Row],[Class]]="A",WORKDAY(Main[[#This Row],[Tech Start Date]],5),""))))</f>
        <v/>
      </c>
      <c r="P1177" s="77" t="str">
        <f>IF(Main[[#This Row],[Tech Start Date]]&lt;1/1/1990,"",IF(Main[[#This Row],[Class]]="C",WORKDAY(Main[[#This Row],[Tech Start Date]],28),IF(Main[[#This Row],[Class]]="B", WORKDAY(Main[[#This Row],[Tech Start Date]],19),IF(Main[[#This Row],[Class]]="A",WORKDAY(Main[[#This Row],[Tech Start Date]],9),""))))</f>
        <v/>
      </c>
      <c r="Q1177" s="74"/>
      <c r="R1177" s="74"/>
      <c r="S1177" s="72" t="s">
        <v>11</v>
      </c>
      <c r="T1177" s="80" t="s">
        <v>4</v>
      </c>
      <c r="U1177" s="72" t="s">
        <v>14</v>
      </c>
      <c r="V1177" s="72" t="s">
        <v>1932</v>
      </c>
      <c r="W1177" s="72" t="s">
        <v>1940</v>
      </c>
      <c r="X1177" s="72" t="s">
        <v>310</v>
      </c>
      <c r="Y1177" s="72" t="s">
        <v>3028</v>
      </c>
      <c r="Z1177" s="72" t="s">
        <v>4</v>
      </c>
      <c r="AA1177" s="147" t="s">
        <v>310</v>
      </c>
    </row>
    <row r="1178" spans="1:27" ht="18.600000000000001" customHeight="1">
      <c r="A1178" s="140" t="str">
        <f>IF(priority(Main[[#This Row],[Comments]])&lt;&gt;0, priority(Main[[#This Row],[Comments]]),"")</f>
        <v/>
      </c>
      <c r="B1178" s="90" t="s">
        <v>2587</v>
      </c>
      <c r="C1178" s="72" t="s">
        <v>4</v>
      </c>
      <c r="D1178" s="73" t="s">
        <v>2841</v>
      </c>
      <c r="E1178" s="74">
        <v>40870.465879629628</v>
      </c>
      <c r="F1178" s="74"/>
      <c r="G1178" s="75" t="str">
        <f>IF(stdProdLT(Main[[#This Row],[Comments]])=0.1,"N/A",IF(stdProdLT(Main[[#This Row],[Comments]])=0,"",stdProdLT(Main[[#This Row],[Comments]])))</f>
        <v/>
      </c>
      <c r="H1178" s="76" t="str">
        <f>IF(AND(Main[[#This Row],[In Stock Date]]&lt;&gt;"",Main[[#This Row],[Revised Due Date]]&lt;&gt;""),Main[[#This Row],[In Stock Date]]-Main[[#This Row],[Revised Due Date]],"")</f>
        <v/>
      </c>
      <c r="I1178" s="72" t="s">
        <v>434</v>
      </c>
      <c r="J1178" s="72" t="s">
        <v>28</v>
      </c>
      <c r="K1178" s="72" t="s">
        <v>1941</v>
      </c>
      <c r="L1178" s="74"/>
      <c r="M1178" s="77" t="str">
        <f>IF(Main[[#This Row],[Tech Start Date]]&lt;1/1/1990,"",IF(Main[[#This Row],[Class]]="C",WORKDAY(Main[[#This Row],[Tech Start Date]],9),IF(Main[[#This Row],[Class]]="B", WORKDAY(Main[[#This Row],[Tech Start Date]],6),IF(Main[[#This Row],[Class]]="A",WORKDAY(Main[[#This Row],[Tech Start Date]],2),""))))</f>
        <v/>
      </c>
      <c r="N1178" s="77" t="str">
        <f>IF(Main[[#This Row],[Tech Start Date]]&lt;1/1/1990,"",IF(Main[[#This Row],[Class]]="C",WORKDAY(Main[[#This Row],[Tech Start Date]],19),IF(Main[[#This Row],[Class]]="B", WORKDAY(Main[[#This Row],[Tech Start Date]],12),IF(Main[[#This Row],[Class]]="A",WORKDAY(Main[[#This Row],[Tech Start Date]],4),""))))</f>
        <v/>
      </c>
      <c r="O1178" s="77" t="str">
        <f>IF(Main[[#This Row],[Tech Start Date]]&lt;1/1/1990,"",IF(Main[[#This Row],[Class]]="C",WORKDAY(Main[[#This Row],[Tech Start Date]],23),IF(Main[[#This Row],[Class]]="B", WORKDAY(Main[[#This Row],[Tech Start Date]],15),IF(Main[[#This Row],[Class]]="A",WORKDAY(Main[[#This Row],[Tech Start Date]],5),""))))</f>
        <v/>
      </c>
      <c r="P1178" s="77" t="str">
        <f>IF(Main[[#This Row],[Tech Start Date]]&lt;1/1/1990,"",IF(Main[[#This Row],[Class]]="C",WORKDAY(Main[[#This Row],[Tech Start Date]],28),IF(Main[[#This Row],[Class]]="B", WORKDAY(Main[[#This Row],[Tech Start Date]],19),IF(Main[[#This Row],[Class]]="A",WORKDAY(Main[[#This Row],[Tech Start Date]],9),""))))</f>
        <v/>
      </c>
      <c r="Q1178" s="74">
        <v>40905</v>
      </c>
      <c r="R1178" s="74"/>
      <c r="S1178" s="72" t="s">
        <v>6</v>
      </c>
      <c r="T1178" s="80" t="s">
        <v>4</v>
      </c>
      <c r="U1178" s="72" t="s">
        <v>29</v>
      </c>
      <c r="V1178" s="72" t="s">
        <v>1935</v>
      </c>
      <c r="W1178" s="72" t="s">
        <v>1936</v>
      </c>
      <c r="X1178" s="72" t="s">
        <v>2073</v>
      </c>
      <c r="Y1178" s="72" t="s">
        <v>3147</v>
      </c>
      <c r="Z1178" s="72" t="s">
        <v>30</v>
      </c>
      <c r="AA1178" s="147" t="s">
        <v>2979</v>
      </c>
    </row>
    <row r="1179" spans="1:27" ht="18.600000000000001" customHeight="1">
      <c r="A1179" s="140" t="str">
        <f>IF(priority(Main[[#This Row],[Comments]])&lt;&gt;0, priority(Main[[#This Row],[Comments]]),"")</f>
        <v/>
      </c>
      <c r="B1179" s="90" t="s">
        <v>2552</v>
      </c>
      <c r="C1179" s="72" t="s">
        <v>4</v>
      </c>
      <c r="D1179" s="73" t="s">
        <v>2842</v>
      </c>
      <c r="E1179" s="74">
        <v>40870.466527777775</v>
      </c>
      <c r="F1179" s="74"/>
      <c r="G1179" s="75" t="str">
        <f>IF(stdProdLT(Main[[#This Row],[Comments]])=0.1,"N/A",IF(stdProdLT(Main[[#This Row],[Comments]])=0,"",stdProdLT(Main[[#This Row],[Comments]])))</f>
        <v/>
      </c>
      <c r="H1179" s="76" t="str">
        <f>IF(AND(Main[[#This Row],[In Stock Date]]&lt;&gt;"",Main[[#This Row],[Revised Due Date]]&lt;&gt;""),Main[[#This Row],[In Stock Date]]-Main[[#This Row],[Revised Due Date]],"")</f>
        <v/>
      </c>
      <c r="I1179" s="72" t="s">
        <v>434</v>
      </c>
      <c r="J1179" s="72" t="s">
        <v>28</v>
      </c>
      <c r="K1179" s="72" t="s">
        <v>1941</v>
      </c>
      <c r="L1179" s="74"/>
      <c r="M1179" s="77" t="str">
        <f>IF(Main[[#This Row],[Tech Start Date]]&lt;1/1/1990,"",IF(Main[[#This Row],[Class]]="C",WORKDAY(Main[[#This Row],[Tech Start Date]],9),IF(Main[[#This Row],[Class]]="B", WORKDAY(Main[[#This Row],[Tech Start Date]],6),IF(Main[[#This Row],[Class]]="A",WORKDAY(Main[[#This Row],[Tech Start Date]],2),""))))</f>
        <v/>
      </c>
      <c r="N1179" s="77" t="str">
        <f>IF(Main[[#This Row],[Tech Start Date]]&lt;1/1/1990,"",IF(Main[[#This Row],[Class]]="C",WORKDAY(Main[[#This Row],[Tech Start Date]],19),IF(Main[[#This Row],[Class]]="B", WORKDAY(Main[[#This Row],[Tech Start Date]],12),IF(Main[[#This Row],[Class]]="A",WORKDAY(Main[[#This Row],[Tech Start Date]],4),""))))</f>
        <v/>
      </c>
      <c r="O1179" s="77" t="str">
        <f>IF(Main[[#This Row],[Tech Start Date]]&lt;1/1/1990,"",IF(Main[[#This Row],[Class]]="C",WORKDAY(Main[[#This Row],[Tech Start Date]],23),IF(Main[[#This Row],[Class]]="B", WORKDAY(Main[[#This Row],[Tech Start Date]],15),IF(Main[[#This Row],[Class]]="A",WORKDAY(Main[[#This Row],[Tech Start Date]],5),""))))</f>
        <v/>
      </c>
      <c r="P1179" s="77" t="str">
        <f>IF(Main[[#This Row],[Tech Start Date]]&lt;1/1/1990,"",IF(Main[[#This Row],[Class]]="C",WORKDAY(Main[[#This Row],[Tech Start Date]],28),IF(Main[[#This Row],[Class]]="B", WORKDAY(Main[[#This Row],[Tech Start Date]],19),IF(Main[[#This Row],[Class]]="A",WORKDAY(Main[[#This Row],[Tech Start Date]],9),""))))</f>
        <v/>
      </c>
      <c r="Q1179" s="74">
        <v>40905</v>
      </c>
      <c r="R1179" s="74"/>
      <c r="S1179" s="72" t="s">
        <v>6</v>
      </c>
      <c r="T1179" s="80" t="s">
        <v>4</v>
      </c>
      <c r="U1179" s="72" t="s">
        <v>29</v>
      </c>
      <c r="V1179" s="72" t="s">
        <v>1935</v>
      </c>
      <c r="W1179" s="72" t="s">
        <v>1936</v>
      </c>
      <c r="X1179" s="72" t="s">
        <v>2073</v>
      </c>
      <c r="Y1179" s="72" t="s">
        <v>3147</v>
      </c>
      <c r="Z1179" s="72" t="s">
        <v>30</v>
      </c>
      <c r="AA1179" s="147" t="s">
        <v>2979</v>
      </c>
    </row>
    <row r="1180" spans="1:27" ht="18.600000000000001" customHeight="1">
      <c r="A1180" s="140" t="str">
        <f>IF(priority(Main[[#This Row],[Comments]])&lt;&gt;0, priority(Main[[#This Row],[Comments]]),"")</f>
        <v/>
      </c>
      <c r="B1180" s="90" t="s">
        <v>3519</v>
      </c>
      <c r="C1180" s="72" t="s">
        <v>149</v>
      </c>
      <c r="D1180" s="73" t="s">
        <v>3520</v>
      </c>
      <c r="E1180" s="74">
        <v>40939.433923611112</v>
      </c>
      <c r="F1180" s="74"/>
      <c r="G1180" s="75" t="str">
        <f>IF(stdProdLT(Main[[#This Row],[Comments]])=0.1,"N/A",IF(stdProdLT(Main[[#This Row],[Comments]])=0,"",stdProdLT(Main[[#This Row],[Comments]])))</f>
        <v/>
      </c>
      <c r="H1180" s="76" t="str">
        <f>IF(AND(Main[[#This Row],[In Stock Date]]&lt;&gt;"",Main[[#This Row],[Revised Due Date]]&lt;&gt;""),Main[[#This Row],[In Stock Date]]-Main[[#This Row],[Revised Due Date]],"")</f>
        <v/>
      </c>
      <c r="I1180" s="72" t="s">
        <v>4</v>
      </c>
      <c r="J1180" s="72" t="s">
        <v>4</v>
      </c>
      <c r="K1180" s="72" t="s">
        <v>4</v>
      </c>
      <c r="L1180" s="74"/>
      <c r="M1180" s="77" t="str">
        <f>IF(Main[[#This Row],[Tech Start Date]]&lt;1/1/1990,"",IF(Main[[#This Row],[Class]]="C",WORKDAY(Main[[#This Row],[Tech Start Date]],9),IF(Main[[#This Row],[Class]]="B", WORKDAY(Main[[#This Row],[Tech Start Date]],6),IF(Main[[#This Row],[Class]]="A",WORKDAY(Main[[#This Row],[Tech Start Date]],2),""))))</f>
        <v/>
      </c>
      <c r="N1180" s="77" t="str">
        <f>IF(Main[[#This Row],[Tech Start Date]]&lt;1/1/1990,"",IF(Main[[#This Row],[Class]]="C",WORKDAY(Main[[#This Row],[Tech Start Date]],19),IF(Main[[#This Row],[Class]]="B", WORKDAY(Main[[#This Row],[Tech Start Date]],12),IF(Main[[#This Row],[Class]]="A",WORKDAY(Main[[#This Row],[Tech Start Date]],4),""))))</f>
        <v/>
      </c>
      <c r="O1180" s="77" t="str">
        <f>IF(Main[[#This Row],[Tech Start Date]]&lt;1/1/1990,"",IF(Main[[#This Row],[Class]]="C",WORKDAY(Main[[#This Row],[Tech Start Date]],23),IF(Main[[#This Row],[Class]]="B", WORKDAY(Main[[#This Row],[Tech Start Date]],15),IF(Main[[#This Row],[Class]]="A",WORKDAY(Main[[#This Row],[Tech Start Date]],5),""))))</f>
        <v/>
      </c>
      <c r="P1180" s="77" t="str">
        <f>IF(Main[[#This Row],[Tech Start Date]]&lt;1/1/1990,"",IF(Main[[#This Row],[Class]]="C",WORKDAY(Main[[#This Row],[Tech Start Date]],28),IF(Main[[#This Row],[Class]]="B", WORKDAY(Main[[#This Row],[Tech Start Date]],19),IF(Main[[#This Row],[Class]]="A",WORKDAY(Main[[#This Row],[Tech Start Date]],9),""))))</f>
        <v/>
      </c>
      <c r="Q1180" s="74"/>
      <c r="R1180" s="74"/>
      <c r="S1180" s="72" t="s">
        <v>11</v>
      </c>
      <c r="T1180" s="80" t="s">
        <v>4</v>
      </c>
      <c r="U1180" s="72" t="s">
        <v>7</v>
      </c>
      <c r="V1180" s="72" t="s">
        <v>1935</v>
      </c>
      <c r="W1180" s="72" t="s">
        <v>1940</v>
      </c>
      <c r="X1180" s="72" t="s">
        <v>2977</v>
      </c>
      <c r="Y1180" s="72" t="s">
        <v>3142</v>
      </c>
      <c r="Z1180" s="72" t="s">
        <v>4</v>
      </c>
      <c r="AA1180" s="147" t="s">
        <v>2977</v>
      </c>
    </row>
    <row r="1181" spans="1:27" ht="18.600000000000001" customHeight="1">
      <c r="A1181" s="140" t="str">
        <f>IF(priority(Main[[#This Row],[Comments]])&lt;&gt;0, priority(Main[[#This Row],[Comments]]),"")</f>
        <v/>
      </c>
      <c r="B1181" s="90" t="s">
        <v>3716</v>
      </c>
      <c r="C1181" s="72" t="s">
        <v>4</v>
      </c>
      <c r="D1181" s="73" t="s">
        <v>3717</v>
      </c>
      <c r="E1181" s="74">
        <v>40942.368715277778</v>
      </c>
      <c r="F1181" s="74"/>
      <c r="G1181" s="75" t="str">
        <f>IF(stdProdLT(Main[[#This Row],[Comments]])=0.1,"N/A",IF(stdProdLT(Main[[#This Row],[Comments]])=0,"",stdProdLT(Main[[#This Row],[Comments]])))</f>
        <v/>
      </c>
      <c r="H1181" s="76" t="str">
        <f>IF(AND(Main[[#This Row],[In Stock Date]]&lt;&gt;"",Main[[#This Row],[Revised Due Date]]&lt;&gt;""),Main[[#This Row],[In Stock Date]]-Main[[#This Row],[Revised Due Date]],"")</f>
        <v/>
      </c>
      <c r="I1181" s="72" t="s">
        <v>4</v>
      </c>
      <c r="J1181" s="72" t="s">
        <v>4</v>
      </c>
      <c r="K1181" s="72" t="s">
        <v>4</v>
      </c>
      <c r="L1181" s="74"/>
      <c r="M1181" s="77" t="str">
        <f>IF(Main[[#This Row],[Tech Start Date]]&lt;1/1/1990,"",IF(Main[[#This Row],[Class]]="C",WORKDAY(Main[[#This Row],[Tech Start Date]],9),IF(Main[[#This Row],[Class]]="B", WORKDAY(Main[[#This Row],[Tech Start Date]],6),IF(Main[[#This Row],[Class]]="A",WORKDAY(Main[[#This Row],[Tech Start Date]],2),""))))</f>
        <v/>
      </c>
      <c r="N1181" s="77" t="str">
        <f>IF(Main[[#This Row],[Tech Start Date]]&lt;1/1/1990,"",IF(Main[[#This Row],[Class]]="C",WORKDAY(Main[[#This Row],[Tech Start Date]],19),IF(Main[[#This Row],[Class]]="B", WORKDAY(Main[[#This Row],[Tech Start Date]],12),IF(Main[[#This Row],[Class]]="A",WORKDAY(Main[[#This Row],[Tech Start Date]],4),""))))</f>
        <v/>
      </c>
      <c r="O1181" s="77" t="str">
        <f>IF(Main[[#This Row],[Tech Start Date]]&lt;1/1/1990,"",IF(Main[[#This Row],[Class]]="C",WORKDAY(Main[[#This Row],[Tech Start Date]],23),IF(Main[[#This Row],[Class]]="B", WORKDAY(Main[[#This Row],[Tech Start Date]],15),IF(Main[[#This Row],[Class]]="A",WORKDAY(Main[[#This Row],[Tech Start Date]],5),""))))</f>
        <v/>
      </c>
      <c r="P1181" s="77" t="str">
        <f>IF(Main[[#This Row],[Tech Start Date]]&lt;1/1/1990,"",IF(Main[[#This Row],[Class]]="C",WORKDAY(Main[[#This Row],[Tech Start Date]],28),IF(Main[[#This Row],[Class]]="B", WORKDAY(Main[[#This Row],[Tech Start Date]],19),IF(Main[[#This Row],[Class]]="A",WORKDAY(Main[[#This Row],[Tech Start Date]],9),""))))</f>
        <v/>
      </c>
      <c r="Q1181" s="74">
        <v>40977</v>
      </c>
      <c r="R1181" s="74"/>
      <c r="S1181" s="72" t="s">
        <v>6</v>
      </c>
      <c r="T1181" s="80" t="s">
        <v>4</v>
      </c>
      <c r="U1181" s="72" t="s">
        <v>7</v>
      </c>
      <c r="V1181" s="72" t="s">
        <v>1935</v>
      </c>
      <c r="W1181" s="72" t="s">
        <v>4</v>
      </c>
      <c r="X1181" s="72" t="s">
        <v>2902</v>
      </c>
      <c r="Y1181" s="72" t="s">
        <v>3016</v>
      </c>
      <c r="Z1181" s="72" t="s">
        <v>4</v>
      </c>
      <c r="AA1181" s="147" t="s">
        <v>2902</v>
      </c>
    </row>
    <row r="1182" spans="1:27" ht="18.600000000000001" customHeight="1">
      <c r="A1182" s="140" t="str">
        <f>IF(priority(Main[[#This Row],[Comments]])&lt;&gt;0, priority(Main[[#This Row],[Comments]]),"")</f>
        <v/>
      </c>
      <c r="B1182" s="90" t="s">
        <v>2595</v>
      </c>
      <c r="C1182" s="72" t="s">
        <v>4</v>
      </c>
      <c r="D1182" s="73" t="s">
        <v>2594</v>
      </c>
      <c r="E1182" s="74"/>
      <c r="F1182" s="74"/>
      <c r="G1182" s="75" t="str">
        <f>IF(stdProdLT(Main[[#This Row],[Comments]])=0.1,"N/A",IF(stdProdLT(Main[[#This Row],[Comments]])=0,"",stdProdLT(Main[[#This Row],[Comments]])))</f>
        <v/>
      </c>
      <c r="H1182" s="76" t="str">
        <f>IF(AND(Main[[#This Row],[In Stock Date]]&lt;&gt;"",Main[[#This Row],[Revised Due Date]]&lt;&gt;""),Main[[#This Row],[In Stock Date]]-Main[[#This Row],[Revised Due Date]],"")</f>
        <v/>
      </c>
      <c r="I1182" s="72" t="s">
        <v>4</v>
      </c>
      <c r="J1182" s="72" t="s">
        <v>4</v>
      </c>
      <c r="K1182" s="72" t="s">
        <v>4</v>
      </c>
      <c r="L1182" s="74"/>
      <c r="M1182" s="77" t="str">
        <f>IF(Main[[#This Row],[Tech Start Date]]&lt;1/1/1990,"",IF(Main[[#This Row],[Class]]="C",WORKDAY(Main[[#This Row],[Tech Start Date]],9),IF(Main[[#This Row],[Class]]="B", WORKDAY(Main[[#This Row],[Tech Start Date]],6),IF(Main[[#This Row],[Class]]="A",WORKDAY(Main[[#This Row],[Tech Start Date]],2),""))))</f>
        <v/>
      </c>
      <c r="N1182" s="77" t="str">
        <f>IF(Main[[#This Row],[Tech Start Date]]&lt;1/1/1990,"",IF(Main[[#This Row],[Class]]="C",WORKDAY(Main[[#This Row],[Tech Start Date]],19),IF(Main[[#This Row],[Class]]="B", WORKDAY(Main[[#This Row],[Tech Start Date]],12),IF(Main[[#This Row],[Class]]="A",WORKDAY(Main[[#This Row],[Tech Start Date]],4),""))))</f>
        <v/>
      </c>
      <c r="O1182" s="77" t="str">
        <f>IF(Main[[#This Row],[Tech Start Date]]&lt;1/1/1990,"",IF(Main[[#This Row],[Class]]="C",WORKDAY(Main[[#This Row],[Tech Start Date]],23),IF(Main[[#This Row],[Class]]="B", WORKDAY(Main[[#This Row],[Tech Start Date]],15),IF(Main[[#This Row],[Class]]="A",WORKDAY(Main[[#This Row],[Tech Start Date]],5),""))))</f>
        <v/>
      </c>
      <c r="P1182" s="77" t="str">
        <f>IF(Main[[#This Row],[Tech Start Date]]&lt;1/1/1990,"",IF(Main[[#This Row],[Class]]="C",WORKDAY(Main[[#This Row],[Tech Start Date]],28),IF(Main[[#This Row],[Class]]="B", WORKDAY(Main[[#This Row],[Tech Start Date]],19),IF(Main[[#This Row],[Class]]="A",WORKDAY(Main[[#This Row],[Tech Start Date]],9),""))))</f>
        <v/>
      </c>
      <c r="Q1182" s="74">
        <v>40891</v>
      </c>
      <c r="R1182" s="74"/>
      <c r="S1182" s="72" t="s">
        <v>6</v>
      </c>
      <c r="T1182" s="80" t="s">
        <v>4</v>
      </c>
      <c r="U1182" s="72" t="s">
        <v>12</v>
      </c>
      <c r="V1182" s="72" t="s">
        <v>1935</v>
      </c>
      <c r="W1182" s="72" t="s">
        <v>4</v>
      </c>
      <c r="X1182" s="72" t="s">
        <v>2906</v>
      </c>
      <c r="Y1182" s="72" t="s">
        <v>3025</v>
      </c>
      <c r="Z1182" s="72" t="s">
        <v>4</v>
      </c>
      <c r="AA1182" s="147" t="s">
        <v>2906</v>
      </c>
    </row>
    <row r="1183" spans="1:27" ht="18.600000000000001" customHeight="1">
      <c r="A1183" s="140" t="str">
        <f>IF(priority(Main[[#This Row],[Comments]])&lt;&gt;0, priority(Main[[#This Row],[Comments]]),"")</f>
        <v/>
      </c>
      <c r="B1183" s="90" t="s">
        <v>2212</v>
      </c>
      <c r="C1183" s="72" t="s">
        <v>4</v>
      </c>
      <c r="D1183" s="73" t="s">
        <v>2213</v>
      </c>
      <c r="E1183" s="74">
        <v>40792.385717592595</v>
      </c>
      <c r="F1183" s="74"/>
      <c r="G1183" s="75" t="str">
        <f>IF(stdProdLT(Main[[#This Row],[Comments]])=0.1,"N/A",IF(stdProdLT(Main[[#This Row],[Comments]])=0,"",stdProdLT(Main[[#This Row],[Comments]])))</f>
        <v/>
      </c>
      <c r="H1183" s="76" t="str">
        <f>IF(AND(Main[[#This Row],[In Stock Date]]&lt;&gt;"",Main[[#This Row],[Revised Due Date]]&lt;&gt;""),Main[[#This Row],[In Stock Date]]-Main[[#This Row],[Revised Due Date]],"")</f>
        <v/>
      </c>
      <c r="I1183" s="72" t="s">
        <v>81</v>
      </c>
      <c r="J1183" s="72" t="s">
        <v>70</v>
      </c>
      <c r="K1183" s="72" t="s">
        <v>1941</v>
      </c>
      <c r="L1183" s="74"/>
      <c r="M1183" s="77" t="str">
        <f>IF(Main[[#This Row],[Tech Start Date]]&lt;1/1/1990,"",IF(Main[[#This Row],[Class]]="C",WORKDAY(Main[[#This Row],[Tech Start Date]],9),IF(Main[[#This Row],[Class]]="B", WORKDAY(Main[[#This Row],[Tech Start Date]],6),IF(Main[[#This Row],[Class]]="A",WORKDAY(Main[[#This Row],[Tech Start Date]],2),""))))</f>
        <v/>
      </c>
      <c r="N1183" s="77" t="str">
        <f>IF(Main[[#This Row],[Tech Start Date]]&lt;1/1/1990,"",IF(Main[[#This Row],[Class]]="C",WORKDAY(Main[[#This Row],[Tech Start Date]],19),IF(Main[[#This Row],[Class]]="B", WORKDAY(Main[[#This Row],[Tech Start Date]],12),IF(Main[[#This Row],[Class]]="A",WORKDAY(Main[[#This Row],[Tech Start Date]],4),""))))</f>
        <v/>
      </c>
      <c r="O1183" s="77" t="str">
        <f>IF(Main[[#This Row],[Tech Start Date]]&lt;1/1/1990,"",IF(Main[[#This Row],[Class]]="C",WORKDAY(Main[[#This Row],[Tech Start Date]],23),IF(Main[[#This Row],[Class]]="B", WORKDAY(Main[[#This Row],[Tech Start Date]],15),IF(Main[[#This Row],[Class]]="A",WORKDAY(Main[[#This Row],[Tech Start Date]],5),""))))</f>
        <v/>
      </c>
      <c r="P1183" s="77" t="str">
        <f>IF(Main[[#This Row],[Tech Start Date]]&lt;1/1/1990,"",IF(Main[[#This Row],[Class]]="C",WORKDAY(Main[[#This Row],[Tech Start Date]],28),IF(Main[[#This Row],[Class]]="B", WORKDAY(Main[[#This Row],[Tech Start Date]],19),IF(Main[[#This Row],[Class]]="A",WORKDAY(Main[[#This Row],[Tech Start Date]],9),""))))</f>
        <v/>
      </c>
      <c r="Q1183" s="74">
        <v>40823</v>
      </c>
      <c r="R1183" s="74"/>
      <c r="S1183" s="72" t="s">
        <v>6</v>
      </c>
      <c r="T1183" s="80" t="s">
        <v>4</v>
      </c>
      <c r="U1183" s="72" t="s">
        <v>29</v>
      </c>
      <c r="V1183" s="72" t="s">
        <v>1935</v>
      </c>
      <c r="W1183" s="72" t="s">
        <v>1936</v>
      </c>
      <c r="X1183" s="72" t="s">
        <v>2902</v>
      </c>
      <c r="Y1183" s="72" t="s">
        <v>3016</v>
      </c>
      <c r="Z1183" s="72" t="s">
        <v>30</v>
      </c>
      <c r="AA1183" s="147" t="s">
        <v>2902</v>
      </c>
    </row>
    <row r="1184" spans="1:27" ht="18.600000000000001" customHeight="1">
      <c r="A1184" s="140" t="str">
        <f>IF(priority(Main[[#This Row],[Comments]])&lt;&gt;0, priority(Main[[#This Row],[Comments]]),"")</f>
        <v/>
      </c>
      <c r="B1184" s="90" t="s">
        <v>3521</v>
      </c>
      <c r="C1184" s="72" t="s">
        <v>4</v>
      </c>
      <c r="D1184" s="73" t="s">
        <v>3522</v>
      </c>
      <c r="E1184" s="74">
        <v>40939.297210648147</v>
      </c>
      <c r="F1184" s="74"/>
      <c r="G1184" s="75" t="str">
        <f>IF(stdProdLT(Main[[#This Row],[Comments]])=0.1,"N/A",IF(stdProdLT(Main[[#This Row],[Comments]])=0,"",stdProdLT(Main[[#This Row],[Comments]])))</f>
        <v/>
      </c>
      <c r="H1184" s="76" t="str">
        <f>IF(AND(Main[[#This Row],[In Stock Date]]&lt;&gt;"",Main[[#This Row],[Revised Due Date]]&lt;&gt;""),Main[[#This Row],[In Stock Date]]-Main[[#This Row],[Revised Due Date]],"")</f>
        <v/>
      </c>
      <c r="I1184" s="72" t="s">
        <v>4</v>
      </c>
      <c r="J1184" s="72" t="s">
        <v>4</v>
      </c>
      <c r="K1184" s="72" t="s">
        <v>4</v>
      </c>
      <c r="L1184" s="74"/>
      <c r="M1184" s="77" t="str">
        <f>IF(Main[[#This Row],[Tech Start Date]]&lt;1/1/1990,"",IF(Main[[#This Row],[Class]]="C",WORKDAY(Main[[#This Row],[Tech Start Date]],9),IF(Main[[#This Row],[Class]]="B", WORKDAY(Main[[#This Row],[Tech Start Date]],6),IF(Main[[#This Row],[Class]]="A",WORKDAY(Main[[#This Row],[Tech Start Date]],2),""))))</f>
        <v/>
      </c>
      <c r="N1184" s="77" t="str">
        <f>IF(Main[[#This Row],[Tech Start Date]]&lt;1/1/1990,"",IF(Main[[#This Row],[Class]]="C",WORKDAY(Main[[#This Row],[Tech Start Date]],19),IF(Main[[#This Row],[Class]]="B", WORKDAY(Main[[#This Row],[Tech Start Date]],12),IF(Main[[#This Row],[Class]]="A",WORKDAY(Main[[#This Row],[Tech Start Date]],4),""))))</f>
        <v/>
      </c>
      <c r="O1184" s="77" t="str">
        <f>IF(Main[[#This Row],[Tech Start Date]]&lt;1/1/1990,"",IF(Main[[#This Row],[Class]]="C",WORKDAY(Main[[#This Row],[Tech Start Date]],23),IF(Main[[#This Row],[Class]]="B", WORKDAY(Main[[#This Row],[Tech Start Date]],15),IF(Main[[#This Row],[Class]]="A",WORKDAY(Main[[#This Row],[Tech Start Date]],5),""))))</f>
        <v/>
      </c>
      <c r="P1184" s="77" t="str">
        <f>IF(Main[[#This Row],[Tech Start Date]]&lt;1/1/1990,"",IF(Main[[#This Row],[Class]]="C",WORKDAY(Main[[#This Row],[Tech Start Date]],28),IF(Main[[#This Row],[Class]]="B", WORKDAY(Main[[#This Row],[Tech Start Date]],19),IF(Main[[#This Row],[Class]]="A",WORKDAY(Main[[#This Row],[Tech Start Date]],9),""))))</f>
        <v/>
      </c>
      <c r="Q1184" s="74">
        <v>40968</v>
      </c>
      <c r="R1184" s="74"/>
      <c r="S1184" s="72" t="s">
        <v>6</v>
      </c>
      <c r="T1184" s="80" t="s">
        <v>4</v>
      </c>
      <c r="U1184" s="72" t="s">
        <v>7</v>
      </c>
      <c r="V1184" s="72" t="s">
        <v>1935</v>
      </c>
      <c r="W1184" s="72" t="s">
        <v>4</v>
      </c>
      <c r="X1184" s="72" t="s">
        <v>2906</v>
      </c>
      <c r="Y1184" s="72" t="s">
        <v>3025</v>
      </c>
      <c r="Z1184" s="72" t="s">
        <v>4</v>
      </c>
      <c r="AA1184" s="147" t="s">
        <v>2906</v>
      </c>
    </row>
    <row r="1185" spans="1:27" ht="18.600000000000001" customHeight="1">
      <c r="A1185" s="140" t="str">
        <f>IF(priority(Main[[#This Row],[Comments]])&lt;&gt;0, priority(Main[[#This Row],[Comments]]),"")</f>
        <v/>
      </c>
      <c r="B1185" s="90" t="s">
        <v>2868</v>
      </c>
      <c r="C1185" s="72" t="s">
        <v>4</v>
      </c>
      <c r="D1185" s="73" t="s">
        <v>2869</v>
      </c>
      <c r="E1185" s="74">
        <v>40913.314733796295</v>
      </c>
      <c r="F1185" s="74"/>
      <c r="G1185" s="75" t="str">
        <f>IF(stdProdLT(Main[[#This Row],[Comments]])=0.1,"N/A",IF(stdProdLT(Main[[#This Row],[Comments]])=0,"",stdProdLT(Main[[#This Row],[Comments]])))</f>
        <v/>
      </c>
      <c r="H1185" s="76" t="str">
        <f>IF(AND(Main[[#This Row],[In Stock Date]]&lt;&gt;"",Main[[#This Row],[Revised Due Date]]&lt;&gt;""),Main[[#This Row],[In Stock Date]]-Main[[#This Row],[Revised Due Date]],"")</f>
        <v/>
      </c>
      <c r="I1185" s="72" t="s">
        <v>69</v>
      </c>
      <c r="J1185" s="72" t="s">
        <v>70</v>
      </c>
      <c r="K1185" s="72" t="s">
        <v>1941</v>
      </c>
      <c r="L1185" s="74"/>
      <c r="M1185" s="77" t="str">
        <f>IF(Main[[#This Row],[Tech Start Date]]&lt;1/1/1990,"",IF(Main[[#This Row],[Class]]="C",WORKDAY(Main[[#This Row],[Tech Start Date]],9),IF(Main[[#This Row],[Class]]="B", WORKDAY(Main[[#This Row],[Tech Start Date]],6),IF(Main[[#This Row],[Class]]="A",WORKDAY(Main[[#This Row],[Tech Start Date]],2),""))))</f>
        <v/>
      </c>
      <c r="N1185" s="77" t="str">
        <f>IF(Main[[#This Row],[Tech Start Date]]&lt;1/1/1990,"",IF(Main[[#This Row],[Class]]="C",WORKDAY(Main[[#This Row],[Tech Start Date]],19),IF(Main[[#This Row],[Class]]="B", WORKDAY(Main[[#This Row],[Tech Start Date]],12),IF(Main[[#This Row],[Class]]="A",WORKDAY(Main[[#This Row],[Tech Start Date]],4),""))))</f>
        <v/>
      </c>
      <c r="O1185" s="77" t="str">
        <f>IF(Main[[#This Row],[Tech Start Date]]&lt;1/1/1990,"",IF(Main[[#This Row],[Class]]="C",WORKDAY(Main[[#This Row],[Tech Start Date]],23),IF(Main[[#This Row],[Class]]="B", WORKDAY(Main[[#This Row],[Tech Start Date]],15),IF(Main[[#This Row],[Class]]="A",WORKDAY(Main[[#This Row],[Tech Start Date]],5),""))))</f>
        <v/>
      </c>
      <c r="P1185" s="77" t="str">
        <f>IF(Main[[#This Row],[Tech Start Date]]&lt;1/1/1990,"",IF(Main[[#This Row],[Class]]="C",WORKDAY(Main[[#This Row],[Tech Start Date]],28),IF(Main[[#This Row],[Class]]="B", WORKDAY(Main[[#This Row],[Tech Start Date]],19),IF(Main[[#This Row],[Class]]="A",WORKDAY(Main[[#This Row],[Tech Start Date]],9),""))))</f>
        <v/>
      </c>
      <c r="Q1185" s="74">
        <v>40945</v>
      </c>
      <c r="R1185" s="74"/>
      <c r="S1185" s="72" t="s">
        <v>6</v>
      </c>
      <c r="T1185" s="80" t="s">
        <v>4</v>
      </c>
      <c r="U1185" s="72" t="s">
        <v>29</v>
      </c>
      <c r="V1185" s="72" t="s">
        <v>1935</v>
      </c>
      <c r="W1185" s="72" t="s">
        <v>1936</v>
      </c>
      <c r="X1185" s="72" t="s">
        <v>2906</v>
      </c>
      <c r="Y1185" s="72" t="s">
        <v>3025</v>
      </c>
      <c r="Z1185" s="72" t="s">
        <v>30</v>
      </c>
      <c r="AA1185" s="147" t="s">
        <v>2906</v>
      </c>
    </row>
    <row r="1186" spans="1:27" ht="18.600000000000001" customHeight="1">
      <c r="A1186" s="140" t="str">
        <f>IF(priority(Main[[#This Row],[Comments]])&lt;&gt;0, priority(Main[[#This Row],[Comments]]),"")</f>
        <v/>
      </c>
      <c r="B1186" s="90" t="s">
        <v>1888</v>
      </c>
      <c r="C1186" s="72" t="s">
        <v>4</v>
      </c>
      <c r="D1186" s="73" t="s">
        <v>3402</v>
      </c>
      <c r="E1186" s="74">
        <v>40352.443437499998</v>
      </c>
      <c r="F1186" s="74"/>
      <c r="G1186" s="75" t="str">
        <f>IF(stdProdLT(Main[[#This Row],[Comments]])=0.1,"N/A",IF(stdProdLT(Main[[#This Row],[Comments]])=0,"",stdProdLT(Main[[#This Row],[Comments]])))</f>
        <v/>
      </c>
      <c r="H1186" s="76" t="str">
        <f>IF(AND(Main[[#This Row],[In Stock Date]]&lt;&gt;"",Main[[#This Row],[Revised Due Date]]&lt;&gt;""),Main[[#This Row],[In Stock Date]]-Main[[#This Row],[Revised Due Date]],"")</f>
        <v/>
      </c>
      <c r="I1186" s="72" t="s">
        <v>718</v>
      </c>
      <c r="J1186" s="72" t="s">
        <v>28</v>
      </c>
      <c r="K1186" s="72" t="s">
        <v>1944</v>
      </c>
      <c r="L1186" s="74"/>
      <c r="M1186" s="77" t="str">
        <f>IF(Main[[#This Row],[Tech Start Date]]&lt;1/1/1990,"",IF(Main[[#This Row],[Class]]="C",WORKDAY(Main[[#This Row],[Tech Start Date]],9),IF(Main[[#This Row],[Class]]="B", WORKDAY(Main[[#This Row],[Tech Start Date]],6),IF(Main[[#This Row],[Class]]="A",WORKDAY(Main[[#This Row],[Tech Start Date]],2),""))))</f>
        <v/>
      </c>
      <c r="N1186" s="77" t="str">
        <f>IF(Main[[#This Row],[Tech Start Date]]&lt;1/1/1990,"",IF(Main[[#This Row],[Class]]="C",WORKDAY(Main[[#This Row],[Tech Start Date]],19),IF(Main[[#This Row],[Class]]="B", WORKDAY(Main[[#This Row],[Tech Start Date]],12),IF(Main[[#This Row],[Class]]="A",WORKDAY(Main[[#This Row],[Tech Start Date]],4),""))))</f>
        <v/>
      </c>
      <c r="O1186" s="77" t="str">
        <f>IF(Main[[#This Row],[Tech Start Date]]&lt;1/1/1990,"",IF(Main[[#This Row],[Class]]="C",WORKDAY(Main[[#This Row],[Tech Start Date]],23),IF(Main[[#This Row],[Class]]="B", WORKDAY(Main[[#This Row],[Tech Start Date]],15),IF(Main[[#This Row],[Class]]="A",WORKDAY(Main[[#This Row],[Tech Start Date]],5),""))))</f>
        <v/>
      </c>
      <c r="P1186" s="77" t="str">
        <f>IF(Main[[#This Row],[Tech Start Date]]&lt;1/1/1990,"",IF(Main[[#This Row],[Class]]="C",WORKDAY(Main[[#This Row],[Tech Start Date]],28),IF(Main[[#This Row],[Class]]="B", WORKDAY(Main[[#This Row],[Tech Start Date]],19),IF(Main[[#This Row],[Class]]="A",WORKDAY(Main[[#This Row],[Tech Start Date]],9),""))))</f>
        <v/>
      </c>
      <c r="Q1186" s="74">
        <v>40633</v>
      </c>
      <c r="R1186" s="74">
        <v>41060</v>
      </c>
      <c r="S1186" s="72" t="s">
        <v>17</v>
      </c>
      <c r="T1186" s="80" t="s">
        <v>2503</v>
      </c>
      <c r="U1186" s="72" t="s">
        <v>29</v>
      </c>
      <c r="V1186" s="72" t="s">
        <v>1932</v>
      </c>
      <c r="W1186" s="72" t="s">
        <v>1937</v>
      </c>
      <c r="X1186" s="72" t="s">
        <v>129</v>
      </c>
      <c r="Y1186" s="72" t="s">
        <v>3020</v>
      </c>
      <c r="Z1186" s="72" t="s">
        <v>129</v>
      </c>
      <c r="AA1186" s="147" t="s">
        <v>129</v>
      </c>
    </row>
    <row r="1187" spans="1:27" ht="18.600000000000001" customHeight="1">
      <c r="A1187" s="140" t="str">
        <f>IF(priority(Main[[#This Row],[Comments]])&lt;&gt;0, priority(Main[[#This Row],[Comments]]),"")</f>
        <v/>
      </c>
      <c r="B1187" s="90" t="s">
        <v>2843</v>
      </c>
      <c r="C1187" s="72" t="s">
        <v>4</v>
      </c>
      <c r="D1187" s="73" t="s">
        <v>2844</v>
      </c>
      <c r="E1187" s="74">
        <v>40914.408773148149</v>
      </c>
      <c r="F1187" s="74"/>
      <c r="G1187" s="75" t="str">
        <f>IF(stdProdLT(Main[[#This Row],[Comments]])=0.1,"N/A",IF(stdProdLT(Main[[#This Row],[Comments]])=0,"",stdProdLT(Main[[#This Row],[Comments]])))</f>
        <v/>
      </c>
      <c r="H1187" s="76" t="str">
        <f>IF(AND(Main[[#This Row],[In Stock Date]]&lt;&gt;"",Main[[#This Row],[Revised Due Date]]&lt;&gt;""),Main[[#This Row],[In Stock Date]]-Main[[#This Row],[Revised Due Date]],"")</f>
        <v/>
      </c>
      <c r="I1187" s="72" t="s">
        <v>4</v>
      </c>
      <c r="J1187" s="72" t="s">
        <v>4</v>
      </c>
      <c r="K1187" s="72" t="s">
        <v>4</v>
      </c>
      <c r="L1187" s="74"/>
      <c r="M1187" s="77" t="str">
        <f>IF(Main[[#This Row],[Tech Start Date]]&lt;1/1/1990,"",IF(Main[[#This Row],[Class]]="C",WORKDAY(Main[[#This Row],[Tech Start Date]],9),IF(Main[[#This Row],[Class]]="B", WORKDAY(Main[[#This Row],[Tech Start Date]],6),IF(Main[[#This Row],[Class]]="A",WORKDAY(Main[[#This Row],[Tech Start Date]],2),""))))</f>
        <v/>
      </c>
      <c r="N1187" s="77" t="str">
        <f>IF(Main[[#This Row],[Tech Start Date]]&lt;1/1/1990,"",IF(Main[[#This Row],[Class]]="C",WORKDAY(Main[[#This Row],[Tech Start Date]],19),IF(Main[[#This Row],[Class]]="B", WORKDAY(Main[[#This Row],[Tech Start Date]],12),IF(Main[[#This Row],[Class]]="A",WORKDAY(Main[[#This Row],[Tech Start Date]],4),""))))</f>
        <v/>
      </c>
      <c r="O1187" s="77" t="str">
        <f>IF(Main[[#This Row],[Tech Start Date]]&lt;1/1/1990,"",IF(Main[[#This Row],[Class]]="C",WORKDAY(Main[[#This Row],[Tech Start Date]],23),IF(Main[[#This Row],[Class]]="B", WORKDAY(Main[[#This Row],[Tech Start Date]],15),IF(Main[[#This Row],[Class]]="A",WORKDAY(Main[[#This Row],[Tech Start Date]],5),""))))</f>
        <v/>
      </c>
      <c r="P1187" s="77" t="str">
        <f>IF(Main[[#This Row],[Tech Start Date]]&lt;1/1/1990,"",IF(Main[[#This Row],[Class]]="C",WORKDAY(Main[[#This Row],[Tech Start Date]],28),IF(Main[[#This Row],[Class]]="B", WORKDAY(Main[[#This Row],[Tech Start Date]],19),IF(Main[[#This Row],[Class]]="A",WORKDAY(Main[[#This Row],[Tech Start Date]],9),""))))</f>
        <v/>
      </c>
      <c r="Q1187" s="74"/>
      <c r="R1187" s="74"/>
      <c r="S1187" s="72" t="s">
        <v>6</v>
      </c>
      <c r="T1187" s="80" t="s">
        <v>4</v>
      </c>
      <c r="U1187" s="72" t="s">
        <v>29</v>
      </c>
      <c r="V1187" s="72" t="s">
        <v>1932</v>
      </c>
      <c r="W1187" s="72" t="s">
        <v>1936</v>
      </c>
      <c r="X1187" s="72" t="s">
        <v>949</v>
      </c>
      <c r="Y1187" s="72" t="s">
        <v>3071</v>
      </c>
      <c r="Z1187" s="72" t="s">
        <v>4</v>
      </c>
      <c r="AA1187" s="147" t="s">
        <v>949</v>
      </c>
    </row>
    <row r="1188" spans="1:27" ht="18.600000000000001" customHeight="1">
      <c r="A1188" s="140" t="str">
        <f>IF(priority(Main[[#This Row],[Comments]])&lt;&gt;0, priority(Main[[#This Row],[Comments]]),"")</f>
        <v/>
      </c>
      <c r="B1188" s="90" t="s">
        <v>3531</v>
      </c>
      <c r="C1188" s="72" t="s">
        <v>4</v>
      </c>
      <c r="D1188" s="73" t="s">
        <v>3532</v>
      </c>
      <c r="E1188" s="74"/>
      <c r="F1188" s="74"/>
      <c r="G1188" s="75" t="str">
        <f>IF(stdProdLT(Main[[#This Row],[Comments]])=0.1,"N/A",IF(stdProdLT(Main[[#This Row],[Comments]])=0,"",stdProdLT(Main[[#This Row],[Comments]])))</f>
        <v/>
      </c>
      <c r="H1188" s="76" t="str">
        <f>IF(AND(Main[[#This Row],[In Stock Date]]&lt;&gt;"",Main[[#This Row],[Revised Due Date]]&lt;&gt;""),Main[[#This Row],[In Stock Date]]-Main[[#This Row],[Revised Due Date]],"")</f>
        <v/>
      </c>
      <c r="I1188" s="72" t="s">
        <v>4</v>
      </c>
      <c r="J1188" s="72" t="s">
        <v>4</v>
      </c>
      <c r="K1188" s="72" t="s">
        <v>4</v>
      </c>
      <c r="L1188" s="74"/>
      <c r="M1188" s="77" t="str">
        <f>IF(Main[[#This Row],[Tech Start Date]]&lt;1/1/1990,"",IF(Main[[#This Row],[Class]]="C",WORKDAY(Main[[#This Row],[Tech Start Date]],9),IF(Main[[#This Row],[Class]]="B", WORKDAY(Main[[#This Row],[Tech Start Date]],6),IF(Main[[#This Row],[Class]]="A",WORKDAY(Main[[#This Row],[Tech Start Date]],2),""))))</f>
        <v/>
      </c>
      <c r="N1188" s="77" t="str">
        <f>IF(Main[[#This Row],[Tech Start Date]]&lt;1/1/1990,"",IF(Main[[#This Row],[Class]]="C",WORKDAY(Main[[#This Row],[Tech Start Date]],19),IF(Main[[#This Row],[Class]]="B", WORKDAY(Main[[#This Row],[Tech Start Date]],12),IF(Main[[#This Row],[Class]]="A",WORKDAY(Main[[#This Row],[Tech Start Date]],4),""))))</f>
        <v/>
      </c>
      <c r="O1188" s="77" t="str">
        <f>IF(Main[[#This Row],[Tech Start Date]]&lt;1/1/1990,"",IF(Main[[#This Row],[Class]]="C",WORKDAY(Main[[#This Row],[Tech Start Date]],23),IF(Main[[#This Row],[Class]]="B", WORKDAY(Main[[#This Row],[Tech Start Date]],15),IF(Main[[#This Row],[Class]]="A",WORKDAY(Main[[#This Row],[Tech Start Date]],5),""))))</f>
        <v/>
      </c>
      <c r="P1188" s="77" t="str">
        <f>IF(Main[[#This Row],[Tech Start Date]]&lt;1/1/1990,"",IF(Main[[#This Row],[Class]]="C",WORKDAY(Main[[#This Row],[Tech Start Date]],28),IF(Main[[#This Row],[Class]]="B", WORKDAY(Main[[#This Row],[Tech Start Date]],19),IF(Main[[#This Row],[Class]]="A",WORKDAY(Main[[#This Row],[Tech Start Date]],9),""))))</f>
        <v/>
      </c>
      <c r="Q1188" s="74"/>
      <c r="R1188" s="74"/>
      <c r="S1188" s="72" t="s">
        <v>11</v>
      </c>
      <c r="T1188" s="80" t="s">
        <v>4</v>
      </c>
      <c r="U1188" s="72" t="s">
        <v>14</v>
      </c>
      <c r="V1188" s="72" t="s">
        <v>1947</v>
      </c>
      <c r="W1188" s="72" t="s">
        <v>1936</v>
      </c>
      <c r="X1188" s="72" t="s">
        <v>933</v>
      </c>
      <c r="Y1188" s="72" t="s">
        <v>3069</v>
      </c>
      <c r="Z1188" s="72" t="s">
        <v>4</v>
      </c>
      <c r="AA1188" s="147" t="s">
        <v>933</v>
      </c>
    </row>
    <row r="1189" spans="1:27" ht="18.600000000000001" customHeight="1">
      <c r="A1189" s="140" t="str">
        <f>IF(priority(Main[[#This Row],[Comments]])&lt;&gt;0, priority(Main[[#This Row],[Comments]]),"")</f>
        <v/>
      </c>
      <c r="B1189" s="90" t="s">
        <v>3533</v>
      </c>
      <c r="C1189" s="72" t="s">
        <v>47</v>
      </c>
      <c r="D1189" s="73" t="s">
        <v>3534</v>
      </c>
      <c r="E1189" s="74"/>
      <c r="F1189" s="74"/>
      <c r="G1189" s="75" t="str">
        <f>IF(stdProdLT(Main[[#This Row],[Comments]])=0.1,"N/A",IF(stdProdLT(Main[[#This Row],[Comments]])=0,"",stdProdLT(Main[[#This Row],[Comments]])))</f>
        <v/>
      </c>
      <c r="H1189" s="76" t="str">
        <f>IF(AND(Main[[#This Row],[In Stock Date]]&lt;&gt;"",Main[[#This Row],[Revised Due Date]]&lt;&gt;""),Main[[#This Row],[In Stock Date]]-Main[[#This Row],[Revised Due Date]],"")</f>
        <v/>
      </c>
      <c r="I1189" s="72" t="s">
        <v>4</v>
      </c>
      <c r="J1189" s="72" t="s">
        <v>4</v>
      </c>
      <c r="K1189" s="72" t="s">
        <v>4</v>
      </c>
      <c r="L1189" s="74"/>
      <c r="M1189" s="77" t="str">
        <f>IF(Main[[#This Row],[Tech Start Date]]&lt;1/1/1990,"",IF(Main[[#This Row],[Class]]="C",WORKDAY(Main[[#This Row],[Tech Start Date]],9),IF(Main[[#This Row],[Class]]="B", WORKDAY(Main[[#This Row],[Tech Start Date]],6),IF(Main[[#This Row],[Class]]="A",WORKDAY(Main[[#This Row],[Tech Start Date]],2),""))))</f>
        <v/>
      </c>
      <c r="N1189" s="77" t="str">
        <f>IF(Main[[#This Row],[Tech Start Date]]&lt;1/1/1990,"",IF(Main[[#This Row],[Class]]="C",WORKDAY(Main[[#This Row],[Tech Start Date]],19),IF(Main[[#This Row],[Class]]="B", WORKDAY(Main[[#This Row],[Tech Start Date]],12),IF(Main[[#This Row],[Class]]="A",WORKDAY(Main[[#This Row],[Tech Start Date]],4),""))))</f>
        <v/>
      </c>
      <c r="O1189" s="77" t="str">
        <f>IF(Main[[#This Row],[Tech Start Date]]&lt;1/1/1990,"",IF(Main[[#This Row],[Class]]="C",WORKDAY(Main[[#This Row],[Tech Start Date]],23),IF(Main[[#This Row],[Class]]="B", WORKDAY(Main[[#This Row],[Tech Start Date]],15),IF(Main[[#This Row],[Class]]="A",WORKDAY(Main[[#This Row],[Tech Start Date]],5),""))))</f>
        <v/>
      </c>
      <c r="P1189" s="77" t="str">
        <f>IF(Main[[#This Row],[Tech Start Date]]&lt;1/1/1990,"",IF(Main[[#This Row],[Class]]="C",WORKDAY(Main[[#This Row],[Tech Start Date]],28),IF(Main[[#This Row],[Class]]="B", WORKDAY(Main[[#This Row],[Tech Start Date]],19),IF(Main[[#This Row],[Class]]="A",WORKDAY(Main[[#This Row],[Tech Start Date]],9),""))))</f>
        <v/>
      </c>
      <c r="Q1189" s="74">
        <v>40964</v>
      </c>
      <c r="R1189" s="74"/>
      <c r="S1189" s="72" t="s">
        <v>6</v>
      </c>
      <c r="T1189" s="80" t="s">
        <v>4</v>
      </c>
      <c r="U1189" s="72" t="s">
        <v>12</v>
      </c>
      <c r="V1189" s="72" t="s">
        <v>2312</v>
      </c>
      <c r="W1189" s="72" t="s">
        <v>4</v>
      </c>
      <c r="X1189" s="72" t="s">
        <v>2949</v>
      </c>
      <c r="Y1189" s="72" t="s">
        <v>4</v>
      </c>
      <c r="Z1189" s="72" t="s">
        <v>4</v>
      </c>
      <c r="AA1189" s="147" t="s">
        <v>2949</v>
      </c>
    </row>
    <row r="1190" spans="1:27" ht="18.600000000000001" customHeight="1">
      <c r="A1190" s="140" t="str">
        <f>IF(priority(Main[[#This Row],[Comments]])&lt;&gt;0, priority(Main[[#This Row],[Comments]]),"")</f>
        <v/>
      </c>
      <c r="B1190" s="90" t="s">
        <v>3403</v>
      </c>
      <c r="C1190" s="72" t="s">
        <v>3404</v>
      </c>
      <c r="D1190" s="73" t="s">
        <v>3405</v>
      </c>
      <c r="E1190" s="74"/>
      <c r="F1190" s="74">
        <v>41117</v>
      </c>
      <c r="G1190" s="75" t="str">
        <f>IF(stdProdLT(Main[[#This Row],[Comments]])=0.1,"N/A",IF(stdProdLT(Main[[#This Row],[Comments]])=0,"",stdProdLT(Main[[#This Row],[Comments]])))</f>
        <v/>
      </c>
      <c r="H1190" s="76" t="str">
        <f>IF(AND(Main[[#This Row],[In Stock Date]]&lt;&gt;"",Main[[#This Row],[Revised Due Date]]&lt;&gt;""),Main[[#This Row],[In Stock Date]]-Main[[#This Row],[Revised Due Date]],"")</f>
        <v/>
      </c>
      <c r="I1190" s="72" t="s">
        <v>4</v>
      </c>
      <c r="J1190" s="72" t="s">
        <v>4</v>
      </c>
      <c r="K1190" s="81" t="s">
        <v>4</v>
      </c>
      <c r="L1190" s="74"/>
      <c r="M1190" s="77" t="str">
        <f>IF(Main[[#This Row],[Tech Start Date]]&lt;1/1/1990,"",IF(Main[[#This Row],[Class]]="C",WORKDAY(Main[[#This Row],[Tech Start Date]],9),IF(Main[[#This Row],[Class]]="B", WORKDAY(Main[[#This Row],[Tech Start Date]],6),IF(Main[[#This Row],[Class]]="A",WORKDAY(Main[[#This Row],[Tech Start Date]],2),""))))</f>
        <v/>
      </c>
      <c r="N1190" s="77" t="str">
        <f>IF(Main[[#This Row],[Tech Start Date]]&lt;1/1/1990,"",IF(Main[[#This Row],[Class]]="C",WORKDAY(Main[[#This Row],[Tech Start Date]],19),IF(Main[[#This Row],[Class]]="B", WORKDAY(Main[[#This Row],[Tech Start Date]],12),IF(Main[[#This Row],[Class]]="A",WORKDAY(Main[[#This Row],[Tech Start Date]],4),""))))</f>
        <v/>
      </c>
      <c r="O1190" s="77" t="str">
        <f>IF(Main[[#This Row],[Tech Start Date]]&lt;1/1/1990,"",IF(Main[[#This Row],[Class]]="C",WORKDAY(Main[[#This Row],[Tech Start Date]],23),IF(Main[[#This Row],[Class]]="B", WORKDAY(Main[[#This Row],[Tech Start Date]],15),IF(Main[[#This Row],[Class]]="A",WORKDAY(Main[[#This Row],[Tech Start Date]],5),""))))</f>
        <v/>
      </c>
      <c r="P1190" s="77" t="str">
        <f>IF(Main[[#This Row],[Tech Start Date]]&lt;1/1/1990,"",IF(Main[[#This Row],[Class]]="C",WORKDAY(Main[[#This Row],[Tech Start Date]],28),IF(Main[[#This Row],[Class]]="B", WORKDAY(Main[[#This Row],[Tech Start Date]],19),IF(Main[[#This Row],[Class]]="A",WORKDAY(Main[[#This Row],[Tech Start Date]],9),""))))</f>
        <v/>
      </c>
      <c r="Q1190" s="74">
        <v>40935</v>
      </c>
      <c r="R1190" s="74"/>
      <c r="S1190" s="72" t="s">
        <v>11</v>
      </c>
      <c r="T1190" s="80" t="s">
        <v>3406</v>
      </c>
      <c r="U1190" s="72" t="s">
        <v>14</v>
      </c>
      <c r="V1190" s="72" t="s">
        <v>1932</v>
      </c>
      <c r="W1190" s="72" t="s">
        <v>1940</v>
      </c>
      <c r="X1190" s="72" t="s">
        <v>2990</v>
      </c>
      <c r="Y1190" s="72" t="s">
        <v>3183</v>
      </c>
      <c r="Z1190" s="72" t="s">
        <v>4</v>
      </c>
      <c r="AA1190" s="147" t="s">
        <v>2990</v>
      </c>
    </row>
    <row r="1191" spans="1:27" ht="18.600000000000001" customHeight="1">
      <c r="A1191" s="140" t="str">
        <f>IF(priority(Main[[#This Row],[Comments]])&lt;&gt;0, priority(Main[[#This Row],[Comments]]),"")</f>
        <v/>
      </c>
      <c r="B1191" s="90" t="s">
        <v>2781</v>
      </c>
      <c r="C1191" s="72" t="s">
        <v>4</v>
      </c>
      <c r="D1191" s="73" t="s">
        <v>2782</v>
      </c>
      <c r="E1191" s="74">
        <v>40884.635914351849</v>
      </c>
      <c r="F1191" s="74"/>
      <c r="G1191" s="75" t="str">
        <f>IF(stdProdLT(Main[[#This Row],[Comments]])=0.1,"N/A",IF(stdProdLT(Main[[#This Row],[Comments]])=0,"",stdProdLT(Main[[#This Row],[Comments]])))</f>
        <v/>
      </c>
      <c r="H1191" s="76" t="str">
        <f>IF(AND(Main[[#This Row],[In Stock Date]]&lt;&gt;"",Main[[#This Row],[Revised Due Date]]&lt;&gt;""),Main[[#This Row],[In Stock Date]]-Main[[#This Row],[Revised Due Date]],"")</f>
        <v/>
      </c>
      <c r="I1191" s="72" t="s">
        <v>4</v>
      </c>
      <c r="J1191" s="72" t="s">
        <v>4</v>
      </c>
      <c r="K1191" s="72" t="s">
        <v>4</v>
      </c>
      <c r="L1191" s="74"/>
      <c r="M1191" s="77" t="str">
        <f>IF(Main[[#This Row],[Tech Start Date]]&lt;1/1/1990,"",IF(Main[[#This Row],[Class]]="C",WORKDAY(Main[[#This Row],[Tech Start Date]],9),IF(Main[[#This Row],[Class]]="B", WORKDAY(Main[[#This Row],[Tech Start Date]],6),IF(Main[[#This Row],[Class]]="A",WORKDAY(Main[[#This Row],[Tech Start Date]],2),""))))</f>
        <v/>
      </c>
      <c r="N1191" s="77" t="str">
        <f>IF(Main[[#This Row],[Tech Start Date]]&lt;1/1/1990,"",IF(Main[[#This Row],[Class]]="C",WORKDAY(Main[[#This Row],[Tech Start Date]],19),IF(Main[[#This Row],[Class]]="B", WORKDAY(Main[[#This Row],[Tech Start Date]],12),IF(Main[[#This Row],[Class]]="A",WORKDAY(Main[[#This Row],[Tech Start Date]],4),""))))</f>
        <v/>
      </c>
      <c r="O1191" s="77" t="str">
        <f>IF(Main[[#This Row],[Tech Start Date]]&lt;1/1/1990,"",IF(Main[[#This Row],[Class]]="C",WORKDAY(Main[[#This Row],[Tech Start Date]],23),IF(Main[[#This Row],[Class]]="B", WORKDAY(Main[[#This Row],[Tech Start Date]],15),IF(Main[[#This Row],[Class]]="A",WORKDAY(Main[[#This Row],[Tech Start Date]],5),""))))</f>
        <v/>
      </c>
      <c r="P1191" s="77" t="str">
        <f>IF(Main[[#This Row],[Tech Start Date]]&lt;1/1/1990,"",IF(Main[[#This Row],[Class]]="C",WORKDAY(Main[[#This Row],[Tech Start Date]],28),IF(Main[[#This Row],[Class]]="B", WORKDAY(Main[[#This Row],[Tech Start Date]],19),IF(Main[[#This Row],[Class]]="A",WORKDAY(Main[[#This Row],[Tech Start Date]],9),""))))</f>
        <v/>
      </c>
      <c r="Q1191" s="74">
        <v>41000</v>
      </c>
      <c r="R1191" s="74"/>
      <c r="S1191" s="72" t="s">
        <v>11</v>
      </c>
      <c r="T1191" s="80" t="s">
        <v>4</v>
      </c>
      <c r="U1191" s="72" t="s">
        <v>7</v>
      </c>
      <c r="V1191" s="72" t="s">
        <v>1947</v>
      </c>
      <c r="W1191" s="72" t="s">
        <v>1937</v>
      </c>
      <c r="X1191" s="72" t="s">
        <v>933</v>
      </c>
      <c r="Y1191" s="72" t="s">
        <v>3159</v>
      </c>
      <c r="Z1191" s="72" t="s">
        <v>4</v>
      </c>
      <c r="AA1191" s="147" t="s">
        <v>918</v>
      </c>
    </row>
    <row r="1192" spans="1:27" ht="18.600000000000001" customHeight="1">
      <c r="A1192" s="140" t="str">
        <f>IF(priority(Main[[#This Row],[Comments]])&lt;&gt;0, priority(Main[[#This Row],[Comments]]),"")</f>
        <v/>
      </c>
      <c r="B1192" s="90" t="s">
        <v>2707</v>
      </c>
      <c r="C1192" s="72" t="s">
        <v>4</v>
      </c>
      <c r="D1192" s="73" t="s">
        <v>2708</v>
      </c>
      <c r="E1192" s="74"/>
      <c r="F1192" s="74"/>
      <c r="G1192" s="75" t="str">
        <f>IF(stdProdLT(Main[[#This Row],[Comments]])=0.1,"N/A",IF(stdProdLT(Main[[#This Row],[Comments]])=0,"",stdProdLT(Main[[#This Row],[Comments]])))</f>
        <v/>
      </c>
      <c r="H1192" s="76" t="str">
        <f>IF(AND(Main[[#This Row],[In Stock Date]]&lt;&gt;"",Main[[#This Row],[Revised Due Date]]&lt;&gt;""),Main[[#This Row],[In Stock Date]]-Main[[#This Row],[Revised Due Date]],"")</f>
        <v/>
      </c>
      <c r="I1192" s="72" t="s">
        <v>4</v>
      </c>
      <c r="J1192" s="72" t="s">
        <v>4</v>
      </c>
      <c r="K1192" s="72" t="s">
        <v>4</v>
      </c>
      <c r="L1192" s="74"/>
      <c r="M1192" s="77" t="str">
        <f>IF(Main[[#This Row],[Tech Start Date]]&lt;1/1/1990,"",IF(Main[[#This Row],[Class]]="C",WORKDAY(Main[[#This Row],[Tech Start Date]],9),IF(Main[[#This Row],[Class]]="B", WORKDAY(Main[[#This Row],[Tech Start Date]],6),IF(Main[[#This Row],[Class]]="A",WORKDAY(Main[[#This Row],[Tech Start Date]],2),""))))</f>
        <v/>
      </c>
      <c r="N1192" s="77" t="str">
        <f>IF(Main[[#This Row],[Tech Start Date]]&lt;1/1/1990,"",IF(Main[[#This Row],[Class]]="C",WORKDAY(Main[[#This Row],[Tech Start Date]],19),IF(Main[[#This Row],[Class]]="B", WORKDAY(Main[[#This Row],[Tech Start Date]],12),IF(Main[[#This Row],[Class]]="A",WORKDAY(Main[[#This Row],[Tech Start Date]],4),""))))</f>
        <v/>
      </c>
      <c r="O1192" s="77" t="str">
        <f>IF(Main[[#This Row],[Tech Start Date]]&lt;1/1/1990,"",IF(Main[[#This Row],[Class]]="C",WORKDAY(Main[[#This Row],[Tech Start Date]],23),IF(Main[[#This Row],[Class]]="B", WORKDAY(Main[[#This Row],[Tech Start Date]],15),IF(Main[[#This Row],[Class]]="A",WORKDAY(Main[[#This Row],[Tech Start Date]],5),""))))</f>
        <v/>
      </c>
      <c r="P1192" s="77" t="str">
        <f>IF(Main[[#This Row],[Tech Start Date]]&lt;1/1/1990,"",IF(Main[[#This Row],[Class]]="C",WORKDAY(Main[[#This Row],[Tech Start Date]],28),IF(Main[[#This Row],[Class]]="B", WORKDAY(Main[[#This Row],[Tech Start Date]],19),IF(Main[[#This Row],[Class]]="A",WORKDAY(Main[[#This Row],[Tech Start Date]],9),""))))</f>
        <v/>
      </c>
      <c r="Q1192" s="74">
        <v>40884</v>
      </c>
      <c r="R1192" s="74"/>
      <c r="S1192" s="72" t="s">
        <v>4</v>
      </c>
      <c r="T1192" s="80" t="s">
        <v>4</v>
      </c>
      <c r="U1192" s="72" t="s">
        <v>14</v>
      </c>
      <c r="V1192" s="72" t="s">
        <v>1942</v>
      </c>
      <c r="W1192" s="72" t="s">
        <v>1940</v>
      </c>
      <c r="X1192" s="72" t="s">
        <v>2941</v>
      </c>
      <c r="Y1192" s="72" t="s">
        <v>3085</v>
      </c>
      <c r="Z1192" s="72" t="s">
        <v>4</v>
      </c>
      <c r="AA1192" s="147" t="s">
        <v>2941</v>
      </c>
    </row>
    <row r="1193" spans="1:27" ht="18.600000000000001" customHeight="1">
      <c r="A1193" s="140" t="str">
        <f>IF(priority(Main[[#This Row],[Comments]])&lt;&gt;0, priority(Main[[#This Row],[Comments]]),"")</f>
        <v/>
      </c>
      <c r="B1193" s="90" t="s">
        <v>1858</v>
      </c>
      <c r="C1193" s="72" t="s">
        <v>4</v>
      </c>
      <c r="D1193" s="73" t="s">
        <v>907</v>
      </c>
      <c r="E1193" s="74">
        <v>40241.453090277777</v>
      </c>
      <c r="F1193" s="74"/>
      <c r="G1193" s="75" t="str">
        <f>IF(stdProdLT(Main[[#This Row],[Comments]])=0.1,"N/A",IF(stdProdLT(Main[[#This Row],[Comments]])=0,"",stdProdLT(Main[[#This Row],[Comments]])))</f>
        <v/>
      </c>
      <c r="H1193" s="76" t="str">
        <f>IF(AND(Main[[#This Row],[In Stock Date]]&lt;&gt;"",Main[[#This Row],[Revised Due Date]]&lt;&gt;""),Main[[#This Row],[In Stock Date]]-Main[[#This Row],[Revised Due Date]],"")</f>
        <v/>
      </c>
      <c r="I1193" s="72" t="s">
        <v>74</v>
      </c>
      <c r="J1193" s="72" t="s">
        <v>4</v>
      </c>
      <c r="K1193" s="72" t="s">
        <v>1944</v>
      </c>
      <c r="L1193" s="74"/>
      <c r="M1193" s="77" t="str">
        <f>IF(Main[[#This Row],[Tech Start Date]]&lt;1/1/1990,"",IF(Main[[#This Row],[Class]]="C",WORKDAY(Main[[#This Row],[Tech Start Date]],9),IF(Main[[#This Row],[Class]]="B", WORKDAY(Main[[#This Row],[Tech Start Date]],6),IF(Main[[#This Row],[Class]]="A",WORKDAY(Main[[#This Row],[Tech Start Date]],2),""))))</f>
        <v/>
      </c>
      <c r="N1193" s="77" t="str">
        <f>IF(Main[[#This Row],[Tech Start Date]]&lt;1/1/1990,"",IF(Main[[#This Row],[Class]]="C",WORKDAY(Main[[#This Row],[Tech Start Date]],19),IF(Main[[#This Row],[Class]]="B", WORKDAY(Main[[#This Row],[Tech Start Date]],12),IF(Main[[#This Row],[Class]]="A",WORKDAY(Main[[#This Row],[Tech Start Date]],4),""))))</f>
        <v/>
      </c>
      <c r="O1193" s="77" t="str">
        <f>IF(Main[[#This Row],[Tech Start Date]]&lt;1/1/1990,"",IF(Main[[#This Row],[Class]]="C",WORKDAY(Main[[#This Row],[Tech Start Date]],23),IF(Main[[#This Row],[Class]]="B", WORKDAY(Main[[#This Row],[Tech Start Date]],15),IF(Main[[#This Row],[Class]]="A",WORKDAY(Main[[#This Row],[Tech Start Date]],5),""))))</f>
        <v/>
      </c>
      <c r="P1193" s="77" t="str">
        <f>IF(Main[[#This Row],[Tech Start Date]]&lt;1/1/1990,"",IF(Main[[#This Row],[Class]]="C",WORKDAY(Main[[#This Row],[Tech Start Date]],28),IF(Main[[#This Row],[Class]]="B", WORKDAY(Main[[#This Row],[Tech Start Date]],19),IF(Main[[#This Row],[Class]]="A",WORKDAY(Main[[#This Row],[Tech Start Date]],9),""))))</f>
        <v/>
      </c>
      <c r="Q1193" s="74"/>
      <c r="R1193" s="74">
        <v>40967</v>
      </c>
      <c r="S1193" s="72" t="s">
        <v>17</v>
      </c>
      <c r="T1193" s="80" t="s">
        <v>4</v>
      </c>
      <c r="U1193" s="72" t="s">
        <v>29</v>
      </c>
      <c r="V1193" s="72" t="s">
        <v>1935</v>
      </c>
      <c r="W1193" s="72" t="s">
        <v>4</v>
      </c>
      <c r="X1193" s="72" t="s">
        <v>310</v>
      </c>
      <c r="Y1193" s="72" t="s">
        <v>3036</v>
      </c>
      <c r="Z1193" s="72" t="s">
        <v>420</v>
      </c>
      <c r="AA1193" s="147" t="s">
        <v>3622</v>
      </c>
    </row>
    <row r="1194" spans="1:27" ht="18.600000000000001" customHeight="1">
      <c r="A1194" s="140" t="str">
        <f>IF(priority(Main[[#This Row],[Comments]])&lt;&gt;0, priority(Main[[#This Row],[Comments]]),"")</f>
        <v/>
      </c>
      <c r="B1194" s="90" t="s">
        <v>2713</v>
      </c>
      <c r="C1194" s="72" t="s">
        <v>47</v>
      </c>
      <c r="D1194" s="73" t="s">
        <v>3523</v>
      </c>
      <c r="E1194" s="74">
        <v>40938.399201388886</v>
      </c>
      <c r="F1194" s="74"/>
      <c r="G1194" s="75" t="str">
        <f>IF(stdProdLT(Main[[#This Row],[Comments]])=0.1,"N/A",IF(stdProdLT(Main[[#This Row],[Comments]])=0,"",stdProdLT(Main[[#This Row],[Comments]])))</f>
        <v/>
      </c>
      <c r="H1194" s="76" t="str">
        <f>IF(AND(Main[[#This Row],[In Stock Date]]&lt;&gt;"",Main[[#This Row],[Revised Due Date]]&lt;&gt;""),Main[[#This Row],[In Stock Date]]-Main[[#This Row],[Revised Due Date]],"")</f>
        <v/>
      </c>
      <c r="I1194" s="72" t="s">
        <v>4</v>
      </c>
      <c r="J1194" s="72" t="s">
        <v>4</v>
      </c>
      <c r="K1194" s="81" t="s">
        <v>4</v>
      </c>
      <c r="L1194" s="74"/>
      <c r="M1194" s="77" t="str">
        <f>IF(Main[[#This Row],[Tech Start Date]]&lt;1/1/1990,"",IF(Main[[#This Row],[Class]]="C",WORKDAY(Main[[#This Row],[Tech Start Date]],9),IF(Main[[#This Row],[Class]]="B", WORKDAY(Main[[#This Row],[Tech Start Date]],6),IF(Main[[#This Row],[Class]]="A",WORKDAY(Main[[#This Row],[Tech Start Date]],2),""))))</f>
        <v/>
      </c>
      <c r="N1194" s="77" t="str">
        <f>IF(Main[[#This Row],[Tech Start Date]]&lt;1/1/1990,"",IF(Main[[#This Row],[Class]]="C",WORKDAY(Main[[#This Row],[Tech Start Date]],19),IF(Main[[#This Row],[Class]]="B", WORKDAY(Main[[#This Row],[Tech Start Date]],12),IF(Main[[#This Row],[Class]]="A",WORKDAY(Main[[#This Row],[Tech Start Date]],4),""))))</f>
        <v/>
      </c>
      <c r="O1194" s="77" t="str">
        <f>IF(Main[[#This Row],[Tech Start Date]]&lt;1/1/1990,"",IF(Main[[#This Row],[Class]]="C",WORKDAY(Main[[#This Row],[Tech Start Date]],23),IF(Main[[#This Row],[Class]]="B", WORKDAY(Main[[#This Row],[Tech Start Date]],15),IF(Main[[#This Row],[Class]]="A",WORKDAY(Main[[#This Row],[Tech Start Date]],5),""))))</f>
        <v/>
      </c>
      <c r="P1194" s="77" t="str">
        <f>IF(Main[[#This Row],[Tech Start Date]]&lt;1/1/1990,"",IF(Main[[#This Row],[Class]]="C",WORKDAY(Main[[#This Row],[Tech Start Date]],28),IF(Main[[#This Row],[Class]]="B", WORKDAY(Main[[#This Row],[Tech Start Date]],19),IF(Main[[#This Row],[Class]]="A",WORKDAY(Main[[#This Row],[Tech Start Date]],9),""))))</f>
        <v/>
      </c>
      <c r="Q1194" s="74">
        <v>40913</v>
      </c>
      <c r="R1194" s="74"/>
      <c r="S1194" s="72" t="s">
        <v>6</v>
      </c>
      <c r="T1194" s="80" t="s">
        <v>4</v>
      </c>
      <c r="U1194" s="72" t="s">
        <v>7</v>
      </c>
      <c r="V1194" s="72" t="s">
        <v>2312</v>
      </c>
      <c r="W1194" s="72" t="s">
        <v>4</v>
      </c>
      <c r="X1194" s="72" t="s">
        <v>2949</v>
      </c>
      <c r="Y1194" s="72" t="s">
        <v>3097</v>
      </c>
      <c r="Z1194" s="72" t="s">
        <v>4</v>
      </c>
      <c r="AA1194" s="147" t="s">
        <v>2949</v>
      </c>
    </row>
    <row r="1195" spans="1:27" ht="18.600000000000001" customHeight="1">
      <c r="A1195" s="140" t="str">
        <f>IF(priority(Main[[#This Row],[Comments]])&lt;&gt;0, priority(Main[[#This Row],[Comments]]),"")</f>
        <v/>
      </c>
      <c r="B1195" s="90" t="s">
        <v>3524</v>
      </c>
      <c r="C1195" s="72" t="s">
        <v>4</v>
      </c>
      <c r="D1195" s="73" t="s">
        <v>3525</v>
      </c>
      <c r="E1195" s="74">
        <v>40938.460613425923</v>
      </c>
      <c r="F1195" s="74"/>
      <c r="G1195" s="75" t="str">
        <f>IF(stdProdLT(Main[[#This Row],[Comments]])=0.1,"N/A",IF(stdProdLT(Main[[#This Row],[Comments]])=0,"",stdProdLT(Main[[#This Row],[Comments]])))</f>
        <v/>
      </c>
      <c r="H1195" s="76" t="str">
        <f>IF(AND(Main[[#This Row],[In Stock Date]]&lt;&gt;"",Main[[#This Row],[Revised Due Date]]&lt;&gt;""),Main[[#This Row],[In Stock Date]]-Main[[#This Row],[Revised Due Date]],"")</f>
        <v/>
      </c>
      <c r="I1195" s="72" t="s">
        <v>4</v>
      </c>
      <c r="J1195" s="72" t="s">
        <v>4</v>
      </c>
      <c r="K1195" s="72" t="s">
        <v>4</v>
      </c>
      <c r="L1195" s="74"/>
      <c r="M1195" s="77" t="str">
        <f>IF(Main[[#This Row],[Tech Start Date]]&lt;1/1/1990,"",IF(Main[[#This Row],[Class]]="C",WORKDAY(Main[[#This Row],[Tech Start Date]],9),IF(Main[[#This Row],[Class]]="B", WORKDAY(Main[[#This Row],[Tech Start Date]],6),IF(Main[[#This Row],[Class]]="A",WORKDAY(Main[[#This Row],[Tech Start Date]],2),""))))</f>
        <v/>
      </c>
      <c r="N1195" s="77" t="str">
        <f>IF(Main[[#This Row],[Tech Start Date]]&lt;1/1/1990,"",IF(Main[[#This Row],[Class]]="C",WORKDAY(Main[[#This Row],[Tech Start Date]],19),IF(Main[[#This Row],[Class]]="B", WORKDAY(Main[[#This Row],[Tech Start Date]],12),IF(Main[[#This Row],[Class]]="A",WORKDAY(Main[[#This Row],[Tech Start Date]],4),""))))</f>
        <v/>
      </c>
      <c r="O1195" s="77" t="str">
        <f>IF(Main[[#This Row],[Tech Start Date]]&lt;1/1/1990,"",IF(Main[[#This Row],[Class]]="C",WORKDAY(Main[[#This Row],[Tech Start Date]],23),IF(Main[[#This Row],[Class]]="B", WORKDAY(Main[[#This Row],[Tech Start Date]],15),IF(Main[[#This Row],[Class]]="A",WORKDAY(Main[[#This Row],[Tech Start Date]],5),""))))</f>
        <v/>
      </c>
      <c r="P1195" s="77" t="str">
        <f>IF(Main[[#This Row],[Tech Start Date]]&lt;1/1/1990,"",IF(Main[[#This Row],[Class]]="C",WORKDAY(Main[[#This Row],[Tech Start Date]],28),IF(Main[[#This Row],[Class]]="B", WORKDAY(Main[[#This Row],[Tech Start Date]],19),IF(Main[[#This Row],[Class]]="A",WORKDAY(Main[[#This Row],[Tech Start Date]],9),""))))</f>
        <v/>
      </c>
      <c r="Q1195" s="74"/>
      <c r="R1195" s="74"/>
      <c r="S1195" s="72" t="s">
        <v>6</v>
      </c>
      <c r="T1195" s="80" t="s">
        <v>4</v>
      </c>
      <c r="U1195" s="72" t="s">
        <v>7</v>
      </c>
      <c r="V1195" s="72" t="s">
        <v>1935</v>
      </c>
      <c r="W1195" s="72" t="s">
        <v>4</v>
      </c>
      <c r="X1195" s="72" t="s">
        <v>2925</v>
      </c>
      <c r="Y1195" s="72" t="s">
        <v>3058</v>
      </c>
      <c r="Z1195" s="72" t="s">
        <v>4</v>
      </c>
      <c r="AA1195" s="147" t="s">
        <v>2925</v>
      </c>
    </row>
    <row r="1196" spans="1:27" ht="18.600000000000001" customHeight="1">
      <c r="A1196" s="140" t="str">
        <f>IF(priority(Main[[#This Row],[Comments]])&lt;&gt;0, priority(Main[[#This Row],[Comments]]),"")</f>
        <v/>
      </c>
      <c r="B1196" s="90" t="s">
        <v>3526</v>
      </c>
      <c r="C1196" s="72" t="s">
        <v>149</v>
      </c>
      <c r="D1196" s="73" t="s">
        <v>3527</v>
      </c>
      <c r="E1196" s="74">
        <v>40937.926724537036</v>
      </c>
      <c r="F1196" s="74">
        <v>41045</v>
      </c>
      <c r="G1196" s="75" t="str">
        <f>IF(stdProdLT(Main[[#This Row],[Comments]])=0.1,"N/A",IF(stdProdLT(Main[[#This Row],[Comments]])=0,"",stdProdLT(Main[[#This Row],[Comments]])))</f>
        <v/>
      </c>
      <c r="H1196" s="76" t="str">
        <f>IF(AND(Main[[#This Row],[In Stock Date]]&lt;&gt;"",Main[[#This Row],[Revised Due Date]]&lt;&gt;""),Main[[#This Row],[In Stock Date]]-Main[[#This Row],[Revised Due Date]],"")</f>
        <v/>
      </c>
      <c r="I1196" s="72" t="s">
        <v>4</v>
      </c>
      <c r="J1196" s="72" t="s">
        <v>4</v>
      </c>
      <c r="K1196" s="72" t="s">
        <v>4</v>
      </c>
      <c r="L1196" s="74"/>
      <c r="M1196" s="77" t="str">
        <f>IF(Main[[#This Row],[Tech Start Date]]&lt;1/1/1990,"",IF(Main[[#This Row],[Class]]="C",WORKDAY(Main[[#This Row],[Tech Start Date]],9),IF(Main[[#This Row],[Class]]="B", WORKDAY(Main[[#This Row],[Tech Start Date]],6),IF(Main[[#This Row],[Class]]="A",WORKDAY(Main[[#This Row],[Tech Start Date]],2),""))))</f>
        <v/>
      </c>
      <c r="N1196" s="77" t="str">
        <f>IF(Main[[#This Row],[Tech Start Date]]&lt;1/1/1990,"",IF(Main[[#This Row],[Class]]="C",WORKDAY(Main[[#This Row],[Tech Start Date]],19),IF(Main[[#This Row],[Class]]="B", WORKDAY(Main[[#This Row],[Tech Start Date]],12),IF(Main[[#This Row],[Class]]="A",WORKDAY(Main[[#This Row],[Tech Start Date]],4),""))))</f>
        <v/>
      </c>
      <c r="O1196" s="77" t="str">
        <f>IF(Main[[#This Row],[Tech Start Date]]&lt;1/1/1990,"",IF(Main[[#This Row],[Class]]="C",WORKDAY(Main[[#This Row],[Tech Start Date]],23),IF(Main[[#This Row],[Class]]="B", WORKDAY(Main[[#This Row],[Tech Start Date]],15),IF(Main[[#This Row],[Class]]="A",WORKDAY(Main[[#This Row],[Tech Start Date]],5),""))))</f>
        <v/>
      </c>
      <c r="P1196" s="77" t="str">
        <f>IF(Main[[#This Row],[Tech Start Date]]&lt;1/1/1990,"",IF(Main[[#This Row],[Class]]="C",WORKDAY(Main[[#This Row],[Tech Start Date]],28),IF(Main[[#This Row],[Class]]="B", WORKDAY(Main[[#This Row],[Tech Start Date]],19),IF(Main[[#This Row],[Class]]="A",WORKDAY(Main[[#This Row],[Tech Start Date]],9),""))))</f>
        <v/>
      </c>
      <c r="Q1196" s="74">
        <v>40939</v>
      </c>
      <c r="R1196" s="74"/>
      <c r="S1196" s="72" t="s">
        <v>49</v>
      </c>
      <c r="T1196" s="80" t="s">
        <v>4</v>
      </c>
      <c r="U1196" s="72" t="s">
        <v>7</v>
      </c>
      <c r="V1196" s="72" t="s">
        <v>1942</v>
      </c>
      <c r="W1196" s="72" t="s">
        <v>1940</v>
      </c>
      <c r="X1196" s="72" t="s">
        <v>3528</v>
      </c>
      <c r="Y1196" s="72" t="s">
        <v>3529</v>
      </c>
      <c r="Z1196" s="72" t="s">
        <v>4</v>
      </c>
      <c r="AA1196" s="147" t="s">
        <v>3528</v>
      </c>
    </row>
    <row r="1197" spans="1:27" ht="18.600000000000001" customHeight="1">
      <c r="A1197" s="140" t="str">
        <f>IF(priority(Main[[#This Row],[Comments]])&lt;&gt;0, priority(Main[[#This Row],[Comments]]),"")</f>
        <v/>
      </c>
      <c r="B1197" s="90" t="s">
        <v>2791</v>
      </c>
      <c r="C1197" s="72" t="s">
        <v>4</v>
      </c>
      <c r="D1197" s="73" t="s">
        <v>3530</v>
      </c>
      <c r="E1197" s="74">
        <v>40891.136469907404</v>
      </c>
      <c r="F1197" s="74"/>
      <c r="G1197" s="75" t="str">
        <f>IF(stdProdLT(Main[[#This Row],[Comments]])=0.1,"N/A",IF(stdProdLT(Main[[#This Row],[Comments]])=0,"",stdProdLT(Main[[#This Row],[Comments]])))</f>
        <v/>
      </c>
      <c r="H1197" s="76" t="str">
        <f>IF(AND(Main[[#This Row],[In Stock Date]]&lt;&gt;"",Main[[#This Row],[Revised Due Date]]&lt;&gt;""),Main[[#This Row],[In Stock Date]]-Main[[#This Row],[Revised Due Date]],"")</f>
        <v/>
      </c>
      <c r="I1197" s="72" t="s">
        <v>69</v>
      </c>
      <c r="J1197" s="72" t="s">
        <v>70</v>
      </c>
      <c r="K1197" s="72" t="s">
        <v>1941</v>
      </c>
      <c r="L1197" s="74"/>
      <c r="M1197" s="77" t="str">
        <f>IF(Main[[#This Row],[Tech Start Date]]&lt;1/1/1990,"",IF(Main[[#This Row],[Class]]="C",WORKDAY(Main[[#This Row],[Tech Start Date]],9),IF(Main[[#This Row],[Class]]="B", WORKDAY(Main[[#This Row],[Tech Start Date]],6),IF(Main[[#This Row],[Class]]="A",WORKDAY(Main[[#This Row],[Tech Start Date]],2),""))))</f>
        <v/>
      </c>
      <c r="N1197" s="77" t="str">
        <f>IF(Main[[#This Row],[Tech Start Date]]&lt;1/1/1990,"",IF(Main[[#This Row],[Class]]="C",WORKDAY(Main[[#This Row],[Tech Start Date]],19),IF(Main[[#This Row],[Class]]="B", WORKDAY(Main[[#This Row],[Tech Start Date]],12),IF(Main[[#This Row],[Class]]="A",WORKDAY(Main[[#This Row],[Tech Start Date]],4),""))))</f>
        <v/>
      </c>
      <c r="O1197" s="77" t="str">
        <f>IF(Main[[#This Row],[Tech Start Date]]&lt;1/1/1990,"",IF(Main[[#This Row],[Class]]="C",WORKDAY(Main[[#This Row],[Tech Start Date]],23),IF(Main[[#This Row],[Class]]="B", WORKDAY(Main[[#This Row],[Tech Start Date]],15),IF(Main[[#This Row],[Class]]="A",WORKDAY(Main[[#This Row],[Tech Start Date]],5),""))))</f>
        <v/>
      </c>
      <c r="P1197" s="77" t="str">
        <f>IF(Main[[#This Row],[Tech Start Date]]&lt;1/1/1990,"",IF(Main[[#This Row],[Class]]="C",WORKDAY(Main[[#This Row],[Tech Start Date]],28),IF(Main[[#This Row],[Class]]="B", WORKDAY(Main[[#This Row],[Tech Start Date]],19),IF(Main[[#This Row],[Class]]="A",WORKDAY(Main[[#This Row],[Tech Start Date]],9),""))))</f>
        <v/>
      </c>
      <c r="Q1197" s="74">
        <v>40914</v>
      </c>
      <c r="R1197" s="74"/>
      <c r="S1197" s="72" t="s">
        <v>6</v>
      </c>
      <c r="T1197" s="80" t="s">
        <v>4</v>
      </c>
      <c r="U1197" s="72" t="s">
        <v>29</v>
      </c>
      <c r="V1197" s="72" t="s">
        <v>1935</v>
      </c>
      <c r="W1197" s="72" t="s">
        <v>1936</v>
      </c>
      <c r="X1197" s="72" t="s">
        <v>2935</v>
      </c>
      <c r="Y1197" s="72" t="s">
        <v>3073</v>
      </c>
      <c r="Z1197" s="72" t="s">
        <v>30</v>
      </c>
      <c r="AA1197" s="147" t="s">
        <v>2935</v>
      </c>
    </row>
    <row r="1198" spans="1:27" ht="18.600000000000001" customHeight="1">
      <c r="A1198" s="140" t="str">
        <f>IF(priority(Main[[#This Row],[Comments]])&lt;&gt;0, priority(Main[[#This Row],[Comments]]),"")</f>
        <v/>
      </c>
      <c r="B1198" s="90" t="s">
        <v>2599</v>
      </c>
      <c r="C1198" s="72" t="s">
        <v>4</v>
      </c>
      <c r="D1198" s="73" t="s">
        <v>2600</v>
      </c>
      <c r="E1198" s="74">
        <v>40835.766481481478</v>
      </c>
      <c r="F1198" s="74"/>
      <c r="G1198" s="75" t="str">
        <f>IF(stdProdLT(Main[[#This Row],[Comments]])=0.1,"N/A",IF(stdProdLT(Main[[#This Row],[Comments]])=0,"",stdProdLT(Main[[#This Row],[Comments]])))</f>
        <v/>
      </c>
      <c r="H1198" s="76" t="str">
        <f>IF(AND(Main[[#This Row],[In Stock Date]]&lt;&gt;"",Main[[#This Row],[Revised Due Date]]&lt;&gt;""),Main[[#This Row],[In Stock Date]]-Main[[#This Row],[Revised Due Date]],"")</f>
        <v/>
      </c>
      <c r="I1198" s="72" t="s">
        <v>4</v>
      </c>
      <c r="J1198" s="72" t="s">
        <v>4</v>
      </c>
      <c r="K1198" s="81" t="s">
        <v>4</v>
      </c>
      <c r="L1198" s="74"/>
      <c r="M1198" s="77" t="str">
        <f>IF(Main[[#This Row],[Tech Start Date]]&lt;1/1/1990,"",IF(Main[[#This Row],[Class]]="C",WORKDAY(Main[[#This Row],[Tech Start Date]],9),IF(Main[[#This Row],[Class]]="B", WORKDAY(Main[[#This Row],[Tech Start Date]],6),IF(Main[[#This Row],[Class]]="A",WORKDAY(Main[[#This Row],[Tech Start Date]],2),""))))</f>
        <v/>
      </c>
      <c r="N1198" s="77" t="str">
        <f>IF(Main[[#This Row],[Tech Start Date]]&lt;1/1/1990,"",IF(Main[[#This Row],[Class]]="C",WORKDAY(Main[[#This Row],[Tech Start Date]],19),IF(Main[[#This Row],[Class]]="B", WORKDAY(Main[[#This Row],[Tech Start Date]],12),IF(Main[[#This Row],[Class]]="A",WORKDAY(Main[[#This Row],[Tech Start Date]],4),""))))</f>
        <v/>
      </c>
      <c r="O1198" s="77" t="str">
        <f>IF(Main[[#This Row],[Tech Start Date]]&lt;1/1/1990,"",IF(Main[[#This Row],[Class]]="C",WORKDAY(Main[[#This Row],[Tech Start Date]],23),IF(Main[[#This Row],[Class]]="B", WORKDAY(Main[[#This Row],[Tech Start Date]],15),IF(Main[[#This Row],[Class]]="A",WORKDAY(Main[[#This Row],[Tech Start Date]],5),""))))</f>
        <v/>
      </c>
      <c r="P1198" s="77" t="str">
        <f>IF(Main[[#This Row],[Tech Start Date]]&lt;1/1/1990,"",IF(Main[[#This Row],[Class]]="C",WORKDAY(Main[[#This Row],[Tech Start Date]],28),IF(Main[[#This Row],[Class]]="B", WORKDAY(Main[[#This Row],[Tech Start Date]],19),IF(Main[[#This Row],[Class]]="A",WORKDAY(Main[[#This Row],[Tech Start Date]],9),""))))</f>
        <v/>
      </c>
      <c r="Q1198" s="74">
        <v>40858</v>
      </c>
      <c r="R1198" s="74"/>
      <c r="S1198" s="72" t="s">
        <v>6</v>
      </c>
      <c r="T1198" s="80" t="s">
        <v>4</v>
      </c>
      <c r="U1198" s="72" t="s">
        <v>7</v>
      </c>
      <c r="V1198" s="72" t="s">
        <v>1935</v>
      </c>
      <c r="W1198" s="72" t="s">
        <v>4</v>
      </c>
      <c r="X1198" s="72" t="s">
        <v>2903</v>
      </c>
      <c r="Y1198" s="72" t="s">
        <v>3019</v>
      </c>
      <c r="Z1198" s="72" t="s">
        <v>4</v>
      </c>
      <c r="AA1198" s="147" t="s">
        <v>2903</v>
      </c>
    </row>
    <row r="1199" spans="1:27" ht="18.600000000000001" customHeight="1">
      <c r="A1199" s="140" t="str">
        <f>IF(priority(Main[[#This Row],[Comments]])&lt;&gt;0, priority(Main[[#This Row],[Comments]]),"")</f>
        <v/>
      </c>
      <c r="B1199" s="90" t="s">
        <v>3669</v>
      </c>
      <c r="C1199" s="72" t="s">
        <v>31</v>
      </c>
      <c r="D1199" s="73" t="s">
        <v>3780</v>
      </c>
      <c r="E1199" s="74">
        <v>40940.67633101852</v>
      </c>
      <c r="F1199" s="74">
        <v>40947</v>
      </c>
      <c r="G1199" s="75" t="str">
        <f>IF(stdProdLT(Main[[#This Row],[Comments]])=0.1,"N/A",IF(stdProdLT(Main[[#This Row],[Comments]])=0,"",stdProdLT(Main[[#This Row],[Comments]])))</f>
        <v/>
      </c>
      <c r="H1199" s="76" t="str">
        <f>IF(AND(Main[[#This Row],[In Stock Date]]&lt;&gt;"",Main[[#This Row],[Revised Due Date]]&lt;&gt;""),Main[[#This Row],[In Stock Date]]-Main[[#This Row],[Revised Due Date]],"")</f>
        <v/>
      </c>
      <c r="I1199" s="72" t="s">
        <v>102</v>
      </c>
      <c r="J1199" s="72" t="s">
        <v>75</v>
      </c>
      <c r="K1199" s="81" t="s">
        <v>1941</v>
      </c>
      <c r="L1199" s="74"/>
      <c r="M1199" s="77" t="str">
        <f>IF(Main[[#This Row],[Tech Start Date]]&lt;1/1/1990,"",IF(Main[[#This Row],[Class]]="C",WORKDAY(Main[[#This Row],[Tech Start Date]],9),IF(Main[[#This Row],[Class]]="B", WORKDAY(Main[[#This Row],[Tech Start Date]],6),IF(Main[[#This Row],[Class]]="A",WORKDAY(Main[[#This Row],[Tech Start Date]],2),""))))</f>
        <v/>
      </c>
      <c r="N1199" s="77" t="str">
        <f>IF(Main[[#This Row],[Tech Start Date]]&lt;1/1/1990,"",IF(Main[[#This Row],[Class]]="C",WORKDAY(Main[[#This Row],[Tech Start Date]],19),IF(Main[[#This Row],[Class]]="B", WORKDAY(Main[[#This Row],[Tech Start Date]],12),IF(Main[[#This Row],[Class]]="A",WORKDAY(Main[[#This Row],[Tech Start Date]],4),""))))</f>
        <v/>
      </c>
      <c r="O1199" s="77" t="str">
        <f>IF(Main[[#This Row],[Tech Start Date]]&lt;1/1/1990,"",IF(Main[[#This Row],[Class]]="C",WORKDAY(Main[[#This Row],[Tech Start Date]],23),IF(Main[[#This Row],[Class]]="B", WORKDAY(Main[[#This Row],[Tech Start Date]],15),IF(Main[[#This Row],[Class]]="A",WORKDAY(Main[[#This Row],[Tech Start Date]],5),""))))</f>
        <v/>
      </c>
      <c r="P1199" s="77" t="str">
        <f>IF(Main[[#This Row],[Tech Start Date]]&lt;1/1/1990,"",IF(Main[[#This Row],[Class]]="C",WORKDAY(Main[[#This Row],[Tech Start Date]],28),IF(Main[[#This Row],[Class]]="B", WORKDAY(Main[[#This Row],[Tech Start Date]],19),IF(Main[[#This Row],[Class]]="A",WORKDAY(Main[[#This Row],[Tech Start Date]],9),""))))</f>
        <v/>
      </c>
      <c r="Q1199" s="74">
        <v>40942</v>
      </c>
      <c r="R1199" s="74"/>
      <c r="S1199" s="72" t="s">
        <v>11</v>
      </c>
      <c r="T1199" s="80" t="s">
        <v>4</v>
      </c>
      <c r="U1199" s="72" t="s">
        <v>29</v>
      </c>
      <c r="V1199" s="72" t="s">
        <v>1932</v>
      </c>
      <c r="W1199" s="72" t="s">
        <v>1938</v>
      </c>
      <c r="X1199" s="72" t="s">
        <v>2954</v>
      </c>
      <c r="Y1199" s="72" t="s">
        <v>3103</v>
      </c>
      <c r="Z1199" s="72" t="s">
        <v>310</v>
      </c>
      <c r="AA1199" s="147" t="s">
        <v>2954</v>
      </c>
    </row>
    <row r="1200" spans="1:27" ht="18.600000000000001" customHeight="1">
      <c r="A1200" s="140" t="str">
        <f>IF(priority(Main[[#This Row],[Comments]])&lt;&gt;0, priority(Main[[#This Row],[Comments]]),"")</f>
        <v/>
      </c>
      <c r="B1200" s="90" t="s">
        <v>3400</v>
      </c>
      <c r="C1200" s="72" t="s">
        <v>4</v>
      </c>
      <c r="D1200" s="73" t="s">
        <v>3401</v>
      </c>
      <c r="E1200" s="74">
        <v>40934.381273148145</v>
      </c>
      <c r="F1200" s="74"/>
      <c r="G1200" s="75" t="str">
        <f>IF(stdProdLT(Main[[#This Row],[Comments]])=0.1,"N/A",IF(stdProdLT(Main[[#This Row],[Comments]])=0,"",stdProdLT(Main[[#This Row],[Comments]])))</f>
        <v/>
      </c>
      <c r="H1200" s="76" t="str">
        <f>IF(AND(Main[[#This Row],[In Stock Date]]&lt;&gt;"",Main[[#This Row],[Revised Due Date]]&lt;&gt;""),Main[[#This Row],[In Stock Date]]-Main[[#This Row],[Revised Due Date]],"")</f>
        <v/>
      </c>
      <c r="I1200" s="72" t="s">
        <v>4</v>
      </c>
      <c r="J1200" s="72" t="s">
        <v>4</v>
      </c>
      <c r="K1200" s="72" t="s">
        <v>4</v>
      </c>
      <c r="L1200" s="74"/>
      <c r="M1200" s="77" t="str">
        <f>IF(Main[[#This Row],[Tech Start Date]]&lt;1/1/1990,"",IF(Main[[#This Row],[Class]]="C",WORKDAY(Main[[#This Row],[Tech Start Date]],9),IF(Main[[#This Row],[Class]]="B", WORKDAY(Main[[#This Row],[Tech Start Date]],6),IF(Main[[#This Row],[Class]]="A",WORKDAY(Main[[#This Row],[Tech Start Date]],2),""))))</f>
        <v/>
      </c>
      <c r="N1200" s="77" t="str">
        <f>IF(Main[[#This Row],[Tech Start Date]]&lt;1/1/1990,"",IF(Main[[#This Row],[Class]]="C",WORKDAY(Main[[#This Row],[Tech Start Date]],19),IF(Main[[#This Row],[Class]]="B", WORKDAY(Main[[#This Row],[Tech Start Date]],12),IF(Main[[#This Row],[Class]]="A",WORKDAY(Main[[#This Row],[Tech Start Date]],4),""))))</f>
        <v/>
      </c>
      <c r="O1200" s="77" t="str">
        <f>IF(Main[[#This Row],[Tech Start Date]]&lt;1/1/1990,"",IF(Main[[#This Row],[Class]]="C",WORKDAY(Main[[#This Row],[Tech Start Date]],23),IF(Main[[#This Row],[Class]]="B", WORKDAY(Main[[#This Row],[Tech Start Date]],15),IF(Main[[#This Row],[Class]]="A",WORKDAY(Main[[#This Row],[Tech Start Date]],5),""))))</f>
        <v/>
      </c>
      <c r="P1200" s="77" t="str">
        <f>IF(Main[[#This Row],[Tech Start Date]]&lt;1/1/1990,"",IF(Main[[#This Row],[Class]]="C",WORKDAY(Main[[#This Row],[Tech Start Date]],28),IF(Main[[#This Row],[Class]]="B", WORKDAY(Main[[#This Row],[Tech Start Date]],19),IF(Main[[#This Row],[Class]]="A",WORKDAY(Main[[#This Row],[Tech Start Date]],9),""))))</f>
        <v/>
      </c>
      <c r="Q1200" s="74">
        <v>40968</v>
      </c>
      <c r="R1200" s="74"/>
      <c r="S1200" s="72" t="s">
        <v>6</v>
      </c>
      <c r="T1200" s="80" t="s">
        <v>4</v>
      </c>
      <c r="U1200" s="72" t="s">
        <v>7</v>
      </c>
      <c r="V1200" s="72" t="s">
        <v>1935</v>
      </c>
      <c r="W1200" s="72" t="s">
        <v>4</v>
      </c>
      <c r="X1200" s="72" t="s">
        <v>2902</v>
      </c>
      <c r="Y1200" s="72" t="s">
        <v>3016</v>
      </c>
      <c r="Z1200" s="72" t="s">
        <v>4</v>
      </c>
      <c r="AA1200" s="147" t="s">
        <v>2902</v>
      </c>
    </row>
    <row r="1201" spans="1:27" ht="18.600000000000001" customHeight="1">
      <c r="A1201" s="140" t="str">
        <f>IF(priority(Main[[#This Row],[Comments]])&lt;&gt;0, priority(Main[[#This Row],[Comments]]),"")</f>
        <v/>
      </c>
      <c r="B1201" s="90" t="s">
        <v>2601</v>
      </c>
      <c r="C1201" s="72" t="s">
        <v>4</v>
      </c>
      <c r="D1201" s="73" t="s">
        <v>2602</v>
      </c>
      <c r="E1201" s="74"/>
      <c r="F1201" s="74"/>
      <c r="G1201" s="75" t="str">
        <f>IF(stdProdLT(Main[[#This Row],[Comments]])=0.1,"N/A",IF(stdProdLT(Main[[#This Row],[Comments]])=0,"",stdProdLT(Main[[#This Row],[Comments]])))</f>
        <v/>
      </c>
      <c r="H1201" s="76" t="str">
        <f>IF(AND(Main[[#This Row],[In Stock Date]]&lt;&gt;"",Main[[#This Row],[Revised Due Date]]&lt;&gt;""),Main[[#This Row],[In Stock Date]]-Main[[#This Row],[Revised Due Date]],"")</f>
        <v/>
      </c>
      <c r="I1201" s="72" t="s">
        <v>4</v>
      </c>
      <c r="J1201" s="72" t="s">
        <v>4</v>
      </c>
      <c r="K1201" s="72" t="s">
        <v>4</v>
      </c>
      <c r="L1201" s="74"/>
      <c r="M1201" s="77" t="str">
        <f>IF(Main[[#This Row],[Tech Start Date]]&lt;1/1/1990,"",IF(Main[[#This Row],[Class]]="C",WORKDAY(Main[[#This Row],[Tech Start Date]],9),IF(Main[[#This Row],[Class]]="B", WORKDAY(Main[[#This Row],[Tech Start Date]],6),IF(Main[[#This Row],[Class]]="A",WORKDAY(Main[[#This Row],[Tech Start Date]],2),""))))</f>
        <v/>
      </c>
      <c r="N1201" s="77" t="str">
        <f>IF(Main[[#This Row],[Tech Start Date]]&lt;1/1/1990,"",IF(Main[[#This Row],[Class]]="C",WORKDAY(Main[[#This Row],[Tech Start Date]],19),IF(Main[[#This Row],[Class]]="B", WORKDAY(Main[[#This Row],[Tech Start Date]],12),IF(Main[[#This Row],[Class]]="A",WORKDAY(Main[[#This Row],[Tech Start Date]],4),""))))</f>
        <v/>
      </c>
      <c r="O1201" s="77" t="str">
        <f>IF(Main[[#This Row],[Tech Start Date]]&lt;1/1/1990,"",IF(Main[[#This Row],[Class]]="C",WORKDAY(Main[[#This Row],[Tech Start Date]],23),IF(Main[[#This Row],[Class]]="B", WORKDAY(Main[[#This Row],[Tech Start Date]],15),IF(Main[[#This Row],[Class]]="A",WORKDAY(Main[[#This Row],[Tech Start Date]],5),""))))</f>
        <v/>
      </c>
      <c r="P1201" s="77" t="str">
        <f>IF(Main[[#This Row],[Tech Start Date]]&lt;1/1/1990,"",IF(Main[[#This Row],[Class]]="C",WORKDAY(Main[[#This Row],[Tech Start Date]],28),IF(Main[[#This Row],[Class]]="B", WORKDAY(Main[[#This Row],[Tech Start Date]],19),IF(Main[[#This Row],[Class]]="A",WORKDAY(Main[[#This Row],[Tech Start Date]],9),""))))</f>
        <v/>
      </c>
      <c r="Q1201" s="74"/>
      <c r="R1201" s="74"/>
      <c r="S1201" s="72" t="s">
        <v>11</v>
      </c>
      <c r="T1201" s="80" t="s">
        <v>4</v>
      </c>
      <c r="U1201" s="72" t="s">
        <v>14</v>
      </c>
      <c r="V1201" s="72" t="s">
        <v>1933</v>
      </c>
      <c r="W1201" s="72" t="s">
        <v>4</v>
      </c>
      <c r="X1201" s="72" t="s">
        <v>2278</v>
      </c>
      <c r="Y1201" s="72" t="s">
        <v>4</v>
      </c>
      <c r="Z1201" s="72" t="s">
        <v>4</v>
      </c>
      <c r="AA1201" s="147" t="s">
        <v>4</v>
      </c>
    </row>
    <row r="1202" spans="1:27" ht="18.600000000000001" customHeight="1">
      <c r="A1202" s="140" t="str">
        <f>IF(priority(Main[[#This Row],[Comments]])&lt;&gt;0, priority(Main[[#This Row],[Comments]]),"")</f>
        <v/>
      </c>
      <c r="B1202" s="90" t="s">
        <v>2323</v>
      </c>
      <c r="C1202" s="72" t="s">
        <v>4</v>
      </c>
      <c r="D1202" s="73" t="s">
        <v>2603</v>
      </c>
      <c r="E1202" s="74">
        <v>40814.667314814818</v>
      </c>
      <c r="F1202" s="74"/>
      <c r="G1202" s="75" t="str">
        <f>IF(stdProdLT(Main[[#This Row],[Comments]])=0.1,"N/A",IF(stdProdLT(Main[[#This Row],[Comments]])=0,"",stdProdLT(Main[[#This Row],[Comments]])))</f>
        <v/>
      </c>
      <c r="H1202" s="76" t="str">
        <f>IF(AND(Main[[#This Row],[In Stock Date]]&lt;&gt;"",Main[[#This Row],[Revised Due Date]]&lt;&gt;""),Main[[#This Row],[In Stock Date]]-Main[[#This Row],[Revised Due Date]],"")</f>
        <v/>
      </c>
      <c r="I1202" s="72" t="s">
        <v>403</v>
      </c>
      <c r="J1202" s="72" t="s">
        <v>75</v>
      </c>
      <c r="K1202" s="81" t="s">
        <v>1941</v>
      </c>
      <c r="L1202" s="74"/>
      <c r="M1202" s="77" t="str">
        <f>IF(Main[[#This Row],[Tech Start Date]]&lt;1/1/1990,"",IF(Main[[#This Row],[Class]]="C",WORKDAY(Main[[#This Row],[Tech Start Date]],9),IF(Main[[#This Row],[Class]]="B", WORKDAY(Main[[#This Row],[Tech Start Date]],6),IF(Main[[#This Row],[Class]]="A",WORKDAY(Main[[#This Row],[Tech Start Date]],2),""))))</f>
        <v/>
      </c>
      <c r="N1202" s="77" t="str">
        <f>IF(Main[[#This Row],[Tech Start Date]]&lt;1/1/1990,"",IF(Main[[#This Row],[Class]]="C",WORKDAY(Main[[#This Row],[Tech Start Date]],19),IF(Main[[#This Row],[Class]]="B", WORKDAY(Main[[#This Row],[Tech Start Date]],12),IF(Main[[#This Row],[Class]]="A",WORKDAY(Main[[#This Row],[Tech Start Date]],4),""))))</f>
        <v/>
      </c>
      <c r="O1202" s="77" t="str">
        <f>IF(Main[[#This Row],[Tech Start Date]]&lt;1/1/1990,"",IF(Main[[#This Row],[Class]]="C",WORKDAY(Main[[#This Row],[Tech Start Date]],23),IF(Main[[#This Row],[Class]]="B", WORKDAY(Main[[#This Row],[Tech Start Date]],15),IF(Main[[#This Row],[Class]]="A",WORKDAY(Main[[#This Row],[Tech Start Date]],5),""))))</f>
        <v/>
      </c>
      <c r="P1202" s="77" t="str">
        <f>IF(Main[[#This Row],[Tech Start Date]]&lt;1/1/1990,"",IF(Main[[#This Row],[Class]]="C",WORKDAY(Main[[#This Row],[Tech Start Date]],28),IF(Main[[#This Row],[Class]]="B", WORKDAY(Main[[#This Row],[Tech Start Date]],19),IF(Main[[#This Row],[Class]]="A",WORKDAY(Main[[#This Row],[Tech Start Date]],9),""))))</f>
        <v/>
      </c>
      <c r="Q1202" s="74"/>
      <c r="R1202" s="74"/>
      <c r="S1202" s="72" t="s">
        <v>6</v>
      </c>
      <c r="T1202" s="80" t="s">
        <v>4</v>
      </c>
      <c r="U1202" s="72" t="s">
        <v>29</v>
      </c>
      <c r="V1202" s="72" t="s">
        <v>1935</v>
      </c>
      <c r="W1202" s="72" t="s">
        <v>1936</v>
      </c>
      <c r="X1202" s="72" t="s">
        <v>403</v>
      </c>
      <c r="Y1202" s="72" t="s">
        <v>3050</v>
      </c>
      <c r="Z1202" s="72" t="s">
        <v>310</v>
      </c>
      <c r="AA1202" s="147" t="s">
        <v>894</v>
      </c>
    </row>
    <row r="1203" spans="1:27" ht="18.600000000000001" customHeight="1">
      <c r="A1203" s="140" t="str">
        <f>IF(priority(Main[[#This Row],[Comments]])&lt;&gt;0, priority(Main[[#This Row],[Comments]]),"")</f>
        <v/>
      </c>
      <c r="B1203" s="90" t="s">
        <v>1715</v>
      </c>
      <c r="C1203" s="72" t="s">
        <v>4</v>
      </c>
      <c r="D1203" s="73" t="s">
        <v>2138</v>
      </c>
      <c r="E1203" s="74"/>
      <c r="F1203" s="74"/>
      <c r="G1203" s="75" t="str">
        <f>IF(stdProdLT(Main[[#This Row],[Comments]])=0.1,"N/A",IF(stdProdLT(Main[[#This Row],[Comments]])=0,"",stdProdLT(Main[[#This Row],[Comments]])))</f>
        <v/>
      </c>
      <c r="H1203" s="76" t="str">
        <f>IF(AND(Main[[#This Row],[In Stock Date]]&lt;&gt;"",Main[[#This Row],[Revised Due Date]]&lt;&gt;""),Main[[#This Row],[In Stock Date]]-Main[[#This Row],[Revised Due Date]],"")</f>
        <v/>
      </c>
      <c r="I1203" s="72" t="s">
        <v>69</v>
      </c>
      <c r="J1203" s="72" t="s">
        <v>70</v>
      </c>
      <c r="K1203" s="72" t="s">
        <v>1941</v>
      </c>
      <c r="L1203" s="74"/>
      <c r="M1203" s="77" t="str">
        <f>IF(Main[[#This Row],[Tech Start Date]]&lt;1/1/1990,"",IF(Main[[#This Row],[Class]]="C",WORKDAY(Main[[#This Row],[Tech Start Date]],9),IF(Main[[#This Row],[Class]]="B", WORKDAY(Main[[#This Row],[Tech Start Date]],6),IF(Main[[#This Row],[Class]]="A",WORKDAY(Main[[#This Row],[Tech Start Date]],2),""))))</f>
        <v/>
      </c>
      <c r="N1203" s="77" t="str">
        <f>IF(Main[[#This Row],[Tech Start Date]]&lt;1/1/1990,"",IF(Main[[#This Row],[Class]]="C",WORKDAY(Main[[#This Row],[Tech Start Date]],19),IF(Main[[#This Row],[Class]]="B", WORKDAY(Main[[#This Row],[Tech Start Date]],12),IF(Main[[#This Row],[Class]]="A",WORKDAY(Main[[#This Row],[Tech Start Date]],4),""))))</f>
        <v/>
      </c>
      <c r="O1203" s="77" t="str">
        <f>IF(Main[[#This Row],[Tech Start Date]]&lt;1/1/1990,"",IF(Main[[#This Row],[Class]]="C",WORKDAY(Main[[#This Row],[Tech Start Date]],23),IF(Main[[#This Row],[Class]]="B", WORKDAY(Main[[#This Row],[Tech Start Date]],15),IF(Main[[#This Row],[Class]]="A",WORKDAY(Main[[#This Row],[Tech Start Date]],5),""))))</f>
        <v/>
      </c>
      <c r="P1203" s="77" t="str">
        <f>IF(Main[[#This Row],[Tech Start Date]]&lt;1/1/1990,"",IF(Main[[#This Row],[Class]]="C",WORKDAY(Main[[#This Row],[Tech Start Date]],28),IF(Main[[#This Row],[Class]]="B", WORKDAY(Main[[#This Row],[Tech Start Date]],19),IF(Main[[#This Row],[Class]]="A",WORKDAY(Main[[#This Row],[Tech Start Date]],9),""))))</f>
        <v/>
      </c>
      <c r="Q1203" s="74">
        <v>40816</v>
      </c>
      <c r="R1203" s="74"/>
      <c r="S1203" s="72" t="s">
        <v>6</v>
      </c>
      <c r="T1203" s="80" t="s">
        <v>4</v>
      </c>
      <c r="U1203" s="72" t="s">
        <v>14</v>
      </c>
      <c r="V1203" s="72" t="s">
        <v>1935</v>
      </c>
      <c r="W1203" s="72" t="s">
        <v>1937</v>
      </c>
      <c r="X1203" s="72" t="s">
        <v>535</v>
      </c>
      <c r="Y1203" s="72" t="s">
        <v>4</v>
      </c>
      <c r="Z1203" s="72" t="s">
        <v>30</v>
      </c>
      <c r="AA1203" s="147" t="s">
        <v>535</v>
      </c>
    </row>
    <row r="1204" spans="1:27" ht="18.600000000000001" customHeight="1">
      <c r="A1204" s="140" t="str">
        <f>IF(priority(Main[[#This Row],[Comments]])&lt;&gt;0, priority(Main[[#This Row],[Comments]]),"")</f>
        <v/>
      </c>
      <c r="B1204" s="90" t="s">
        <v>2316</v>
      </c>
      <c r="C1204" s="72" t="s">
        <v>4</v>
      </c>
      <c r="D1204" s="73" t="s">
        <v>2607</v>
      </c>
      <c r="E1204" s="74"/>
      <c r="F1204" s="74"/>
      <c r="G1204" s="75" t="str">
        <f>IF(stdProdLT(Main[[#This Row],[Comments]])=0.1,"N/A",IF(stdProdLT(Main[[#This Row],[Comments]])=0,"",stdProdLT(Main[[#This Row],[Comments]])))</f>
        <v/>
      </c>
      <c r="H1204" s="76" t="str">
        <f>IF(AND(Main[[#This Row],[In Stock Date]]&lt;&gt;"",Main[[#This Row],[Revised Due Date]]&lt;&gt;""),Main[[#This Row],[In Stock Date]]-Main[[#This Row],[Revised Due Date]],"")</f>
        <v/>
      </c>
      <c r="I1204" s="72" t="s">
        <v>2234</v>
      </c>
      <c r="J1204" s="72" t="s">
        <v>75</v>
      </c>
      <c r="K1204" s="72" t="s">
        <v>1941</v>
      </c>
      <c r="L1204" s="74"/>
      <c r="M1204" s="77" t="str">
        <f>IF(Main[[#This Row],[Tech Start Date]]&lt;1/1/1990,"",IF(Main[[#This Row],[Class]]="C",WORKDAY(Main[[#This Row],[Tech Start Date]],9),IF(Main[[#This Row],[Class]]="B", WORKDAY(Main[[#This Row],[Tech Start Date]],6),IF(Main[[#This Row],[Class]]="A",WORKDAY(Main[[#This Row],[Tech Start Date]],2),""))))</f>
        <v/>
      </c>
      <c r="N1204" s="77" t="str">
        <f>IF(Main[[#This Row],[Tech Start Date]]&lt;1/1/1990,"",IF(Main[[#This Row],[Class]]="C",WORKDAY(Main[[#This Row],[Tech Start Date]],19),IF(Main[[#This Row],[Class]]="B", WORKDAY(Main[[#This Row],[Tech Start Date]],12),IF(Main[[#This Row],[Class]]="A",WORKDAY(Main[[#This Row],[Tech Start Date]],4),""))))</f>
        <v/>
      </c>
      <c r="O1204" s="77" t="str">
        <f>IF(Main[[#This Row],[Tech Start Date]]&lt;1/1/1990,"",IF(Main[[#This Row],[Class]]="C",WORKDAY(Main[[#This Row],[Tech Start Date]],23),IF(Main[[#This Row],[Class]]="B", WORKDAY(Main[[#This Row],[Tech Start Date]],15),IF(Main[[#This Row],[Class]]="A",WORKDAY(Main[[#This Row],[Tech Start Date]],5),""))))</f>
        <v/>
      </c>
      <c r="P1204" s="77" t="str">
        <f>IF(Main[[#This Row],[Tech Start Date]]&lt;1/1/1990,"",IF(Main[[#This Row],[Class]]="C",WORKDAY(Main[[#This Row],[Tech Start Date]],28),IF(Main[[#This Row],[Class]]="B", WORKDAY(Main[[#This Row],[Tech Start Date]],19),IF(Main[[#This Row],[Class]]="A",WORKDAY(Main[[#This Row],[Tech Start Date]],9),""))))</f>
        <v/>
      </c>
      <c r="Q1204" s="74"/>
      <c r="R1204" s="74"/>
      <c r="S1204" s="72" t="s">
        <v>6</v>
      </c>
      <c r="T1204" s="80" t="s">
        <v>4</v>
      </c>
      <c r="U1204" s="72" t="s">
        <v>14</v>
      </c>
      <c r="V1204" s="72" t="s">
        <v>1942</v>
      </c>
      <c r="W1204" s="72" t="s">
        <v>1936</v>
      </c>
      <c r="X1204" s="72" t="s">
        <v>2234</v>
      </c>
      <c r="Y1204" s="72" t="s">
        <v>3216</v>
      </c>
      <c r="Z1204" s="72" t="s">
        <v>310</v>
      </c>
      <c r="AA1204" s="147" t="s">
        <v>2234</v>
      </c>
    </row>
    <row r="1205" spans="1:27" ht="18.600000000000001" customHeight="1">
      <c r="A1205" s="140" t="str">
        <f>IF(priority(Main[[#This Row],[Comments]])&lt;&gt;0, priority(Main[[#This Row],[Comments]]),"")</f>
        <v/>
      </c>
      <c r="B1205" s="90" t="s">
        <v>1607</v>
      </c>
      <c r="C1205" s="72" t="s">
        <v>4</v>
      </c>
      <c r="D1205" s="73" t="s">
        <v>675</v>
      </c>
      <c r="E1205" s="74"/>
      <c r="F1205" s="74"/>
      <c r="G1205" s="75" t="str">
        <f>IF(stdProdLT(Main[[#This Row],[Comments]])=0.1,"N/A",IF(stdProdLT(Main[[#This Row],[Comments]])=0,"",stdProdLT(Main[[#This Row],[Comments]])))</f>
        <v/>
      </c>
      <c r="H1205" s="76" t="str">
        <f>IF(AND(Main[[#This Row],[In Stock Date]]&lt;&gt;"",Main[[#This Row],[Revised Due Date]]&lt;&gt;""),Main[[#This Row],[In Stock Date]]-Main[[#This Row],[Revised Due Date]],"")</f>
        <v/>
      </c>
      <c r="I1205" s="72" t="s">
        <v>4</v>
      </c>
      <c r="J1205" s="72" t="s">
        <v>4</v>
      </c>
      <c r="K1205" s="72" t="s">
        <v>4</v>
      </c>
      <c r="L1205" s="74"/>
      <c r="M1205" s="77" t="str">
        <f>IF(Main[[#This Row],[Tech Start Date]]&lt;1/1/1990,"",IF(Main[[#This Row],[Class]]="C",WORKDAY(Main[[#This Row],[Tech Start Date]],9),IF(Main[[#This Row],[Class]]="B", WORKDAY(Main[[#This Row],[Tech Start Date]],6),IF(Main[[#This Row],[Class]]="A",WORKDAY(Main[[#This Row],[Tech Start Date]],2),""))))</f>
        <v/>
      </c>
      <c r="N1205" s="77" t="str">
        <f>IF(Main[[#This Row],[Tech Start Date]]&lt;1/1/1990,"",IF(Main[[#This Row],[Class]]="C",WORKDAY(Main[[#This Row],[Tech Start Date]],19),IF(Main[[#This Row],[Class]]="B", WORKDAY(Main[[#This Row],[Tech Start Date]],12),IF(Main[[#This Row],[Class]]="A",WORKDAY(Main[[#This Row],[Tech Start Date]],4),""))))</f>
        <v/>
      </c>
      <c r="O1205" s="77" t="str">
        <f>IF(Main[[#This Row],[Tech Start Date]]&lt;1/1/1990,"",IF(Main[[#This Row],[Class]]="C",WORKDAY(Main[[#This Row],[Tech Start Date]],23),IF(Main[[#This Row],[Class]]="B", WORKDAY(Main[[#This Row],[Tech Start Date]],15),IF(Main[[#This Row],[Class]]="A",WORKDAY(Main[[#This Row],[Tech Start Date]],5),""))))</f>
        <v/>
      </c>
      <c r="P1205" s="77" t="str">
        <f>IF(Main[[#This Row],[Tech Start Date]]&lt;1/1/1990,"",IF(Main[[#This Row],[Class]]="C",WORKDAY(Main[[#This Row],[Tech Start Date]],28),IF(Main[[#This Row],[Class]]="B", WORKDAY(Main[[#This Row],[Tech Start Date]],19),IF(Main[[#This Row],[Class]]="A",WORKDAY(Main[[#This Row],[Tech Start Date]],9),""))))</f>
        <v/>
      </c>
      <c r="Q1205" s="74"/>
      <c r="R1205" s="74"/>
      <c r="S1205" s="72" t="s">
        <v>6</v>
      </c>
      <c r="T1205" s="80" t="s">
        <v>4</v>
      </c>
      <c r="U1205" s="72" t="s">
        <v>14</v>
      </c>
      <c r="V1205" s="72" t="s">
        <v>1932</v>
      </c>
      <c r="W1205" s="72" t="s">
        <v>1940</v>
      </c>
      <c r="X1205" s="72" t="s">
        <v>2074</v>
      </c>
      <c r="Y1205" s="72" t="s">
        <v>3089</v>
      </c>
      <c r="Z1205" s="72" t="s">
        <v>4</v>
      </c>
      <c r="AA1205" s="147" t="s">
        <v>2074</v>
      </c>
    </row>
    <row r="1206" spans="1:27" ht="18.600000000000001" customHeight="1">
      <c r="A1206" s="140" t="str">
        <f>IF(priority(Main[[#This Row],[Comments]])&lt;&gt;0, priority(Main[[#This Row],[Comments]]),"")</f>
        <v/>
      </c>
      <c r="B1206" s="90" t="s">
        <v>2711</v>
      </c>
      <c r="C1206" s="72" t="s">
        <v>4</v>
      </c>
      <c r="D1206" s="73" t="s">
        <v>2712</v>
      </c>
      <c r="E1206" s="74"/>
      <c r="F1206" s="74"/>
      <c r="G1206" s="75" t="str">
        <f>IF(stdProdLT(Main[[#This Row],[Comments]])=0.1,"N/A",IF(stdProdLT(Main[[#This Row],[Comments]])=0,"",stdProdLT(Main[[#This Row],[Comments]])))</f>
        <v/>
      </c>
      <c r="H1206" s="76" t="str">
        <f>IF(AND(Main[[#This Row],[In Stock Date]]&lt;&gt;"",Main[[#This Row],[Revised Due Date]]&lt;&gt;""),Main[[#This Row],[In Stock Date]]-Main[[#This Row],[Revised Due Date]],"")</f>
        <v/>
      </c>
      <c r="I1206" s="72" t="s">
        <v>4</v>
      </c>
      <c r="J1206" s="72" t="s">
        <v>4</v>
      </c>
      <c r="K1206" s="81" t="s">
        <v>4</v>
      </c>
      <c r="L1206" s="74"/>
      <c r="M1206" s="77" t="str">
        <f>IF(Main[[#This Row],[Tech Start Date]]&lt;1/1/1990,"",IF(Main[[#This Row],[Class]]="C",WORKDAY(Main[[#This Row],[Tech Start Date]],9),IF(Main[[#This Row],[Class]]="B", WORKDAY(Main[[#This Row],[Tech Start Date]],6),IF(Main[[#This Row],[Class]]="A",WORKDAY(Main[[#This Row],[Tech Start Date]],2),""))))</f>
        <v/>
      </c>
      <c r="N1206" s="77" t="str">
        <f>IF(Main[[#This Row],[Tech Start Date]]&lt;1/1/1990,"",IF(Main[[#This Row],[Class]]="C",WORKDAY(Main[[#This Row],[Tech Start Date]],19),IF(Main[[#This Row],[Class]]="B", WORKDAY(Main[[#This Row],[Tech Start Date]],12),IF(Main[[#This Row],[Class]]="A",WORKDAY(Main[[#This Row],[Tech Start Date]],4),""))))</f>
        <v/>
      </c>
      <c r="O1206" s="77" t="str">
        <f>IF(Main[[#This Row],[Tech Start Date]]&lt;1/1/1990,"",IF(Main[[#This Row],[Class]]="C",WORKDAY(Main[[#This Row],[Tech Start Date]],23),IF(Main[[#This Row],[Class]]="B", WORKDAY(Main[[#This Row],[Tech Start Date]],15),IF(Main[[#This Row],[Class]]="A",WORKDAY(Main[[#This Row],[Tech Start Date]],5),""))))</f>
        <v/>
      </c>
      <c r="P1206" s="77" t="str">
        <f>IF(Main[[#This Row],[Tech Start Date]]&lt;1/1/1990,"",IF(Main[[#This Row],[Class]]="C",WORKDAY(Main[[#This Row],[Tech Start Date]],28),IF(Main[[#This Row],[Class]]="B", WORKDAY(Main[[#This Row],[Tech Start Date]],19),IF(Main[[#This Row],[Class]]="A",WORKDAY(Main[[#This Row],[Tech Start Date]],9),""))))</f>
        <v/>
      </c>
      <c r="Q1206" s="74"/>
      <c r="R1206" s="74"/>
      <c r="S1206" s="72" t="s">
        <v>11</v>
      </c>
      <c r="T1206" s="80" t="s">
        <v>4</v>
      </c>
      <c r="U1206" s="72" t="s">
        <v>14</v>
      </c>
      <c r="V1206" s="72" t="s">
        <v>1942</v>
      </c>
      <c r="W1206" s="72" t="s">
        <v>1940</v>
      </c>
      <c r="X1206" s="72" t="s">
        <v>2941</v>
      </c>
      <c r="Y1206" s="72" t="s">
        <v>3085</v>
      </c>
      <c r="Z1206" s="72" t="s">
        <v>4</v>
      </c>
      <c r="AA1206" s="147" t="s">
        <v>2941</v>
      </c>
    </row>
    <row r="1207" spans="1:27" ht="18.600000000000001" customHeight="1">
      <c r="A1207" s="140" t="str">
        <f>IF(priority(Main[[#This Row],[Comments]])&lt;&gt;0, priority(Main[[#This Row],[Comments]]),"")</f>
        <v/>
      </c>
      <c r="B1207" s="90" t="s">
        <v>2399</v>
      </c>
      <c r="C1207" s="72" t="s">
        <v>4</v>
      </c>
      <c r="D1207" s="73" t="s">
        <v>2400</v>
      </c>
      <c r="E1207" s="74">
        <v>40856.690810185188</v>
      </c>
      <c r="F1207" s="74"/>
      <c r="G1207" s="75" t="str">
        <f>IF(stdProdLT(Main[[#This Row],[Comments]])=0.1,"N/A",IF(stdProdLT(Main[[#This Row],[Comments]])=0,"",stdProdLT(Main[[#This Row],[Comments]])))</f>
        <v/>
      </c>
      <c r="H1207" s="76" t="str">
        <f>IF(AND(Main[[#This Row],[In Stock Date]]&lt;&gt;"",Main[[#This Row],[Revised Due Date]]&lt;&gt;""),Main[[#This Row],[In Stock Date]]-Main[[#This Row],[Revised Due Date]],"")</f>
        <v/>
      </c>
      <c r="I1207" s="72" t="s">
        <v>4</v>
      </c>
      <c r="J1207" s="72" t="s">
        <v>4</v>
      </c>
      <c r="K1207" s="72" t="s">
        <v>4</v>
      </c>
      <c r="L1207" s="74"/>
      <c r="M1207" s="77" t="str">
        <f>IF(Main[[#This Row],[Tech Start Date]]&lt;1/1/1990,"",IF(Main[[#This Row],[Class]]="C",WORKDAY(Main[[#This Row],[Tech Start Date]],9),IF(Main[[#This Row],[Class]]="B", WORKDAY(Main[[#This Row],[Tech Start Date]],6),IF(Main[[#This Row],[Class]]="A",WORKDAY(Main[[#This Row],[Tech Start Date]],2),""))))</f>
        <v/>
      </c>
      <c r="N1207" s="77" t="str">
        <f>IF(Main[[#This Row],[Tech Start Date]]&lt;1/1/1990,"",IF(Main[[#This Row],[Class]]="C",WORKDAY(Main[[#This Row],[Tech Start Date]],19),IF(Main[[#This Row],[Class]]="B", WORKDAY(Main[[#This Row],[Tech Start Date]],12),IF(Main[[#This Row],[Class]]="A",WORKDAY(Main[[#This Row],[Tech Start Date]],4),""))))</f>
        <v/>
      </c>
      <c r="O1207" s="77" t="str">
        <f>IF(Main[[#This Row],[Tech Start Date]]&lt;1/1/1990,"",IF(Main[[#This Row],[Class]]="C",WORKDAY(Main[[#This Row],[Tech Start Date]],23),IF(Main[[#This Row],[Class]]="B", WORKDAY(Main[[#This Row],[Tech Start Date]],15),IF(Main[[#This Row],[Class]]="A",WORKDAY(Main[[#This Row],[Tech Start Date]],5),""))))</f>
        <v/>
      </c>
      <c r="P1207" s="77" t="str">
        <f>IF(Main[[#This Row],[Tech Start Date]]&lt;1/1/1990,"",IF(Main[[#This Row],[Class]]="C",WORKDAY(Main[[#This Row],[Tech Start Date]],28),IF(Main[[#This Row],[Class]]="B", WORKDAY(Main[[#This Row],[Tech Start Date]],19),IF(Main[[#This Row],[Class]]="A",WORKDAY(Main[[#This Row],[Tech Start Date]],9),""))))</f>
        <v/>
      </c>
      <c r="Q1207" s="74"/>
      <c r="R1207" s="74"/>
      <c r="S1207" s="72" t="s">
        <v>6</v>
      </c>
      <c r="T1207" s="80" t="s">
        <v>4</v>
      </c>
      <c r="U1207" s="72" t="s">
        <v>7</v>
      </c>
      <c r="V1207" s="72" t="s">
        <v>1932</v>
      </c>
      <c r="W1207" s="72" t="s">
        <v>1936</v>
      </c>
      <c r="X1207" s="72" t="s">
        <v>2901</v>
      </c>
      <c r="Y1207" s="72" t="s">
        <v>3219</v>
      </c>
      <c r="Z1207" s="72" t="s">
        <v>4</v>
      </c>
      <c r="AA1207" s="147" t="s">
        <v>2901</v>
      </c>
    </row>
    <row r="1208" spans="1:27" ht="18.600000000000001" customHeight="1">
      <c r="A1208" s="140" t="str">
        <f>IF(priority(Main[[#This Row],[Comments]])&lt;&gt;0, priority(Main[[#This Row],[Comments]]),"")</f>
        <v/>
      </c>
      <c r="B1208" s="90" t="s">
        <v>2300</v>
      </c>
      <c r="C1208" s="72" t="s">
        <v>4</v>
      </c>
      <c r="D1208" s="73" t="s">
        <v>2596</v>
      </c>
      <c r="E1208" s="74">
        <v>40809.3827662037</v>
      </c>
      <c r="F1208" s="74"/>
      <c r="G1208" s="75" t="str">
        <f>IF(stdProdLT(Main[[#This Row],[Comments]])=0.1,"N/A",IF(stdProdLT(Main[[#This Row],[Comments]])=0,"",stdProdLT(Main[[#This Row],[Comments]])))</f>
        <v/>
      </c>
      <c r="H1208" s="76" t="str">
        <f>IF(AND(Main[[#This Row],[In Stock Date]]&lt;&gt;"",Main[[#This Row],[Revised Due Date]]&lt;&gt;""),Main[[#This Row],[In Stock Date]]-Main[[#This Row],[Revised Due Date]],"")</f>
        <v/>
      </c>
      <c r="I1208" s="72" t="s">
        <v>923</v>
      </c>
      <c r="J1208" s="72" t="s">
        <v>52</v>
      </c>
      <c r="K1208" s="72" t="s">
        <v>4</v>
      </c>
      <c r="L1208" s="74"/>
      <c r="M1208" s="77" t="str">
        <f>IF(Main[[#This Row],[Tech Start Date]]&lt;1/1/1990,"",IF(Main[[#This Row],[Class]]="C",WORKDAY(Main[[#This Row],[Tech Start Date]],9),IF(Main[[#This Row],[Class]]="B", WORKDAY(Main[[#This Row],[Tech Start Date]],6),IF(Main[[#This Row],[Class]]="A",WORKDAY(Main[[#This Row],[Tech Start Date]],2),""))))</f>
        <v/>
      </c>
      <c r="N1208" s="77" t="str">
        <f>IF(Main[[#This Row],[Tech Start Date]]&lt;1/1/1990,"",IF(Main[[#This Row],[Class]]="C",WORKDAY(Main[[#This Row],[Tech Start Date]],19),IF(Main[[#This Row],[Class]]="B", WORKDAY(Main[[#This Row],[Tech Start Date]],12),IF(Main[[#This Row],[Class]]="A",WORKDAY(Main[[#This Row],[Tech Start Date]],4),""))))</f>
        <v/>
      </c>
      <c r="O1208" s="77" t="str">
        <f>IF(Main[[#This Row],[Tech Start Date]]&lt;1/1/1990,"",IF(Main[[#This Row],[Class]]="C",WORKDAY(Main[[#This Row],[Tech Start Date]],23),IF(Main[[#This Row],[Class]]="B", WORKDAY(Main[[#This Row],[Tech Start Date]],15),IF(Main[[#This Row],[Class]]="A",WORKDAY(Main[[#This Row],[Tech Start Date]],5),""))))</f>
        <v/>
      </c>
      <c r="P1208" s="77" t="str">
        <f>IF(Main[[#This Row],[Tech Start Date]]&lt;1/1/1990,"",IF(Main[[#This Row],[Class]]="C",WORKDAY(Main[[#This Row],[Tech Start Date]],28),IF(Main[[#This Row],[Class]]="B", WORKDAY(Main[[#This Row],[Tech Start Date]],19),IF(Main[[#This Row],[Class]]="A",WORKDAY(Main[[#This Row],[Tech Start Date]],9),""))))</f>
        <v/>
      </c>
      <c r="Q1208" s="74"/>
      <c r="R1208" s="74">
        <v>40840</v>
      </c>
      <c r="S1208" s="72" t="s">
        <v>6</v>
      </c>
      <c r="T1208" s="80" t="s">
        <v>4</v>
      </c>
      <c r="U1208" s="72" t="s">
        <v>29</v>
      </c>
      <c r="V1208" s="72" t="s">
        <v>1932</v>
      </c>
      <c r="W1208" s="72" t="s">
        <v>1936</v>
      </c>
      <c r="X1208" s="72" t="s">
        <v>310</v>
      </c>
      <c r="Y1208" s="72" t="s">
        <v>4</v>
      </c>
      <c r="Z1208" s="72" t="s">
        <v>129</v>
      </c>
      <c r="AA1208" s="147" t="s">
        <v>50</v>
      </c>
    </row>
    <row r="1209" spans="1:27" ht="18.600000000000001" customHeight="1">
      <c r="A1209" s="140" t="str">
        <f>IF(priority(Main[[#This Row],[Comments]])&lt;&gt;0, priority(Main[[#This Row],[Comments]]),"")</f>
        <v/>
      </c>
      <c r="B1209" s="90" t="s">
        <v>3535</v>
      </c>
      <c r="C1209" s="72" t="s">
        <v>47</v>
      </c>
      <c r="D1209" s="73" t="s">
        <v>3536</v>
      </c>
      <c r="E1209" s="74">
        <v>40938.378252314818</v>
      </c>
      <c r="F1209" s="74"/>
      <c r="G1209" s="75" t="str">
        <f>IF(stdProdLT(Main[[#This Row],[Comments]])=0.1,"N/A",IF(stdProdLT(Main[[#This Row],[Comments]])=0,"",stdProdLT(Main[[#This Row],[Comments]])))</f>
        <v/>
      </c>
      <c r="H1209" s="76" t="str">
        <f>IF(AND(Main[[#This Row],[In Stock Date]]&lt;&gt;"",Main[[#This Row],[Revised Due Date]]&lt;&gt;""),Main[[#This Row],[In Stock Date]]-Main[[#This Row],[Revised Due Date]],"")</f>
        <v/>
      </c>
      <c r="I1209" s="72" t="s">
        <v>4</v>
      </c>
      <c r="J1209" s="72" t="s">
        <v>4</v>
      </c>
      <c r="K1209" s="81" t="s">
        <v>4</v>
      </c>
      <c r="L1209" s="74"/>
      <c r="M1209" s="77" t="str">
        <f>IF(Main[[#This Row],[Tech Start Date]]&lt;1/1/1990,"",IF(Main[[#This Row],[Class]]="C",WORKDAY(Main[[#This Row],[Tech Start Date]],9),IF(Main[[#This Row],[Class]]="B", WORKDAY(Main[[#This Row],[Tech Start Date]],6),IF(Main[[#This Row],[Class]]="A",WORKDAY(Main[[#This Row],[Tech Start Date]],2),""))))</f>
        <v/>
      </c>
      <c r="N1209" s="77" t="str">
        <f>IF(Main[[#This Row],[Tech Start Date]]&lt;1/1/1990,"",IF(Main[[#This Row],[Class]]="C",WORKDAY(Main[[#This Row],[Tech Start Date]],19),IF(Main[[#This Row],[Class]]="B", WORKDAY(Main[[#This Row],[Tech Start Date]],12),IF(Main[[#This Row],[Class]]="A",WORKDAY(Main[[#This Row],[Tech Start Date]],4),""))))</f>
        <v/>
      </c>
      <c r="O1209" s="77" t="str">
        <f>IF(Main[[#This Row],[Tech Start Date]]&lt;1/1/1990,"",IF(Main[[#This Row],[Class]]="C",WORKDAY(Main[[#This Row],[Tech Start Date]],23),IF(Main[[#This Row],[Class]]="B", WORKDAY(Main[[#This Row],[Tech Start Date]],15),IF(Main[[#This Row],[Class]]="A",WORKDAY(Main[[#This Row],[Tech Start Date]],5),""))))</f>
        <v/>
      </c>
      <c r="P1209" s="77" t="str">
        <f>IF(Main[[#This Row],[Tech Start Date]]&lt;1/1/1990,"",IF(Main[[#This Row],[Class]]="C",WORKDAY(Main[[#This Row],[Tech Start Date]],28),IF(Main[[#This Row],[Class]]="B", WORKDAY(Main[[#This Row],[Tech Start Date]],19),IF(Main[[#This Row],[Class]]="A",WORKDAY(Main[[#This Row],[Tech Start Date]],9),""))))</f>
        <v/>
      </c>
      <c r="Q1209" s="74">
        <v>40939</v>
      </c>
      <c r="R1209" s="74"/>
      <c r="S1209" s="72" t="s">
        <v>6</v>
      </c>
      <c r="T1209" s="80" t="s">
        <v>4</v>
      </c>
      <c r="U1209" s="72" t="s">
        <v>7</v>
      </c>
      <c r="V1209" s="72" t="s">
        <v>2312</v>
      </c>
      <c r="W1209" s="72" t="s">
        <v>4</v>
      </c>
      <c r="X1209" s="72" t="s">
        <v>2949</v>
      </c>
      <c r="Y1209" s="72" t="s">
        <v>3097</v>
      </c>
      <c r="Z1209" s="72" t="s">
        <v>4</v>
      </c>
      <c r="AA1209" s="147" t="s">
        <v>2949</v>
      </c>
    </row>
    <row r="1210" spans="1:27" ht="18.600000000000001" customHeight="1">
      <c r="A1210" s="140" t="str">
        <f>IF(priority(Main[[#This Row],[Comments]])&lt;&gt;0, priority(Main[[#This Row],[Comments]]),"")</f>
        <v/>
      </c>
      <c r="B1210" s="90" t="s">
        <v>3407</v>
      </c>
      <c r="C1210" s="72" t="s">
        <v>4</v>
      </c>
      <c r="D1210" s="73" t="s">
        <v>3408</v>
      </c>
      <c r="E1210" s="74">
        <v>40932.643865740742</v>
      </c>
      <c r="F1210" s="74"/>
      <c r="G1210" s="75" t="str">
        <f>IF(stdProdLT(Main[[#This Row],[Comments]])=0.1,"N/A",IF(stdProdLT(Main[[#This Row],[Comments]])=0,"",stdProdLT(Main[[#This Row],[Comments]])))</f>
        <v/>
      </c>
      <c r="H1210" s="76" t="str">
        <f>IF(AND(Main[[#This Row],[In Stock Date]]&lt;&gt;"",Main[[#This Row],[Revised Due Date]]&lt;&gt;""),Main[[#This Row],[In Stock Date]]-Main[[#This Row],[Revised Due Date]],"")</f>
        <v/>
      </c>
      <c r="I1210" s="72" t="s">
        <v>4</v>
      </c>
      <c r="J1210" s="72" t="s">
        <v>4</v>
      </c>
      <c r="K1210" s="72" t="s">
        <v>4</v>
      </c>
      <c r="L1210" s="74"/>
      <c r="M1210" s="77" t="str">
        <f>IF(Main[[#This Row],[Tech Start Date]]&lt;1/1/1990,"",IF(Main[[#This Row],[Class]]="C",WORKDAY(Main[[#This Row],[Tech Start Date]],9),IF(Main[[#This Row],[Class]]="B", WORKDAY(Main[[#This Row],[Tech Start Date]],6),IF(Main[[#This Row],[Class]]="A",WORKDAY(Main[[#This Row],[Tech Start Date]],2),""))))</f>
        <v/>
      </c>
      <c r="N1210" s="77" t="str">
        <f>IF(Main[[#This Row],[Tech Start Date]]&lt;1/1/1990,"",IF(Main[[#This Row],[Class]]="C",WORKDAY(Main[[#This Row],[Tech Start Date]],19),IF(Main[[#This Row],[Class]]="B", WORKDAY(Main[[#This Row],[Tech Start Date]],12),IF(Main[[#This Row],[Class]]="A",WORKDAY(Main[[#This Row],[Tech Start Date]],4),""))))</f>
        <v/>
      </c>
      <c r="O1210" s="77" t="str">
        <f>IF(Main[[#This Row],[Tech Start Date]]&lt;1/1/1990,"",IF(Main[[#This Row],[Class]]="C",WORKDAY(Main[[#This Row],[Tech Start Date]],23),IF(Main[[#This Row],[Class]]="B", WORKDAY(Main[[#This Row],[Tech Start Date]],15),IF(Main[[#This Row],[Class]]="A",WORKDAY(Main[[#This Row],[Tech Start Date]],5),""))))</f>
        <v/>
      </c>
      <c r="P1210" s="77" t="str">
        <f>IF(Main[[#This Row],[Tech Start Date]]&lt;1/1/1990,"",IF(Main[[#This Row],[Class]]="C",WORKDAY(Main[[#This Row],[Tech Start Date]],28),IF(Main[[#This Row],[Class]]="B", WORKDAY(Main[[#This Row],[Tech Start Date]],19),IF(Main[[#This Row],[Class]]="A",WORKDAY(Main[[#This Row],[Tech Start Date]],9),""))))</f>
        <v/>
      </c>
      <c r="Q1210" s="74">
        <v>40968</v>
      </c>
      <c r="R1210" s="74"/>
      <c r="S1210" s="72" t="s">
        <v>6</v>
      </c>
      <c r="T1210" s="80" t="s">
        <v>4</v>
      </c>
      <c r="U1210" s="72" t="s">
        <v>7</v>
      </c>
      <c r="V1210" s="72" t="s">
        <v>1935</v>
      </c>
      <c r="W1210" s="72" t="s">
        <v>4</v>
      </c>
      <c r="X1210" s="72" t="s">
        <v>2903</v>
      </c>
      <c r="Y1210" s="72" t="s">
        <v>3019</v>
      </c>
      <c r="Z1210" s="72" t="s">
        <v>4</v>
      </c>
      <c r="AA1210" s="147" t="s">
        <v>2903</v>
      </c>
    </row>
    <row r="1211" spans="1:27" ht="18.600000000000001" customHeight="1">
      <c r="A1211" s="140" t="str">
        <f>IF(priority(Main[[#This Row],[Comments]])&lt;&gt;0, priority(Main[[#This Row],[Comments]]),"")</f>
        <v/>
      </c>
      <c r="B1211" s="90" t="s">
        <v>2590</v>
      </c>
      <c r="C1211" s="72" t="s">
        <v>4</v>
      </c>
      <c r="D1211" s="73" t="s">
        <v>3409</v>
      </c>
      <c r="E1211" s="74">
        <v>40876.276597222219</v>
      </c>
      <c r="F1211" s="74"/>
      <c r="G1211" s="75" t="str">
        <f>IF(stdProdLT(Main[[#This Row],[Comments]])=0.1,"N/A",IF(stdProdLT(Main[[#This Row],[Comments]])=0,"",stdProdLT(Main[[#This Row],[Comments]])))</f>
        <v/>
      </c>
      <c r="H1211" s="76" t="str">
        <f>IF(AND(Main[[#This Row],[In Stock Date]]&lt;&gt;"",Main[[#This Row],[Revised Due Date]]&lt;&gt;""),Main[[#This Row],[In Stock Date]]-Main[[#This Row],[Revised Due Date]],"")</f>
        <v/>
      </c>
      <c r="I1211" s="72" t="s">
        <v>69</v>
      </c>
      <c r="J1211" s="72" t="s">
        <v>70</v>
      </c>
      <c r="K1211" s="72" t="s">
        <v>1941</v>
      </c>
      <c r="L1211" s="74"/>
      <c r="M1211" s="77" t="str">
        <f>IF(Main[[#This Row],[Tech Start Date]]&lt;1/1/1990,"",IF(Main[[#This Row],[Class]]="C",WORKDAY(Main[[#This Row],[Tech Start Date]],9),IF(Main[[#This Row],[Class]]="B", WORKDAY(Main[[#This Row],[Tech Start Date]],6),IF(Main[[#This Row],[Class]]="A",WORKDAY(Main[[#This Row],[Tech Start Date]],2),""))))</f>
        <v/>
      </c>
      <c r="N1211" s="77" t="str">
        <f>IF(Main[[#This Row],[Tech Start Date]]&lt;1/1/1990,"",IF(Main[[#This Row],[Class]]="C",WORKDAY(Main[[#This Row],[Tech Start Date]],19),IF(Main[[#This Row],[Class]]="B", WORKDAY(Main[[#This Row],[Tech Start Date]],12),IF(Main[[#This Row],[Class]]="A",WORKDAY(Main[[#This Row],[Tech Start Date]],4),""))))</f>
        <v/>
      </c>
      <c r="O1211" s="77" t="str">
        <f>IF(Main[[#This Row],[Tech Start Date]]&lt;1/1/1990,"",IF(Main[[#This Row],[Class]]="C",WORKDAY(Main[[#This Row],[Tech Start Date]],23),IF(Main[[#This Row],[Class]]="B", WORKDAY(Main[[#This Row],[Tech Start Date]],15),IF(Main[[#This Row],[Class]]="A",WORKDAY(Main[[#This Row],[Tech Start Date]],5),""))))</f>
        <v/>
      </c>
      <c r="P1211" s="77" t="str">
        <f>IF(Main[[#This Row],[Tech Start Date]]&lt;1/1/1990,"",IF(Main[[#This Row],[Class]]="C",WORKDAY(Main[[#This Row],[Tech Start Date]],28),IF(Main[[#This Row],[Class]]="B", WORKDAY(Main[[#This Row],[Tech Start Date]],19),IF(Main[[#This Row],[Class]]="A",WORKDAY(Main[[#This Row],[Tech Start Date]],9),""))))</f>
        <v/>
      </c>
      <c r="Q1211" s="74">
        <v>40907</v>
      </c>
      <c r="R1211" s="74"/>
      <c r="S1211" s="72" t="s">
        <v>6</v>
      </c>
      <c r="T1211" s="80" t="s">
        <v>4</v>
      </c>
      <c r="U1211" s="72" t="s">
        <v>29</v>
      </c>
      <c r="V1211" s="72" t="s">
        <v>1942</v>
      </c>
      <c r="W1211" s="72" t="s">
        <v>1936</v>
      </c>
      <c r="X1211" s="72" t="s">
        <v>2902</v>
      </c>
      <c r="Y1211" s="72" t="s">
        <v>3016</v>
      </c>
      <c r="Z1211" s="72" t="s">
        <v>30</v>
      </c>
      <c r="AA1211" s="147" t="s">
        <v>2902</v>
      </c>
    </row>
    <row r="1212" spans="1:27" ht="18.600000000000001" customHeight="1">
      <c r="A1212" s="140" t="str">
        <f>IF(priority(Main[[#This Row],[Comments]])&lt;&gt;0, priority(Main[[#This Row],[Comments]]),"")</f>
        <v/>
      </c>
      <c r="B1212" s="90" t="s">
        <v>2573</v>
      </c>
      <c r="C1212" s="72" t="s">
        <v>4</v>
      </c>
      <c r="D1212" s="73" t="s">
        <v>2574</v>
      </c>
      <c r="E1212" s="74">
        <v>40861.6484837963</v>
      </c>
      <c r="F1212" s="74"/>
      <c r="G1212" s="75" t="str">
        <f>IF(stdProdLT(Main[[#This Row],[Comments]])=0.1,"N/A",IF(stdProdLT(Main[[#This Row],[Comments]])=0,"",stdProdLT(Main[[#This Row],[Comments]])))</f>
        <v/>
      </c>
      <c r="H1212" s="76" t="str">
        <f>IF(AND(Main[[#This Row],[In Stock Date]]&lt;&gt;"",Main[[#This Row],[Revised Due Date]]&lt;&gt;""),Main[[#This Row],[In Stock Date]]-Main[[#This Row],[Revised Due Date]],"")</f>
        <v/>
      </c>
      <c r="I1212" s="72" t="s">
        <v>4</v>
      </c>
      <c r="J1212" s="72" t="s">
        <v>4</v>
      </c>
      <c r="K1212" s="72" t="s">
        <v>4</v>
      </c>
      <c r="L1212" s="74"/>
      <c r="M1212" s="77" t="str">
        <f>IF(Main[[#This Row],[Tech Start Date]]&lt;1/1/1990,"",IF(Main[[#This Row],[Class]]="C",WORKDAY(Main[[#This Row],[Tech Start Date]],9),IF(Main[[#This Row],[Class]]="B", WORKDAY(Main[[#This Row],[Tech Start Date]],6),IF(Main[[#This Row],[Class]]="A",WORKDAY(Main[[#This Row],[Tech Start Date]],2),""))))</f>
        <v/>
      </c>
      <c r="N1212" s="77" t="str">
        <f>IF(Main[[#This Row],[Tech Start Date]]&lt;1/1/1990,"",IF(Main[[#This Row],[Class]]="C",WORKDAY(Main[[#This Row],[Tech Start Date]],19),IF(Main[[#This Row],[Class]]="B", WORKDAY(Main[[#This Row],[Tech Start Date]],12),IF(Main[[#This Row],[Class]]="A",WORKDAY(Main[[#This Row],[Tech Start Date]],4),""))))</f>
        <v/>
      </c>
      <c r="O1212" s="77" t="str">
        <f>IF(Main[[#This Row],[Tech Start Date]]&lt;1/1/1990,"",IF(Main[[#This Row],[Class]]="C",WORKDAY(Main[[#This Row],[Tech Start Date]],23),IF(Main[[#This Row],[Class]]="B", WORKDAY(Main[[#This Row],[Tech Start Date]],15),IF(Main[[#This Row],[Class]]="A",WORKDAY(Main[[#This Row],[Tech Start Date]],5),""))))</f>
        <v/>
      </c>
      <c r="P1212" s="77" t="str">
        <f>IF(Main[[#This Row],[Tech Start Date]]&lt;1/1/1990,"",IF(Main[[#This Row],[Class]]="C",WORKDAY(Main[[#This Row],[Tech Start Date]],28),IF(Main[[#This Row],[Class]]="B", WORKDAY(Main[[#This Row],[Tech Start Date]],19),IF(Main[[#This Row],[Class]]="A",WORKDAY(Main[[#This Row],[Tech Start Date]],9),""))))</f>
        <v/>
      </c>
      <c r="Q1212" s="74">
        <v>41372</v>
      </c>
      <c r="R1212" s="74"/>
      <c r="S1212" s="72" t="s">
        <v>17</v>
      </c>
      <c r="T1212" s="80" t="s">
        <v>4</v>
      </c>
      <c r="U1212" s="72" t="s">
        <v>29</v>
      </c>
      <c r="V1212" s="72" t="s">
        <v>1935</v>
      </c>
      <c r="W1212" s="72" t="s">
        <v>1937</v>
      </c>
      <c r="X1212" s="72" t="s">
        <v>659</v>
      </c>
      <c r="Y1212" s="72" t="s">
        <v>3215</v>
      </c>
      <c r="Z1212" s="72" t="s">
        <v>4</v>
      </c>
      <c r="AA1212" s="147" t="s">
        <v>659</v>
      </c>
    </row>
    <row r="1213" spans="1:27" ht="18.600000000000001" customHeight="1">
      <c r="A1213" s="140" t="str">
        <f>IF(priority(Main[[#This Row],[Comments]])&lt;&gt;0, priority(Main[[#This Row],[Comments]]),"")</f>
        <v/>
      </c>
      <c r="B1213" s="90" t="s">
        <v>1599</v>
      </c>
      <c r="C1213" s="72" t="s">
        <v>4</v>
      </c>
      <c r="D1213" s="73" t="s">
        <v>2723</v>
      </c>
      <c r="E1213" s="74">
        <v>40455.90111111111</v>
      </c>
      <c r="F1213" s="74"/>
      <c r="G1213" s="75" t="str">
        <f>IF(stdProdLT(Main[[#This Row],[Comments]])=0.1,"N/A",IF(stdProdLT(Main[[#This Row],[Comments]])=0,"",stdProdLT(Main[[#This Row],[Comments]])))</f>
        <v/>
      </c>
      <c r="H1213" s="76" t="str">
        <f>IF(AND(Main[[#This Row],[In Stock Date]]&lt;&gt;"",Main[[#This Row],[Revised Due Date]]&lt;&gt;""),Main[[#This Row],[In Stock Date]]-Main[[#This Row],[Revised Due Date]],"")</f>
        <v/>
      </c>
      <c r="I1213" s="72" t="s">
        <v>4</v>
      </c>
      <c r="J1213" s="72" t="s">
        <v>28</v>
      </c>
      <c r="K1213" s="72" t="s">
        <v>1944</v>
      </c>
      <c r="L1213" s="74"/>
      <c r="M1213" s="77" t="str">
        <f>IF(Main[[#This Row],[Tech Start Date]]&lt;1/1/1990,"",IF(Main[[#This Row],[Class]]="C",WORKDAY(Main[[#This Row],[Tech Start Date]],9),IF(Main[[#This Row],[Class]]="B", WORKDAY(Main[[#This Row],[Tech Start Date]],6),IF(Main[[#This Row],[Class]]="A",WORKDAY(Main[[#This Row],[Tech Start Date]],2),""))))</f>
        <v/>
      </c>
      <c r="N1213" s="77" t="str">
        <f>IF(Main[[#This Row],[Tech Start Date]]&lt;1/1/1990,"",IF(Main[[#This Row],[Class]]="C",WORKDAY(Main[[#This Row],[Tech Start Date]],19),IF(Main[[#This Row],[Class]]="B", WORKDAY(Main[[#This Row],[Tech Start Date]],12),IF(Main[[#This Row],[Class]]="A",WORKDAY(Main[[#This Row],[Tech Start Date]],4),""))))</f>
        <v/>
      </c>
      <c r="O1213" s="77" t="str">
        <f>IF(Main[[#This Row],[Tech Start Date]]&lt;1/1/1990,"",IF(Main[[#This Row],[Class]]="C",WORKDAY(Main[[#This Row],[Tech Start Date]],23),IF(Main[[#This Row],[Class]]="B", WORKDAY(Main[[#This Row],[Tech Start Date]],15),IF(Main[[#This Row],[Class]]="A",WORKDAY(Main[[#This Row],[Tech Start Date]],5),""))))</f>
        <v/>
      </c>
      <c r="P1213" s="77" t="str">
        <f>IF(Main[[#This Row],[Tech Start Date]]&lt;1/1/1990,"",IF(Main[[#This Row],[Class]]="C",WORKDAY(Main[[#This Row],[Tech Start Date]],28),IF(Main[[#This Row],[Class]]="B", WORKDAY(Main[[#This Row],[Tech Start Date]],19),IF(Main[[#This Row],[Class]]="A",WORKDAY(Main[[#This Row],[Tech Start Date]],9),""))))</f>
        <v/>
      </c>
      <c r="Q1213" s="74">
        <v>41060</v>
      </c>
      <c r="R1213" s="74"/>
      <c r="S1213" s="72" t="s">
        <v>17</v>
      </c>
      <c r="T1213" s="80" t="s">
        <v>4</v>
      </c>
      <c r="U1213" s="72" t="s">
        <v>7</v>
      </c>
      <c r="V1213" s="72" t="s">
        <v>1932</v>
      </c>
      <c r="W1213" s="72" t="s">
        <v>1934</v>
      </c>
      <c r="X1213" s="72" t="s">
        <v>129</v>
      </c>
      <c r="Y1213" s="72" t="s">
        <v>3020</v>
      </c>
      <c r="Z1213" s="72" t="s">
        <v>129</v>
      </c>
      <c r="AA1213" s="147" t="s">
        <v>129</v>
      </c>
    </row>
    <row r="1214" spans="1:27" ht="18.600000000000001" customHeight="1">
      <c r="A1214" s="140" t="str">
        <f>IF(priority(Main[[#This Row],[Comments]])&lt;&gt;0, priority(Main[[#This Row],[Comments]]),"")</f>
        <v/>
      </c>
      <c r="B1214" s="90" t="s">
        <v>2850</v>
      </c>
      <c r="C1214" s="72" t="s">
        <v>47</v>
      </c>
      <c r="D1214" s="73" t="s">
        <v>2851</v>
      </c>
      <c r="E1214" s="74"/>
      <c r="F1214" s="74"/>
      <c r="G1214" s="75" t="str">
        <f>IF(stdProdLT(Main[[#This Row],[Comments]])=0.1,"N/A",IF(stdProdLT(Main[[#This Row],[Comments]])=0,"",stdProdLT(Main[[#This Row],[Comments]])))</f>
        <v/>
      </c>
      <c r="H1214" s="76" t="str">
        <f>IF(AND(Main[[#This Row],[In Stock Date]]&lt;&gt;"",Main[[#This Row],[Revised Due Date]]&lt;&gt;""),Main[[#This Row],[In Stock Date]]-Main[[#This Row],[Revised Due Date]],"")</f>
        <v/>
      </c>
      <c r="I1214" s="72" t="s">
        <v>4</v>
      </c>
      <c r="J1214" s="72" t="s">
        <v>4</v>
      </c>
      <c r="K1214" s="72" t="s">
        <v>4</v>
      </c>
      <c r="L1214" s="74"/>
      <c r="M1214" s="77" t="str">
        <f>IF(Main[[#This Row],[Tech Start Date]]&lt;1/1/1990,"",IF(Main[[#This Row],[Class]]="C",WORKDAY(Main[[#This Row],[Tech Start Date]],9),IF(Main[[#This Row],[Class]]="B", WORKDAY(Main[[#This Row],[Tech Start Date]],6),IF(Main[[#This Row],[Class]]="A",WORKDAY(Main[[#This Row],[Tech Start Date]],2),""))))</f>
        <v/>
      </c>
      <c r="N1214" s="77" t="str">
        <f>IF(Main[[#This Row],[Tech Start Date]]&lt;1/1/1990,"",IF(Main[[#This Row],[Class]]="C",WORKDAY(Main[[#This Row],[Tech Start Date]],19),IF(Main[[#This Row],[Class]]="B", WORKDAY(Main[[#This Row],[Tech Start Date]],12),IF(Main[[#This Row],[Class]]="A",WORKDAY(Main[[#This Row],[Tech Start Date]],4),""))))</f>
        <v/>
      </c>
      <c r="O1214" s="77" t="str">
        <f>IF(Main[[#This Row],[Tech Start Date]]&lt;1/1/1990,"",IF(Main[[#This Row],[Class]]="C",WORKDAY(Main[[#This Row],[Tech Start Date]],23),IF(Main[[#This Row],[Class]]="B", WORKDAY(Main[[#This Row],[Tech Start Date]],15),IF(Main[[#This Row],[Class]]="A",WORKDAY(Main[[#This Row],[Tech Start Date]],5),""))))</f>
        <v/>
      </c>
      <c r="P1214" s="77" t="str">
        <f>IF(Main[[#This Row],[Tech Start Date]]&lt;1/1/1990,"",IF(Main[[#This Row],[Class]]="C",WORKDAY(Main[[#This Row],[Tech Start Date]],28),IF(Main[[#This Row],[Class]]="B", WORKDAY(Main[[#This Row],[Tech Start Date]],19),IF(Main[[#This Row],[Class]]="A",WORKDAY(Main[[#This Row],[Tech Start Date]],9),""))))</f>
        <v/>
      </c>
      <c r="Q1214" s="74">
        <v>40907</v>
      </c>
      <c r="R1214" s="74"/>
      <c r="S1214" s="72" t="s">
        <v>6</v>
      </c>
      <c r="T1214" s="80" t="s">
        <v>4</v>
      </c>
      <c r="U1214" s="72" t="s">
        <v>12</v>
      </c>
      <c r="V1214" s="72" t="s">
        <v>1935</v>
      </c>
      <c r="W1214" s="72" t="s">
        <v>4</v>
      </c>
      <c r="X1214" s="72" t="s">
        <v>2949</v>
      </c>
      <c r="Y1214" s="72" t="s">
        <v>3097</v>
      </c>
      <c r="Z1214" s="72" t="s">
        <v>4</v>
      </c>
      <c r="AA1214" s="147" t="s">
        <v>2949</v>
      </c>
    </row>
    <row r="1215" spans="1:27" ht="18.600000000000001" customHeight="1">
      <c r="A1215" s="140" t="str">
        <f>IF(priority(Main[[#This Row],[Comments]])&lt;&gt;0, priority(Main[[#This Row],[Comments]]),"")</f>
        <v/>
      </c>
      <c r="B1215" s="90" t="s">
        <v>2753</v>
      </c>
      <c r="C1215" s="72" t="s">
        <v>4</v>
      </c>
      <c r="D1215" s="73" t="s">
        <v>3410</v>
      </c>
      <c r="E1215" s="74">
        <v>40917.540925925925</v>
      </c>
      <c r="F1215" s="74"/>
      <c r="G1215" s="75" t="str">
        <f>IF(stdProdLT(Main[[#This Row],[Comments]])=0.1,"N/A",IF(stdProdLT(Main[[#This Row],[Comments]])=0,"",stdProdLT(Main[[#This Row],[Comments]])))</f>
        <v/>
      </c>
      <c r="H1215" s="76" t="str">
        <f>IF(AND(Main[[#This Row],[In Stock Date]]&lt;&gt;"",Main[[#This Row],[Revised Due Date]]&lt;&gt;""),Main[[#This Row],[In Stock Date]]-Main[[#This Row],[Revised Due Date]],"")</f>
        <v/>
      </c>
      <c r="I1215" s="72" t="s">
        <v>2073</v>
      </c>
      <c r="J1215" s="72" t="s">
        <v>21</v>
      </c>
      <c r="K1215" s="72" t="s">
        <v>1941</v>
      </c>
      <c r="L1215" s="74"/>
      <c r="M1215" s="77" t="str">
        <f>IF(Main[[#This Row],[Tech Start Date]]&lt;1/1/1990,"",IF(Main[[#This Row],[Class]]="C",WORKDAY(Main[[#This Row],[Tech Start Date]],9),IF(Main[[#This Row],[Class]]="B", WORKDAY(Main[[#This Row],[Tech Start Date]],6),IF(Main[[#This Row],[Class]]="A",WORKDAY(Main[[#This Row],[Tech Start Date]],2),""))))</f>
        <v/>
      </c>
      <c r="N1215" s="77" t="str">
        <f>IF(Main[[#This Row],[Tech Start Date]]&lt;1/1/1990,"",IF(Main[[#This Row],[Class]]="C",WORKDAY(Main[[#This Row],[Tech Start Date]],19),IF(Main[[#This Row],[Class]]="B", WORKDAY(Main[[#This Row],[Tech Start Date]],12),IF(Main[[#This Row],[Class]]="A",WORKDAY(Main[[#This Row],[Tech Start Date]],4),""))))</f>
        <v/>
      </c>
      <c r="O1215" s="77" t="str">
        <f>IF(Main[[#This Row],[Tech Start Date]]&lt;1/1/1990,"",IF(Main[[#This Row],[Class]]="C",WORKDAY(Main[[#This Row],[Tech Start Date]],23),IF(Main[[#This Row],[Class]]="B", WORKDAY(Main[[#This Row],[Tech Start Date]],15),IF(Main[[#This Row],[Class]]="A",WORKDAY(Main[[#This Row],[Tech Start Date]],5),""))))</f>
        <v/>
      </c>
      <c r="P1215" s="77" t="str">
        <f>IF(Main[[#This Row],[Tech Start Date]]&lt;1/1/1990,"",IF(Main[[#This Row],[Class]]="C",WORKDAY(Main[[#This Row],[Tech Start Date]],28),IF(Main[[#This Row],[Class]]="B", WORKDAY(Main[[#This Row],[Tech Start Date]],19),IF(Main[[#This Row],[Class]]="A",WORKDAY(Main[[#This Row],[Tech Start Date]],9),""))))</f>
        <v/>
      </c>
      <c r="Q1215" s="74">
        <v>40949</v>
      </c>
      <c r="R1215" s="74"/>
      <c r="S1215" s="72" t="s">
        <v>6</v>
      </c>
      <c r="T1215" s="80" t="s">
        <v>4</v>
      </c>
      <c r="U1215" s="72" t="s">
        <v>29</v>
      </c>
      <c r="V1215" s="72" t="s">
        <v>1935</v>
      </c>
      <c r="W1215" s="72" t="s">
        <v>1936</v>
      </c>
      <c r="X1215" s="72" t="s">
        <v>2903</v>
      </c>
      <c r="Y1215" s="72" t="s">
        <v>3019</v>
      </c>
      <c r="Z1215" s="72" t="s">
        <v>30</v>
      </c>
      <c r="AA1215" s="147" t="s">
        <v>2903</v>
      </c>
    </row>
    <row r="1216" spans="1:27" ht="18.600000000000001" customHeight="1">
      <c r="A1216" s="140" t="str">
        <f>IF(priority(Main[[#This Row],[Comments]])&lt;&gt;0, priority(Main[[#This Row],[Comments]]),"")</f>
        <v/>
      </c>
      <c r="B1216" s="90" t="s">
        <v>1912</v>
      </c>
      <c r="C1216" s="72" t="s">
        <v>4</v>
      </c>
      <c r="D1216" s="73" t="s">
        <v>3781</v>
      </c>
      <c r="E1216" s="74">
        <v>40203.692094907405</v>
      </c>
      <c r="F1216" s="74"/>
      <c r="G1216" s="75" t="str">
        <f>IF(stdProdLT(Main[[#This Row],[Comments]])=0.1,"N/A",IF(stdProdLT(Main[[#This Row],[Comments]])=0,"",stdProdLT(Main[[#This Row],[Comments]])))</f>
        <v/>
      </c>
      <c r="H1216" s="76" t="str">
        <f>IF(AND(Main[[#This Row],[In Stock Date]]&lt;&gt;"",Main[[#This Row],[Revised Due Date]]&lt;&gt;""),Main[[#This Row],[In Stock Date]]-Main[[#This Row],[Revised Due Date]],"")</f>
        <v/>
      </c>
      <c r="I1216" s="72" t="s">
        <v>897</v>
      </c>
      <c r="J1216" s="72" t="s">
        <v>28</v>
      </c>
      <c r="K1216" s="72" t="s">
        <v>1944</v>
      </c>
      <c r="L1216" s="74"/>
      <c r="M1216" s="77" t="str">
        <f>IF(Main[[#This Row],[Tech Start Date]]&lt;1/1/1990,"",IF(Main[[#This Row],[Class]]="C",WORKDAY(Main[[#This Row],[Tech Start Date]],9),IF(Main[[#This Row],[Class]]="B", WORKDAY(Main[[#This Row],[Tech Start Date]],6),IF(Main[[#This Row],[Class]]="A",WORKDAY(Main[[#This Row],[Tech Start Date]],2),""))))</f>
        <v/>
      </c>
      <c r="N1216" s="77" t="str">
        <f>IF(Main[[#This Row],[Tech Start Date]]&lt;1/1/1990,"",IF(Main[[#This Row],[Class]]="C",WORKDAY(Main[[#This Row],[Tech Start Date]],19),IF(Main[[#This Row],[Class]]="B", WORKDAY(Main[[#This Row],[Tech Start Date]],12),IF(Main[[#This Row],[Class]]="A",WORKDAY(Main[[#This Row],[Tech Start Date]],4),""))))</f>
        <v/>
      </c>
      <c r="O1216" s="77" t="str">
        <f>IF(Main[[#This Row],[Tech Start Date]]&lt;1/1/1990,"",IF(Main[[#This Row],[Class]]="C",WORKDAY(Main[[#This Row],[Tech Start Date]],23),IF(Main[[#This Row],[Class]]="B", WORKDAY(Main[[#This Row],[Tech Start Date]],15),IF(Main[[#This Row],[Class]]="A",WORKDAY(Main[[#This Row],[Tech Start Date]],5),""))))</f>
        <v/>
      </c>
      <c r="P1216" s="77" t="str">
        <f>IF(Main[[#This Row],[Tech Start Date]]&lt;1/1/1990,"",IF(Main[[#This Row],[Class]]="C",WORKDAY(Main[[#This Row],[Tech Start Date]],28),IF(Main[[#This Row],[Class]]="B", WORKDAY(Main[[#This Row],[Tech Start Date]],19),IF(Main[[#This Row],[Class]]="A",WORKDAY(Main[[#This Row],[Tech Start Date]],9),""))))</f>
        <v/>
      </c>
      <c r="Q1216" s="74">
        <v>40724</v>
      </c>
      <c r="R1216" s="74">
        <v>41152</v>
      </c>
      <c r="S1216" s="72" t="s">
        <v>17</v>
      </c>
      <c r="T1216" s="80" t="s">
        <v>2501</v>
      </c>
      <c r="U1216" s="72" t="s">
        <v>29</v>
      </c>
      <c r="V1216" s="72" t="s">
        <v>1932</v>
      </c>
      <c r="W1216" s="72" t="s">
        <v>1937</v>
      </c>
      <c r="X1216" s="72" t="s">
        <v>129</v>
      </c>
      <c r="Y1216" s="72" t="s">
        <v>3020</v>
      </c>
      <c r="Z1216" s="72" t="s">
        <v>129</v>
      </c>
      <c r="AA1216" s="147" t="s">
        <v>129</v>
      </c>
    </row>
    <row r="1217" spans="1:27" ht="18.600000000000001" customHeight="1">
      <c r="A1217" s="140" t="str">
        <f>IF(priority(Main[[#This Row],[Comments]])&lt;&gt;0, priority(Main[[#This Row],[Comments]]),"")</f>
        <v/>
      </c>
      <c r="B1217" s="90" t="s">
        <v>3782</v>
      </c>
      <c r="C1217" s="72" t="s">
        <v>3783</v>
      </c>
      <c r="D1217" s="73" t="s">
        <v>3784</v>
      </c>
      <c r="E1217" s="74">
        <v>40949.611643518518</v>
      </c>
      <c r="F1217" s="74"/>
      <c r="G1217" s="75" t="str">
        <f>IF(stdProdLT(Main[[#This Row],[Comments]])=0.1,"N/A",IF(stdProdLT(Main[[#This Row],[Comments]])=0,"",stdProdLT(Main[[#This Row],[Comments]])))</f>
        <v/>
      </c>
      <c r="H1217" s="76" t="str">
        <f>IF(AND(Main[[#This Row],[In Stock Date]]&lt;&gt;"",Main[[#This Row],[Revised Due Date]]&lt;&gt;""),Main[[#This Row],[In Stock Date]]-Main[[#This Row],[Revised Due Date]],"")</f>
        <v/>
      </c>
      <c r="I1217" s="72" t="s">
        <v>4</v>
      </c>
      <c r="J1217" s="72" t="s">
        <v>4</v>
      </c>
      <c r="K1217" s="72" t="s">
        <v>4</v>
      </c>
      <c r="L1217" s="74"/>
      <c r="M1217" s="77" t="str">
        <f>IF(Main[[#This Row],[Tech Start Date]]&lt;1/1/1990,"",IF(Main[[#This Row],[Class]]="C",WORKDAY(Main[[#This Row],[Tech Start Date]],9),IF(Main[[#This Row],[Class]]="B", WORKDAY(Main[[#This Row],[Tech Start Date]],6),IF(Main[[#This Row],[Class]]="A",WORKDAY(Main[[#This Row],[Tech Start Date]],2),""))))</f>
        <v/>
      </c>
      <c r="N1217" s="77" t="str">
        <f>IF(Main[[#This Row],[Tech Start Date]]&lt;1/1/1990,"",IF(Main[[#This Row],[Class]]="C",WORKDAY(Main[[#This Row],[Tech Start Date]],19),IF(Main[[#This Row],[Class]]="B", WORKDAY(Main[[#This Row],[Tech Start Date]],12),IF(Main[[#This Row],[Class]]="A",WORKDAY(Main[[#This Row],[Tech Start Date]],4),""))))</f>
        <v/>
      </c>
      <c r="O1217" s="77" t="str">
        <f>IF(Main[[#This Row],[Tech Start Date]]&lt;1/1/1990,"",IF(Main[[#This Row],[Class]]="C",WORKDAY(Main[[#This Row],[Tech Start Date]],23),IF(Main[[#This Row],[Class]]="B", WORKDAY(Main[[#This Row],[Tech Start Date]],15),IF(Main[[#This Row],[Class]]="A",WORKDAY(Main[[#This Row],[Tech Start Date]],5),""))))</f>
        <v/>
      </c>
      <c r="P1217" s="77" t="str">
        <f>IF(Main[[#This Row],[Tech Start Date]]&lt;1/1/1990,"",IF(Main[[#This Row],[Class]]="C",WORKDAY(Main[[#This Row],[Tech Start Date]],28),IF(Main[[#This Row],[Class]]="B", WORKDAY(Main[[#This Row],[Tech Start Date]],19),IF(Main[[#This Row],[Class]]="A",WORKDAY(Main[[#This Row],[Tech Start Date]],9),""))))</f>
        <v/>
      </c>
      <c r="Q1217" s="74">
        <v>40953</v>
      </c>
      <c r="R1217" s="74"/>
      <c r="S1217" s="72" t="s">
        <v>11</v>
      </c>
      <c r="T1217" s="80" t="s">
        <v>4</v>
      </c>
      <c r="U1217" s="72" t="s">
        <v>7</v>
      </c>
      <c r="V1217" s="72" t="s">
        <v>1932</v>
      </c>
      <c r="W1217" s="72" t="s">
        <v>1934</v>
      </c>
      <c r="X1217" s="72" t="s">
        <v>3660</v>
      </c>
      <c r="Y1217" s="72" t="s">
        <v>3686</v>
      </c>
      <c r="Z1217" s="72" t="s">
        <v>4</v>
      </c>
      <c r="AA1217" s="147" t="s">
        <v>3660</v>
      </c>
    </row>
    <row r="1218" spans="1:27" ht="18.600000000000001" customHeight="1">
      <c r="A1218" s="140" t="str">
        <f>IF(priority(Main[[#This Row],[Comments]])&lt;&gt;0, priority(Main[[#This Row],[Comments]]),"")</f>
        <v/>
      </c>
      <c r="B1218" s="90" t="s">
        <v>1885</v>
      </c>
      <c r="C1218" s="72" t="s">
        <v>4</v>
      </c>
      <c r="D1218" s="73" t="s">
        <v>935</v>
      </c>
      <c r="E1218" s="74">
        <v>39968.4141087963</v>
      </c>
      <c r="F1218" s="74">
        <v>40298</v>
      </c>
      <c r="G1218" s="75" t="str">
        <f>IF(stdProdLT(Main[[#This Row],[Comments]])=0.1,"N/A",IF(stdProdLT(Main[[#This Row],[Comments]])=0,"",stdProdLT(Main[[#This Row],[Comments]])))</f>
        <v/>
      </c>
      <c r="H1218" s="76">
        <f>IF(AND(Main[[#This Row],[In Stock Date]]&lt;&gt;"",Main[[#This Row],[Revised Due Date]]&lt;&gt;""),Main[[#This Row],[In Stock Date]]-Main[[#This Row],[Revised Due Date]],"")</f>
        <v>-697</v>
      </c>
      <c r="I1218" s="72" t="s">
        <v>986</v>
      </c>
      <c r="J1218" s="72" t="s">
        <v>4</v>
      </c>
      <c r="K1218" s="72" t="s">
        <v>1944</v>
      </c>
      <c r="L1218" s="74"/>
      <c r="M1218" s="77" t="str">
        <f>IF(Main[[#This Row],[Tech Start Date]]&lt;1/1/1990,"",IF(Main[[#This Row],[Class]]="C",WORKDAY(Main[[#This Row],[Tech Start Date]],9),IF(Main[[#This Row],[Class]]="B", WORKDAY(Main[[#This Row],[Tech Start Date]],6),IF(Main[[#This Row],[Class]]="A",WORKDAY(Main[[#This Row],[Tech Start Date]],2),""))))</f>
        <v/>
      </c>
      <c r="N1218" s="77" t="str">
        <f>IF(Main[[#This Row],[Tech Start Date]]&lt;1/1/1990,"",IF(Main[[#This Row],[Class]]="C",WORKDAY(Main[[#This Row],[Tech Start Date]],19),IF(Main[[#This Row],[Class]]="B", WORKDAY(Main[[#This Row],[Tech Start Date]],12),IF(Main[[#This Row],[Class]]="A",WORKDAY(Main[[#This Row],[Tech Start Date]],4),""))))</f>
        <v/>
      </c>
      <c r="O1218" s="77" t="str">
        <f>IF(Main[[#This Row],[Tech Start Date]]&lt;1/1/1990,"",IF(Main[[#This Row],[Class]]="C",WORKDAY(Main[[#This Row],[Tech Start Date]],23),IF(Main[[#This Row],[Class]]="B", WORKDAY(Main[[#This Row],[Tech Start Date]],15),IF(Main[[#This Row],[Class]]="A",WORKDAY(Main[[#This Row],[Tech Start Date]],5),""))))</f>
        <v/>
      </c>
      <c r="P1218" s="77" t="str">
        <f>IF(Main[[#This Row],[Tech Start Date]]&lt;1/1/1990,"",IF(Main[[#This Row],[Class]]="C",WORKDAY(Main[[#This Row],[Tech Start Date]],28),IF(Main[[#This Row],[Class]]="B", WORKDAY(Main[[#This Row],[Tech Start Date]],19),IF(Main[[#This Row],[Class]]="A",WORKDAY(Main[[#This Row],[Tech Start Date]],9),""))))</f>
        <v/>
      </c>
      <c r="Q1218" s="74">
        <v>40165</v>
      </c>
      <c r="R1218" s="74">
        <v>40995</v>
      </c>
      <c r="S1218" s="72" t="s">
        <v>17</v>
      </c>
      <c r="T1218" s="80" t="s">
        <v>4</v>
      </c>
      <c r="U1218" s="72" t="s">
        <v>29</v>
      </c>
      <c r="V1218" s="72" t="s">
        <v>1935</v>
      </c>
      <c r="W1218" s="72" t="s">
        <v>1940</v>
      </c>
      <c r="X1218" s="72" t="s">
        <v>980</v>
      </c>
      <c r="Y1218" s="72" t="s">
        <v>3204</v>
      </c>
      <c r="Z1218" s="72" t="s">
        <v>420</v>
      </c>
      <c r="AA1218" s="147" t="s">
        <v>980</v>
      </c>
    </row>
    <row r="1219" spans="1:27" ht="18.600000000000001" customHeight="1">
      <c r="A1219" s="140" t="str">
        <f>IF(priority(Main[[#This Row],[Comments]])&lt;&gt;0, priority(Main[[#This Row],[Comments]]),"")</f>
        <v/>
      </c>
      <c r="B1219" s="90" t="s">
        <v>1654</v>
      </c>
      <c r="C1219" s="72" t="s">
        <v>4</v>
      </c>
      <c r="D1219" s="73" t="s">
        <v>2612</v>
      </c>
      <c r="E1219" s="74"/>
      <c r="F1219" s="74"/>
      <c r="G1219" s="75" t="str">
        <f>IF(stdProdLT(Main[[#This Row],[Comments]])=0.1,"N/A",IF(stdProdLT(Main[[#This Row],[Comments]])=0,"",stdProdLT(Main[[#This Row],[Comments]])))</f>
        <v/>
      </c>
      <c r="H1219" s="76" t="str">
        <f>IF(AND(Main[[#This Row],[In Stock Date]]&lt;&gt;"",Main[[#This Row],[Revised Due Date]]&lt;&gt;""),Main[[#This Row],[In Stock Date]]-Main[[#This Row],[Revised Due Date]],"")</f>
        <v/>
      </c>
      <c r="I1219" s="72" t="s">
        <v>4</v>
      </c>
      <c r="J1219" s="72" t="s">
        <v>28</v>
      </c>
      <c r="K1219" s="72" t="s">
        <v>1939</v>
      </c>
      <c r="L1219" s="74"/>
      <c r="M1219" s="77" t="str">
        <f>IF(Main[[#This Row],[Tech Start Date]]&lt;1/1/1990,"",IF(Main[[#This Row],[Class]]="C",WORKDAY(Main[[#This Row],[Tech Start Date]],9),IF(Main[[#This Row],[Class]]="B", WORKDAY(Main[[#This Row],[Tech Start Date]],6),IF(Main[[#This Row],[Class]]="A",WORKDAY(Main[[#This Row],[Tech Start Date]],2),""))))</f>
        <v/>
      </c>
      <c r="N1219" s="77" t="str">
        <f>IF(Main[[#This Row],[Tech Start Date]]&lt;1/1/1990,"",IF(Main[[#This Row],[Class]]="C",WORKDAY(Main[[#This Row],[Tech Start Date]],19),IF(Main[[#This Row],[Class]]="B", WORKDAY(Main[[#This Row],[Tech Start Date]],12),IF(Main[[#This Row],[Class]]="A",WORKDAY(Main[[#This Row],[Tech Start Date]],4),""))))</f>
        <v/>
      </c>
      <c r="O1219" s="77" t="str">
        <f>IF(Main[[#This Row],[Tech Start Date]]&lt;1/1/1990,"",IF(Main[[#This Row],[Class]]="C",WORKDAY(Main[[#This Row],[Tech Start Date]],23),IF(Main[[#This Row],[Class]]="B", WORKDAY(Main[[#This Row],[Tech Start Date]],15),IF(Main[[#This Row],[Class]]="A",WORKDAY(Main[[#This Row],[Tech Start Date]],5),""))))</f>
        <v/>
      </c>
      <c r="P1219" s="77" t="str">
        <f>IF(Main[[#This Row],[Tech Start Date]]&lt;1/1/1990,"",IF(Main[[#This Row],[Class]]="C",WORKDAY(Main[[#This Row],[Tech Start Date]],28),IF(Main[[#This Row],[Class]]="B", WORKDAY(Main[[#This Row],[Tech Start Date]],19),IF(Main[[#This Row],[Class]]="A",WORKDAY(Main[[#This Row],[Tech Start Date]],9),""))))</f>
        <v/>
      </c>
      <c r="Q1219" s="74">
        <v>40611</v>
      </c>
      <c r="R1219" s="74"/>
      <c r="S1219" s="72" t="s">
        <v>6</v>
      </c>
      <c r="T1219" s="80" t="s">
        <v>4</v>
      </c>
      <c r="U1219" s="72" t="s">
        <v>14</v>
      </c>
      <c r="V1219" s="72" t="s">
        <v>1932</v>
      </c>
      <c r="W1219" s="72" t="s">
        <v>1936</v>
      </c>
      <c r="X1219" s="72" t="s">
        <v>2905</v>
      </c>
      <c r="Y1219" s="72" t="s">
        <v>3023</v>
      </c>
      <c r="Z1219" s="72" t="s">
        <v>129</v>
      </c>
      <c r="AA1219" s="147" t="s">
        <v>2905</v>
      </c>
    </row>
    <row r="1220" spans="1:27" ht="18.600000000000001" customHeight="1">
      <c r="A1220" s="140" t="str">
        <f>IF(priority(Main[[#This Row],[Comments]])&lt;&gt;0, priority(Main[[#This Row],[Comments]]),"")</f>
        <v/>
      </c>
      <c r="B1220" s="90" t="s">
        <v>1104</v>
      </c>
      <c r="C1220" s="72" t="s">
        <v>4</v>
      </c>
      <c r="D1220" s="73" t="s">
        <v>3785</v>
      </c>
      <c r="E1220" s="74">
        <v>40086.707800925928</v>
      </c>
      <c r="F1220" s="74"/>
      <c r="G1220" s="75" t="str">
        <f>IF(stdProdLT(Main[[#This Row],[Comments]])=0.1,"N/A",IF(stdProdLT(Main[[#This Row],[Comments]])=0,"",stdProdLT(Main[[#This Row],[Comments]])))</f>
        <v/>
      </c>
      <c r="H1220" s="76" t="str">
        <f>IF(AND(Main[[#This Row],[In Stock Date]]&lt;&gt;"",Main[[#This Row],[Revised Due Date]]&lt;&gt;""),Main[[#This Row],[In Stock Date]]-Main[[#This Row],[Revised Due Date]],"")</f>
        <v/>
      </c>
      <c r="I1220" s="72" t="s">
        <v>918</v>
      </c>
      <c r="J1220" s="72" t="s">
        <v>4</v>
      </c>
      <c r="K1220" s="72" t="s">
        <v>1944</v>
      </c>
      <c r="L1220" s="74"/>
      <c r="M1220" s="77" t="str">
        <f>IF(Main[[#This Row],[Tech Start Date]]&lt;1/1/1990,"",IF(Main[[#This Row],[Class]]="C",WORKDAY(Main[[#This Row],[Tech Start Date]],9),IF(Main[[#This Row],[Class]]="B", WORKDAY(Main[[#This Row],[Tech Start Date]],6),IF(Main[[#This Row],[Class]]="A",WORKDAY(Main[[#This Row],[Tech Start Date]],2),""))))</f>
        <v/>
      </c>
      <c r="N1220" s="77" t="str">
        <f>IF(Main[[#This Row],[Tech Start Date]]&lt;1/1/1990,"",IF(Main[[#This Row],[Class]]="C",WORKDAY(Main[[#This Row],[Tech Start Date]],19),IF(Main[[#This Row],[Class]]="B", WORKDAY(Main[[#This Row],[Tech Start Date]],12),IF(Main[[#This Row],[Class]]="A",WORKDAY(Main[[#This Row],[Tech Start Date]],4),""))))</f>
        <v/>
      </c>
      <c r="O1220" s="77" t="str">
        <f>IF(Main[[#This Row],[Tech Start Date]]&lt;1/1/1990,"",IF(Main[[#This Row],[Class]]="C",WORKDAY(Main[[#This Row],[Tech Start Date]],23),IF(Main[[#This Row],[Class]]="B", WORKDAY(Main[[#This Row],[Tech Start Date]],15),IF(Main[[#This Row],[Class]]="A",WORKDAY(Main[[#This Row],[Tech Start Date]],5),""))))</f>
        <v/>
      </c>
      <c r="P1220" s="77" t="str">
        <f>IF(Main[[#This Row],[Tech Start Date]]&lt;1/1/1990,"",IF(Main[[#This Row],[Class]]="C",WORKDAY(Main[[#This Row],[Tech Start Date]],28),IF(Main[[#This Row],[Class]]="B", WORKDAY(Main[[#This Row],[Tech Start Date]],19),IF(Main[[#This Row],[Class]]="A",WORKDAY(Main[[#This Row],[Tech Start Date]],9),""))))</f>
        <v/>
      </c>
      <c r="Q1220" s="74">
        <v>41005</v>
      </c>
      <c r="R1220" s="74">
        <v>41005</v>
      </c>
      <c r="S1220" s="72" t="s">
        <v>17</v>
      </c>
      <c r="T1220" s="80" t="s">
        <v>4</v>
      </c>
      <c r="U1220" s="72" t="s">
        <v>29</v>
      </c>
      <c r="V1220" s="72" t="s">
        <v>1932</v>
      </c>
      <c r="W1220" s="72" t="s">
        <v>1937</v>
      </c>
      <c r="X1220" s="72" t="s">
        <v>129</v>
      </c>
      <c r="Y1220" s="72" t="s">
        <v>3020</v>
      </c>
      <c r="Z1220" s="72" t="s">
        <v>888</v>
      </c>
      <c r="AA1220" s="147" t="s">
        <v>129</v>
      </c>
    </row>
    <row r="1221" spans="1:27" ht="18.600000000000001" customHeight="1">
      <c r="A1221" s="140" t="str">
        <f>IF(priority(Main[[#This Row],[Comments]])&lt;&gt;0, priority(Main[[#This Row],[Comments]]),"")</f>
        <v/>
      </c>
      <c r="B1221" s="90" t="s">
        <v>1608</v>
      </c>
      <c r="C1221" s="72" t="s">
        <v>4</v>
      </c>
      <c r="D1221" s="73" t="s">
        <v>3786</v>
      </c>
      <c r="E1221" s="74">
        <v>40352.416608796295</v>
      </c>
      <c r="F1221" s="74"/>
      <c r="G1221" s="75" t="str">
        <f>IF(stdProdLT(Main[[#This Row],[Comments]])=0.1,"N/A",IF(stdProdLT(Main[[#This Row],[Comments]])=0,"",stdProdLT(Main[[#This Row],[Comments]])))</f>
        <v/>
      </c>
      <c r="H1221" s="76" t="str">
        <f>IF(AND(Main[[#This Row],[In Stock Date]]&lt;&gt;"",Main[[#This Row],[Revised Due Date]]&lt;&gt;""),Main[[#This Row],[In Stock Date]]-Main[[#This Row],[Revised Due Date]],"")</f>
        <v/>
      </c>
      <c r="I1221" s="72" t="s">
        <v>718</v>
      </c>
      <c r="J1221" s="72" t="s">
        <v>28</v>
      </c>
      <c r="K1221" s="72" t="s">
        <v>1944</v>
      </c>
      <c r="L1221" s="74"/>
      <c r="M1221" s="77" t="str">
        <f>IF(Main[[#This Row],[Tech Start Date]]&lt;1/1/1990,"",IF(Main[[#This Row],[Class]]="C",WORKDAY(Main[[#This Row],[Tech Start Date]],9),IF(Main[[#This Row],[Class]]="B", WORKDAY(Main[[#This Row],[Tech Start Date]],6),IF(Main[[#This Row],[Class]]="A",WORKDAY(Main[[#This Row],[Tech Start Date]],2),""))))</f>
        <v/>
      </c>
      <c r="N1221" s="77" t="str">
        <f>IF(Main[[#This Row],[Tech Start Date]]&lt;1/1/1990,"",IF(Main[[#This Row],[Class]]="C",WORKDAY(Main[[#This Row],[Tech Start Date]],19),IF(Main[[#This Row],[Class]]="B", WORKDAY(Main[[#This Row],[Tech Start Date]],12),IF(Main[[#This Row],[Class]]="A",WORKDAY(Main[[#This Row],[Tech Start Date]],4),""))))</f>
        <v/>
      </c>
      <c r="O1221" s="77" t="str">
        <f>IF(Main[[#This Row],[Tech Start Date]]&lt;1/1/1990,"",IF(Main[[#This Row],[Class]]="C",WORKDAY(Main[[#This Row],[Tech Start Date]],23),IF(Main[[#This Row],[Class]]="B", WORKDAY(Main[[#This Row],[Tech Start Date]],15),IF(Main[[#This Row],[Class]]="A",WORKDAY(Main[[#This Row],[Tech Start Date]],5),""))))</f>
        <v/>
      </c>
      <c r="P1221" s="77" t="str">
        <f>IF(Main[[#This Row],[Tech Start Date]]&lt;1/1/1990,"",IF(Main[[#This Row],[Class]]="C",WORKDAY(Main[[#This Row],[Tech Start Date]],28),IF(Main[[#This Row],[Class]]="B", WORKDAY(Main[[#This Row],[Tech Start Date]],19),IF(Main[[#This Row],[Class]]="A",WORKDAY(Main[[#This Row],[Tech Start Date]],9),""))))</f>
        <v/>
      </c>
      <c r="Q1221" s="74">
        <v>40387</v>
      </c>
      <c r="R1221" s="74">
        <v>41011</v>
      </c>
      <c r="S1221" s="72" t="s">
        <v>17</v>
      </c>
      <c r="T1221" s="80" t="s">
        <v>2502</v>
      </c>
      <c r="U1221" s="72" t="s">
        <v>29</v>
      </c>
      <c r="V1221" s="72" t="s">
        <v>1932</v>
      </c>
      <c r="W1221" s="72" t="s">
        <v>1937</v>
      </c>
      <c r="X1221" s="72" t="s">
        <v>718</v>
      </c>
      <c r="Y1221" s="72" t="s">
        <v>3018</v>
      </c>
      <c r="Z1221" s="72" t="s">
        <v>129</v>
      </c>
      <c r="AA1221" s="147" t="s">
        <v>718</v>
      </c>
    </row>
    <row r="1222" spans="1:27" ht="18.600000000000001" customHeight="1">
      <c r="A1222" s="140" t="str">
        <f>IF(priority(Main[[#This Row],[Comments]])&lt;&gt;0, priority(Main[[#This Row],[Comments]]),"")</f>
        <v/>
      </c>
      <c r="B1222" s="90" t="s">
        <v>3411</v>
      </c>
      <c r="C1222" s="72" t="s">
        <v>4</v>
      </c>
      <c r="D1222" s="73" t="s">
        <v>3412</v>
      </c>
      <c r="E1222" s="74">
        <v>40933.367569444446</v>
      </c>
      <c r="F1222" s="74"/>
      <c r="G1222" s="75" t="str">
        <f>IF(stdProdLT(Main[[#This Row],[Comments]])=0.1,"N/A",IF(stdProdLT(Main[[#This Row],[Comments]])=0,"",stdProdLT(Main[[#This Row],[Comments]])))</f>
        <v/>
      </c>
      <c r="H1222" s="76" t="str">
        <f>IF(AND(Main[[#This Row],[In Stock Date]]&lt;&gt;"",Main[[#This Row],[Revised Due Date]]&lt;&gt;""),Main[[#This Row],[In Stock Date]]-Main[[#This Row],[Revised Due Date]],"")</f>
        <v/>
      </c>
      <c r="I1222" s="72" t="s">
        <v>4</v>
      </c>
      <c r="J1222" s="72" t="s">
        <v>4</v>
      </c>
      <c r="K1222" s="72" t="s">
        <v>4</v>
      </c>
      <c r="L1222" s="74"/>
      <c r="M1222" s="77" t="str">
        <f>IF(Main[[#This Row],[Tech Start Date]]&lt;1/1/1990,"",IF(Main[[#This Row],[Class]]="C",WORKDAY(Main[[#This Row],[Tech Start Date]],9),IF(Main[[#This Row],[Class]]="B", WORKDAY(Main[[#This Row],[Tech Start Date]],6),IF(Main[[#This Row],[Class]]="A",WORKDAY(Main[[#This Row],[Tech Start Date]],2),""))))</f>
        <v/>
      </c>
      <c r="N1222" s="77" t="str">
        <f>IF(Main[[#This Row],[Tech Start Date]]&lt;1/1/1990,"",IF(Main[[#This Row],[Class]]="C",WORKDAY(Main[[#This Row],[Tech Start Date]],19),IF(Main[[#This Row],[Class]]="B", WORKDAY(Main[[#This Row],[Tech Start Date]],12),IF(Main[[#This Row],[Class]]="A",WORKDAY(Main[[#This Row],[Tech Start Date]],4),""))))</f>
        <v/>
      </c>
      <c r="O1222" s="77" t="str">
        <f>IF(Main[[#This Row],[Tech Start Date]]&lt;1/1/1990,"",IF(Main[[#This Row],[Class]]="C",WORKDAY(Main[[#This Row],[Tech Start Date]],23),IF(Main[[#This Row],[Class]]="B", WORKDAY(Main[[#This Row],[Tech Start Date]],15),IF(Main[[#This Row],[Class]]="A",WORKDAY(Main[[#This Row],[Tech Start Date]],5),""))))</f>
        <v/>
      </c>
      <c r="P1222" s="77" t="str">
        <f>IF(Main[[#This Row],[Tech Start Date]]&lt;1/1/1990,"",IF(Main[[#This Row],[Class]]="C",WORKDAY(Main[[#This Row],[Tech Start Date]],28),IF(Main[[#This Row],[Class]]="B", WORKDAY(Main[[#This Row],[Tech Start Date]],19),IF(Main[[#This Row],[Class]]="A",WORKDAY(Main[[#This Row],[Tech Start Date]],9),""))))</f>
        <v/>
      </c>
      <c r="Q1222" s="74"/>
      <c r="R1222" s="74"/>
      <c r="S1222" s="72" t="s">
        <v>6</v>
      </c>
      <c r="T1222" s="80" t="s">
        <v>4</v>
      </c>
      <c r="U1222" s="72" t="s">
        <v>7</v>
      </c>
      <c r="V1222" s="72" t="s">
        <v>1935</v>
      </c>
      <c r="W1222" s="72" t="s">
        <v>1936</v>
      </c>
      <c r="X1222" s="72" t="s">
        <v>2950</v>
      </c>
      <c r="Y1222" s="72" t="s">
        <v>3087</v>
      </c>
      <c r="Z1222" s="72" t="s">
        <v>4</v>
      </c>
      <c r="AA1222" s="147" t="s">
        <v>2950</v>
      </c>
    </row>
    <row r="1223" spans="1:27" ht="18.600000000000001" customHeight="1">
      <c r="A1223" s="140" t="str">
        <f>IF(priority(Main[[#This Row],[Comments]])&lt;&gt;0, priority(Main[[#This Row],[Comments]]),"")</f>
        <v/>
      </c>
      <c r="B1223" s="90" t="s">
        <v>1874</v>
      </c>
      <c r="C1223" s="72" t="s">
        <v>95</v>
      </c>
      <c r="D1223" s="73" t="s">
        <v>924</v>
      </c>
      <c r="E1223" s="74">
        <v>40428.412002314813</v>
      </c>
      <c r="F1223" s="74"/>
      <c r="G1223" s="75" t="str">
        <f>IF(stdProdLT(Main[[#This Row],[Comments]])=0.1,"N/A",IF(stdProdLT(Main[[#This Row],[Comments]])=0,"",stdProdLT(Main[[#This Row],[Comments]])))</f>
        <v/>
      </c>
      <c r="H1223" s="76" t="str">
        <f>IF(AND(Main[[#This Row],[In Stock Date]]&lt;&gt;"",Main[[#This Row],[Revised Due Date]]&lt;&gt;""),Main[[#This Row],[In Stock Date]]-Main[[#This Row],[Revised Due Date]],"")</f>
        <v/>
      </c>
      <c r="I1223" s="72" t="s">
        <v>420</v>
      </c>
      <c r="J1223" s="72" t="s">
        <v>28</v>
      </c>
      <c r="K1223" s="72" t="s">
        <v>1944</v>
      </c>
      <c r="L1223" s="74"/>
      <c r="M1223" s="77" t="str">
        <f>IF(Main[[#This Row],[Tech Start Date]]&lt;1/1/1990,"",IF(Main[[#This Row],[Class]]="C",WORKDAY(Main[[#This Row],[Tech Start Date]],9),IF(Main[[#This Row],[Class]]="B", WORKDAY(Main[[#This Row],[Tech Start Date]],6),IF(Main[[#This Row],[Class]]="A",WORKDAY(Main[[#This Row],[Tech Start Date]],2),""))))</f>
        <v/>
      </c>
      <c r="N1223" s="77" t="str">
        <f>IF(Main[[#This Row],[Tech Start Date]]&lt;1/1/1990,"",IF(Main[[#This Row],[Class]]="C",WORKDAY(Main[[#This Row],[Tech Start Date]],19),IF(Main[[#This Row],[Class]]="B", WORKDAY(Main[[#This Row],[Tech Start Date]],12),IF(Main[[#This Row],[Class]]="A",WORKDAY(Main[[#This Row],[Tech Start Date]],4),""))))</f>
        <v/>
      </c>
      <c r="O1223" s="77" t="str">
        <f>IF(Main[[#This Row],[Tech Start Date]]&lt;1/1/1990,"",IF(Main[[#This Row],[Class]]="C",WORKDAY(Main[[#This Row],[Tech Start Date]],23),IF(Main[[#This Row],[Class]]="B", WORKDAY(Main[[#This Row],[Tech Start Date]],15),IF(Main[[#This Row],[Class]]="A",WORKDAY(Main[[#This Row],[Tech Start Date]],5),""))))</f>
        <v/>
      </c>
      <c r="P1223" s="77" t="str">
        <f>IF(Main[[#This Row],[Tech Start Date]]&lt;1/1/1990,"",IF(Main[[#This Row],[Class]]="C",WORKDAY(Main[[#This Row],[Tech Start Date]],28),IF(Main[[#This Row],[Class]]="B", WORKDAY(Main[[#This Row],[Tech Start Date]],19),IF(Main[[#This Row],[Class]]="A",WORKDAY(Main[[#This Row],[Tech Start Date]],9),""))))</f>
        <v/>
      </c>
      <c r="Q1223" s="74">
        <v>40574</v>
      </c>
      <c r="R1223" s="74">
        <v>41046</v>
      </c>
      <c r="S1223" s="72" t="s">
        <v>17</v>
      </c>
      <c r="T1223" s="80" t="s">
        <v>4</v>
      </c>
      <c r="U1223" s="72" t="s">
        <v>29</v>
      </c>
      <c r="V1223" s="72" t="s">
        <v>1935</v>
      </c>
      <c r="W1223" s="72" t="s">
        <v>1938</v>
      </c>
      <c r="X1223" s="72" t="s">
        <v>420</v>
      </c>
      <c r="Y1223" s="72" t="s">
        <v>3062</v>
      </c>
      <c r="Z1223" s="72" t="s">
        <v>980</v>
      </c>
      <c r="AA1223" s="147" t="s">
        <v>420</v>
      </c>
    </row>
    <row r="1224" spans="1:27" ht="18.600000000000001" customHeight="1">
      <c r="A1224" s="140" t="str">
        <f>IF(priority(Main[[#This Row],[Comments]])&lt;&gt;0, priority(Main[[#This Row],[Comments]]),"")</f>
        <v/>
      </c>
      <c r="B1224" s="90" t="s">
        <v>3413</v>
      </c>
      <c r="C1224" s="72" t="s">
        <v>4</v>
      </c>
      <c r="D1224" s="73" t="s">
        <v>3414</v>
      </c>
      <c r="E1224" s="74">
        <v>40931.434317129628</v>
      </c>
      <c r="F1224" s="74"/>
      <c r="G1224" s="75" t="str">
        <f>IF(stdProdLT(Main[[#This Row],[Comments]])=0.1,"N/A",IF(stdProdLT(Main[[#This Row],[Comments]])=0,"",stdProdLT(Main[[#This Row],[Comments]])))</f>
        <v/>
      </c>
      <c r="H1224" s="76" t="str">
        <f>IF(AND(Main[[#This Row],[In Stock Date]]&lt;&gt;"",Main[[#This Row],[Revised Due Date]]&lt;&gt;""),Main[[#This Row],[In Stock Date]]-Main[[#This Row],[Revised Due Date]],"")</f>
        <v/>
      </c>
      <c r="I1224" s="72" t="s">
        <v>4</v>
      </c>
      <c r="J1224" s="72" t="s">
        <v>4</v>
      </c>
      <c r="K1224" s="81" t="s">
        <v>4</v>
      </c>
      <c r="L1224" s="74"/>
      <c r="M1224" s="77" t="str">
        <f>IF(Main[[#This Row],[Tech Start Date]]&lt;1/1/1990,"",IF(Main[[#This Row],[Class]]="C",WORKDAY(Main[[#This Row],[Tech Start Date]],9),IF(Main[[#This Row],[Class]]="B", WORKDAY(Main[[#This Row],[Tech Start Date]],6),IF(Main[[#This Row],[Class]]="A",WORKDAY(Main[[#This Row],[Tech Start Date]],2),""))))</f>
        <v/>
      </c>
      <c r="N1224" s="77" t="str">
        <f>IF(Main[[#This Row],[Tech Start Date]]&lt;1/1/1990,"",IF(Main[[#This Row],[Class]]="C",WORKDAY(Main[[#This Row],[Tech Start Date]],19),IF(Main[[#This Row],[Class]]="B", WORKDAY(Main[[#This Row],[Tech Start Date]],12),IF(Main[[#This Row],[Class]]="A",WORKDAY(Main[[#This Row],[Tech Start Date]],4),""))))</f>
        <v/>
      </c>
      <c r="O1224" s="77" t="str">
        <f>IF(Main[[#This Row],[Tech Start Date]]&lt;1/1/1990,"",IF(Main[[#This Row],[Class]]="C",WORKDAY(Main[[#This Row],[Tech Start Date]],23),IF(Main[[#This Row],[Class]]="B", WORKDAY(Main[[#This Row],[Tech Start Date]],15),IF(Main[[#This Row],[Class]]="A",WORKDAY(Main[[#This Row],[Tech Start Date]],5),""))))</f>
        <v/>
      </c>
      <c r="P1224" s="77" t="str">
        <f>IF(Main[[#This Row],[Tech Start Date]]&lt;1/1/1990,"",IF(Main[[#This Row],[Class]]="C",WORKDAY(Main[[#This Row],[Tech Start Date]],28),IF(Main[[#This Row],[Class]]="B", WORKDAY(Main[[#This Row],[Tech Start Date]],19),IF(Main[[#This Row],[Class]]="A",WORKDAY(Main[[#This Row],[Tech Start Date]],9),""))))</f>
        <v/>
      </c>
      <c r="Q1224" s="74"/>
      <c r="R1224" s="74"/>
      <c r="S1224" s="72" t="s">
        <v>6</v>
      </c>
      <c r="T1224" s="80" t="s">
        <v>4</v>
      </c>
      <c r="U1224" s="72" t="s">
        <v>7</v>
      </c>
      <c r="V1224" s="72" t="s">
        <v>1932</v>
      </c>
      <c r="W1224" s="72" t="s">
        <v>1936</v>
      </c>
      <c r="X1224" s="72" t="s">
        <v>2986</v>
      </c>
      <c r="Y1224" s="72" t="s">
        <v>3168</v>
      </c>
      <c r="Z1224" s="72" t="s">
        <v>4</v>
      </c>
      <c r="AA1224" s="147" t="s">
        <v>2986</v>
      </c>
    </row>
    <row r="1225" spans="1:27" ht="18.600000000000001" customHeight="1">
      <c r="A1225" s="140" t="str">
        <f>IF(priority(Main[[#This Row],[Comments]])&lt;&gt;0, priority(Main[[#This Row],[Comments]]),"")</f>
        <v/>
      </c>
      <c r="B1225" s="90" t="s">
        <v>1121</v>
      </c>
      <c r="C1225" s="72" t="s">
        <v>4</v>
      </c>
      <c r="D1225" s="73" t="s">
        <v>155</v>
      </c>
      <c r="E1225" s="74"/>
      <c r="F1225" s="74"/>
      <c r="G1225" s="75" t="str">
        <f>IF(stdProdLT(Main[[#This Row],[Comments]])=0.1,"N/A",IF(stdProdLT(Main[[#This Row],[Comments]])=0,"",stdProdLT(Main[[#This Row],[Comments]])))</f>
        <v/>
      </c>
      <c r="H1225" s="76" t="str">
        <f>IF(AND(Main[[#This Row],[In Stock Date]]&lt;&gt;"",Main[[#This Row],[Revised Due Date]]&lt;&gt;""),Main[[#This Row],[In Stock Date]]-Main[[#This Row],[Revised Due Date]],"")</f>
        <v/>
      </c>
      <c r="I1225" s="72" t="s">
        <v>4</v>
      </c>
      <c r="J1225" s="72" t="s">
        <v>4</v>
      </c>
      <c r="K1225" s="72" t="s">
        <v>4</v>
      </c>
      <c r="L1225" s="74"/>
      <c r="M1225" s="77" t="str">
        <f>IF(Main[[#This Row],[Tech Start Date]]&lt;1/1/1990,"",IF(Main[[#This Row],[Class]]="C",WORKDAY(Main[[#This Row],[Tech Start Date]],9),IF(Main[[#This Row],[Class]]="B", WORKDAY(Main[[#This Row],[Tech Start Date]],6),IF(Main[[#This Row],[Class]]="A",WORKDAY(Main[[#This Row],[Tech Start Date]],2),""))))</f>
        <v/>
      </c>
      <c r="N1225" s="77" t="str">
        <f>IF(Main[[#This Row],[Tech Start Date]]&lt;1/1/1990,"",IF(Main[[#This Row],[Class]]="C",WORKDAY(Main[[#This Row],[Tech Start Date]],19),IF(Main[[#This Row],[Class]]="B", WORKDAY(Main[[#This Row],[Tech Start Date]],12),IF(Main[[#This Row],[Class]]="A",WORKDAY(Main[[#This Row],[Tech Start Date]],4),""))))</f>
        <v/>
      </c>
      <c r="O1225" s="77" t="str">
        <f>IF(Main[[#This Row],[Tech Start Date]]&lt;1/1/1990,"",IF(Main[[#This Row],[Class]]="C",WORKDAY(Main[[#This Row],[Tech Start Date]],23),IF(Main[[#This Row],[Class]]="B", WORKDAY(Main[[#This Row],[Tech Start Date]],15),IF(Main[[#This Row],[Class]]="A",WORKDAY(Main[[#This Row],[Tech Start Date]],5),""))))</f>
        <v/>
      </c>
      <c r="P1225" s="77" t="str">
        <f>IF(Main[[#This Row],[Tech Start Date]]&lt;1/1/1990,"",IF(Main[[#This Row],[Class]]="C",WORKDAY(Main[[#This Row],[Tech Start Date]],28),IF(Main[[#This Row],[Class]]="B", WORKDAY(Main[[#This Row],[Tech Start Date]],19),IF(Main[[#This Row],[Class]]="A",WORKDAY(Main[[#This Row],[Tech Start Date]],9),""))))</f>
        <v/>
      </c>
      <c r="Q1225" s="74">
        <v>40619</v>
      </c>
      <c r="R1225" s="74"/>
      <c r="S1225" s="72" t="s">
        <v>49</v>
      </c>
      <c r="T1225" s="80" t="s">
        <v>4</v>
      </c>
      <c r="U1225" s="72" t="s">
        <v>14</v>
      </c>
      <c r="V1225" s="72" t="s">
        <v>1935</v>
      </c>
      <c r="W1225" s="72" t="s">
        <v>1940</v>
      </c>
      <c r="X1225" s="72" t="s">
        <v>50</v>
      </c>
      <c r="Y1225" s="72" t="s">
        <v>3083</v>
      </c>
      <c r="Z1225" s="72" t="s">
        <v>4</v>
      </c>
      <c r="AA1225" s="147" t="s">
        <v>2956</v>
      </c>
    </row>
    <row r="1226" spans="1:27" ht="18.600000000000001" customHeight="1">
      <c r="A1226" s="140" t="str">
        <f>IF(priority(Main[[#This Row],[Comments]])&lt;&gt;0, priority(Main[[#This Row],[Comments]]),"")</f>
        <v/>
      </c>
      <c r="B1226" s="90" t="s">
        <v>2839</v>
      </c>
      <c r="C1226" s="72" t="s">
        <v>2840</v>
      </c>
      <c r="D1226" s="73" t="s">
        <v>3787</v>
      </c>
      <c r="E1226" s="74">
        <v>40885.00640046296</v>
      </c>
      <c r="F1226" s="74"/>
      <c r="G1226" s="75">
        <f>IF(stdProdLT(Main[[#This Row],[Comments]])=0.1,"N/A",IF(stdProdLT(Main[[#This Row],[Comments]])=0,"",stdProdLT(Main[[#This Row],[Comments]])))</f>
        <v>98</v>
      </c>
      <c r="H1226" s="76" t="str">
        <f>IF(AND(Main[[#This Row],[In Stock Date]]&lt;&gt;"",Main[[#This Row],[Revised Due Date]]&lt;&gt;""),Main[[#This Row],[In Stock Date]]-Main[[#This Row],[Revised Due Date]],"")</f>
        <v/>
      </c>
      <c r="I1226" s="72" t="s">
        <v>4</v>
      </c>
      <c r="J1226" s="72" t="s">
        <v>4</v>
      </c>
      <c r="K1226" s="72" t="s">
        <v>4</v>
      </c>
      <c r="L1226" s="74"/>
      <c r="M1226" s="77" t="str">
        <f>IF(Main[[#This Row],[Tech Start Date]]&lt;1/1/1990,"",IF(Main[[#This Row],[Class]]="C",WORKDAY(Main[[#This Row],[Tech Start Date]],9),IF(Main[[#This Row],[Class]]="B", WORKDAY(Main[[#This Row],[Tech Start Date]],6),IF(Main[[#This Row],[Class]]="A",WORKDAY(Main[[#This Row],[Tech Start Date]],2),""))))</f>
        <v/>
      </c>
      <c r="N1226" s="77" t="str">
        <f>IF(Main[[#This Row],[Tech Start Date]]&lt;1/1/1990,"",IF(Main[[#This Row],[Class]]="C",WORKDAY(Main[[#This Row],[Tech Start Date]],19),IF(Main[[#This Row],[Class]]="B", WORKDAY(Main[[#This Row],[Tech Start Date]],12),IF(Main[[#This Row],[Class]]="A",WORKDAY(Main[[#This Row],[Tech Start Date]],4),""))))</f>
        <v/>
      </c>
      <c r="O1226" s="77" t="str">
        <f>IF(Main[[#This Row],[Tech Start Date]]&lt;1/1/1990,"",IF(Main[[#This Row],[Class]]="C",WORKDAY(Main[[#This Row],[Tech Start Date]],23),IF(Main[[#This Row],[Class]]="B", WORKDAY(Main[[#This Row],[Tech Start Date]],15),IF(Main[[#This Row],[Class]]="A",WORKDAY(Main[[#This Row],[Tech Start Date]],5),""))))</f>
        <v/>
      </c>
      <c r="P1226" s="77" t="str">
        <f>IF(Main[[#This Row],[Tech Start Date]]&lt;1/1/1990,"",IF(Main[[#This Row],[Class]]="C",WORKDAY(Main[[#This Row],[Tech Start Date]],28),IF(Main[[#This Row],[Class]]="B", WORKDAY(Main[[#This Row],[Tech Start Date]],19),IF(Main[[#This Row],[Class]]="A",WORKDAY(Main[[#This Row],[Tech Start Date]],9),""))))</f>
        <v/>
      </c>
      <c r="Q1226" s="74">
        <v>40889</v>
      </c>
      <c r="R1226" s="74"/>
      <c r="S1226" s="72" t="s">
        <v>11</v>
      </c>
      <c r="T1226" s="80" t="s">
        <v>3788</v>
      </c>
      <c r="U1226" s="72" t="s">
        <v>7</v>
      </c>
      <c r="V1226" s="72" t="s">
        <v>1932</v>
      </c>
      <c r="W1226" s="72" t="s">
        <v>1938</v>
      </c>
      <c r="X1226" s="72" t="s">
        <v>2938</v>
      </c>
      <c r="Y1226" s="72" t="s">
        <v>4</v>
      </c>
      <c r="Z1226" s="72" t="s">
        <v>4</v>
      </c>
      <c r="AA1226" s="147" t="s">
        <v>2938</v>
      </c>
    </row>
    <row r="1227" spans="1:27" ht="18.600000000000001" customHeight="1">
      <c r="A1227" s="140" t="str">
        <f>IF(priority(Main[[#This Row],[Comments]])&lt;&gt;0, priority(Main[[#This Row],[Comments]]),"")</f>
        <v/>
      </c>
      <c r="B1227" s="137" t="s">
        <v>3792</v>
      </c>
      <c r="C1227" s="130" t="s">
        <v>4</v>
      </c>
      <c r="D1227" s="131" t="s">
        <v>3793</v>
      </c>
      <c r="E1227" s="132">
        <v>40946.553657407407</v>
      </c>
      <c r="F1227" s="132"/>
      <c r="G1227" s="133" t="str">
        <f>IF(stdProdLT(Main[[#This Row],[Comments]])=0.1,"N/A",IF(stdProdLT(Main[[#This Row],[Comments]])=0,"",stdProdLT(Main[[#This Row],[Comments]])))</f>
        <v/>
      </c>
      <c r="H1227" s="134" t="str">
        <f>IF(AND(Main[[#This Row],[In Stock Date]]&lt;&gt;"",Main[[#This Row],[Revised Due Date]]&lt;&gt;""),Main[[#This Row],[In Stock Date]]-Main[[#This Row],[Revised Due Date]],"")</f>
        <v/>
      </c>
      <c r="I1227" s="130" t="s">
        <v>2234</v>
      </c>
      <c r="J1227" s="130" t="s">
        <v>75</v>
      </c>
      <c r="K1227" s="130" t="s">
        <v>1941</v>
      </c>
      <c r="L1227" s="132"/>
      <c r="M1227" s="135" t="str">
        <f>IF(Main[[#This Row],[Tech Start Date]]&lt;1/1/1990,"",IF(Main[[#This Row],[Class]]="C",WORKDAY(Main[[#This Row],[Tech Start Date]],9),IF(Main[[#This Row],[Class]]="B", WORKDAY(Main[[#This Row],[Tech Start Date]],6),IF(Main[[#This Row],[Class]]="A",WORKDAY(Main[[#This Row],[Tech Start Date]],2),""))))</f>
        <v/>
      </c>
      <c r="N1227" s="135" t="str">
        <f>IF(Main[[#This Row],[Tech Start Date]]&lt;1/1/1990,"",IF(Main[[#This Row],[Class]]="C",WORKDAY(Main[[#This Row],[Tech Start Date]],19),IF(Main[[#This Row],[Class]]="B", WORKDAY(Main[[#This Row],[Tech Start Date]],12),IF(Main[[#This Row],[Class]]="A",WORKDAY(Main[[#This Row],[Tech Start Date]],4),""))))</f>
        <v/>
      </c>
      <c r="O1227" s="135" t="str">
        <f>IF(Main[[#This Row],[Tech Start Date]]&lt;1/1/1990,"",IF(Main[[#This Row],[Class]]="C",WORKDAY(Main[[#This Row],[Tech Start Date]],23),IF(Main[[#This Row],[Class]]="B", WORKDAY(Main[[#This Row],[Tech Start Date]],15),IF(Main[[#This Row],[Class]]="A",WORKDAY(Main[[#This Row],[Tech Start Date]],5),""))))</f>
        <v/>
      </c>
      <c r="P1227" s="135" t="str">
        <f>IF(Main[[#This Row],[Tech Start Date]]&lt;1/1/1990,"",IF(Main[[#This Row],[Class]]="C",WORKDAY(Main[[#This Row],[Tech Start Date]],28),IF(Main[[#This Row],[Class]]="B", WORKDAY(Main[[#This Row],[Tech Start Date]],19),IF(Main[[#This Row],[Class]]="A",WORKDAY(Main[[#This Row],[Tech Start Date]],9),""))))</f>
        <v/>
      </c>
      <c r="Q1227" s="132"/>
      <c r="R1227" s="132"/>
      <c r="S1227" s="130" t="s">
        <v>6</v>
      </c>
      <c r="T1227" s="136" t="s">
        <v>4</v>
      </c>
      <c r="U1227" s="130" t="s">
        <v>29</v>
      </c>
      <c r="V1227" s="130" t="s">
        <v>1935</v>
      </c>
      <c r="W1227" s="130" t="s">
        <v>1940</v>
      </c>
      <c r="X1227" s="130" t="s">
        <v>2234</v>
      </c>
      <c r="Y1227" s="130" t="s">
        <v>3794</v>
      </c>
      <c r="Z1227" s="130" t="s">
        <v>310</v>
      </c>
      <c r="AA1227" s="147" t="s">
        <v>3630</v>
      </c>
    </row>
    <row r="1228" spans="1:27" ht="18.600000000000001" customHeight="1">
      <c r="A1228" s="140" t="str">
        <f>IF(priority(Main[[#This Row],[Comments]])&lt;&gt;0, priority(Main[[#This Row],[Comments]]),"")</f>
        <v/>
      </c>
      <c r="B1228" s="90" t="s">
        <v>1842</v>
      </c>
      <c r="C1228" s="72" t="s">
        <v>47</v>
      </c>
      <c r="D1228" s="73" t="s">
        <v>886</v>
      </c>
      <c r="E1228" s="74"/>
      <c r="F1228" s="74"/>
      <c r="G1228" s="75" t="str">
        <f>IF(stdProdLT(Main[[#This Row],[Comments]])=0.1,"N/A",IF(stdProdLT(Main[[#This Row],[Comments]])=0,"",stdProdLT(Main[[#This Row],[Comments]])))</f>
        <v/>
      </c>
      <c r="H1228" s="76" t="str">
        <f>IF(AND(Main[[#This Row],[In Stock Date]]&lt;&gt;"",Main[[#This Row],[Revised Due Date]]&lt;&gt;""),Main[[#This Row],[In Stock Date]]-Main[[#This Row],[Revised Due Date]],"")</f>
        <v/>
      </c>
      <c r="I1228" s="72" t="s">
        <v>4</v>
      </c>
      <c r="J1228" s="72" t="s">
        <v>4</v>
      </c>
      <c r="K1228" s="81" t="s">
        <v>1944</v>
      </c>
      <c r="L1228" s="74"/>
      <c r="M1228" s="77" t="str">
        <f>IF(Main[[#This Row],[Tech Start Date]]&lt;1/1/1990,"",IF(Main[[#This Row],[Class]]="C",WORKDAY(Main[[#This Row],[Tech Start Date]],9),IF(Main[[#This Row],[Class]]="B", WORKDAY(Main[[#This Row],[Tech Start Date]],6),IF(Main[[#This Row],[Class]]="A",WORKDAY(Main[[#This Row],[Tech Start Date]],2),""))))</f>
        <v/>
      </c>
      <c r="N1228" s="77" t="str">
        <f>IF(Main[[#This Row],[Tech Start Date]]&lt;1/1/1990,"",IF(Main[[#This Row],[Class]]="C",WORKDAY(Main[[#This Row],[Tech Start Date]],19),IF(Main[[#This Row],[Class]]="B", WORKDAY(Main[[#This Row],[Tech Start Date]],12),IF(Main[[#This Row],[Class]]="A",WORKDAY(Main[[#This Row],[Tech Start Date]],4),""))))</f>
        <v/>
      </c>
      <c r="O1228" s="77" t="str">
        <f>IF(Main[[#This Row],[Tech Start Date]]&lt;1/1/1990,"",IF(Main[[#This Row],[Class]]="C",WORKDAY(Main[[#This Row],[Tech Start Date]],23),IF(Main[[#This Row],[Class]]="B", WORKDAY(Main[[#This Row],[Tech Start Date]],15),IF(Main[[#This Row],[Class]]="A",WORKDAY(Main[[#This Row],[Tech Start Date]],5),""))))</f>
        <v/>
      </c>
      <c r="P1228" s="77" t="str">
        <f>IF(Main[[#This Row],[Tech Start Date]]&lt;1/1/1990,"",IF(Main[[#This Row],[Class]]="C",WORKDAY(Main[[#This Row],[Tech Start Date]],28),IF(Main[[#This Row],[Class]]="B", WORKDAY(Main[[#This Row],[Tech Start Date]],19),IF(Main[[#This Row],[Class]]="A",WORKDAY(Main[[#This Row],[Tech Start Date]],9),""))))</f>
        <v/>
      </c>
      <c r="Q1228" s="74"/>
      <c r="R1228" s="74">
        <v>40359</v>
      </c>
      <c r="S1228" s="72" t="s">
        <v>17</v>
      </c>
      <c r="T1228" s="80" t="s">
        <v>4</v>
      </c>
      <c r="U1228" s="72" t="s">
        <v>14</v>
      </c>
      <c r="V1228" s="72" t="s">
        <v>1932</v>
      </c>
      <c r="W1228" s="72" t="s">
        <v>1937</v>
      </c>
      <c r="X1228" s="72" t="s">
        <v>2905</v>
      </c>
      <c r="Y1228" s="72" t="s">
        <v>3023</v>
      </c>
      <c r="Z1228" s="72" t="s">
        <v>4</v>
      </c>
      <c r="AA1228" s="147" t="s">
        <v>2905</v>
      </c>
    </row>
    <row r="1229" spans="1:27" ht="18.600000000000001" customHeight="1">
      <c r="A1229" s="140" t="str">
        <f>IF(priority(Main[[#This Row],[Comments]])&lt;&gt;0, priority(Main[[#This Row],[Comments]]),"")</f>
        <v/>
      </c>
      <c r="B1229" s="90" t="s">
        <v>1651</v>
      </c>
      <c r="C1229" s="72" t="s">
        <v>4</v>
      </c>
      <c r="D1229" s="73" t="s">
        <v>716</v>
      </c>
      <c r="E1229" s="74"/>
      <c r="F1229" s="74"/>
      <c r="G1229" s="75" t="str">
        <f>IF(stdProdLT(Main[[#This Row],[Comments]])=0.1,"N/A",IF(stdProdLT(Main[[#This Row],[Comments]])=0,"",stdProdLT(Main[[#This Row],[Comments]])))</f>
        <v/>
      </c>
      <c r="H1229" s="76" t="str">
        <f>IF(AND(Main[[#This Row],[In Stock Date]]&lt;&gt;"",Main[[#This Row],[Revised Due Date]]&lt;&gt;""),Main[[#This Row],[In Stock Date]]-Main[[#This Row],[Revised Due Date]],"")</f>
        <v/>
      </c>
      <c r="I1229" s="72" t="s">
        <v>4</v>
      </c>
      <c r="J1229" s="72" t="s">
        <v>28</v>
      </c>
      <c r="K1229" s="72" t="s">
        <v>1941</v>
      </c>
      <c r="L1229" s="74"/>
      <c r="M1229" s="77" t="str">
        <f>IF(Main[[#This Row],[Tech Start Date]]&lt;1/1/1990,"",IF(Main[[#This Row],[Class]]="C",WORKDAY(Main[[#This Row],[Tech Start Date]],9),IF(Main[[#This Row],[Class]]="B", WORKDAY(Main[[#This Row],[Tech Start Date]],6),IF(Main[[#This Row],[Class]]="A",WORKDAY(Main[[#This Row],[Tech Start Date]],2),""))))</f>
        <v/>
      </c>
      <c r="N1229" s="77" t="str">
        <f>IF(Main[[#This Row],[Tech Start Date]]&lt;1/1/1990,"",IF(Main[[#This Row],[Class]]="C",WORKDAY(Main[[#This Row],[Tech Start Date]],19),IF(Main[[#This Row],[Class]]="B", WORKDAY(Main[[#This Row],[Tech Start Date]],12),IF(Main[[#This Row],[Class]]="A",WORKDAY(Main[[#This Row],[Tech Start Date]],4),""))))</f>
        <v/>
      </c>
      <c r="O1229" s="77" t="str">
        <f>IF(Main[[#This Row],[Tech Start Date]]&lt;1/1/1990,"",IF(Main[[#This Row],[Class]]="C",WORKDAY(Main[[#This Row],[Tech Start Date]],23),IF(Main[[#This Row],[Class]]="B", WORKDAY(Main[[#This Row],[Tech Start Date]],15),IF(Main[[#This Row],[Class]]="A",WORKDAY(Main[[#This Row],[Tech Start Date]],5),""))))</f>
        <v/>
      </c>
      <c r="P1229" s="77" t="str">
        <f>IF(Main[[#This Row],[Tech Start Date]]&lt;1/1/1990,"",IF(Main[[#This Row],[Class]]="C",WORKDAY(Main[[#This Row],[Tech Start Date]],28),IF(Main[[#This Row],[Class]]="B", WORKDAY(Main[[#This Row],[Tech Start Date]],19),IF(Main[[#This Row],[Class]]="A",WORKDAY(Main[[#This Row],[Tech Start Date]],9),""))))</f>
        <v/>
      </c>
      <c r="Q1229" s="74"/>
      <c r="R1229" s="74"/>
      <c r="S1229" s="72" t="s">
        <v>6</v>
      </c>
      <c r="T1229" s="80" t="s">
        <v>4</v>
      </c>
      <c r="U1229" s="72" t="s">
        <v>14</v>
      </c>
      <c r="V1229" s="72" t="s">
        <v>1932</v>
      </c>
      <c r="W1229" s="72" t="s">
        <v>1936</v>
      </c>
      <c r="X1229" s="72" t="s">
        <v>310</v>
      </c>
      <c r="Y1229" s="72" t="s">
        <v>3222</v>
      </c>
      <c r="Z1229" s="72" t="s">
        <v>129</v>
      </c>
      <c r="AA1229" s="147" t="s">
        <v>3645</v>
      </c>
    </row>
    <row r="1230" spans="1:27" ht="18.600000000000001" customHeight="1">
      <c r="A1230" s="140" t="str">
        <f>IF(priority(Main[[#This Row],[Comments]])&lt;&gt;0, priority(Main[[#This Row],[Comments]]),"")</f>
        <v/>
      </c>
      <c r="B1230" s="90" t="s">
        <v>2315</v>
      </c>
      <c r="C1230" s="72" t="s">
        <v>4</v>
      </c>
      <c r="D1230" s="73" t="s">
        <v>2790</v>
      </c>
      <c r="E1230" s="74">
        <v>40814.080497685187</v>
      </c>
      <c r="F1230" s="74"/>
      <c r="G1230" s="75" t="str">
        <f>IF(stdProdLT(Main[[#This Row],[Comments]])=0.1,"N/A",IF(stdProdLT(Main[[#This Row],[Comments]])=0,"",stdProdLT(Main[[#This Row],[Comments]])))</f>
        <v/>
      </c>
      <c r="H1230" s="76" t="str">
        <f>IF(AND(Main[[#This Row],[In Stock Date]]&lt;&gt;"",Main[[#This Row],[Revised Due Date]]&lt;&gt;""),Main[[#This Row],[In Stock Date]]-Main[[#This Row],[Revised Due Date]],"")</f>
        <v/>
      </c>
      <c r="I1230" s="72" t="s">
        <v>374</v>
      </c>
      <c r="J1230" s="72" t="s">
        <v>28</v>
      </c>
      <c r="K1230" s="81" t="s">
        <v>1941</v>
      </c>
      <c r="L1230" s="74"/>
      <c r="M1230" s="77" t="str">
        <f>IF(Main[[#This Row],[Tech Start Date]]&lt;1/1/1990,"",IF(Main[[#This Row],[Class]]="C",WORKDAY(Main[[#This Row],[Tech Start Date]],9),IF(Main[[#This Row],[Class]]="B", WORKDAY(Main[[#This Row],[Tech Start Date]],6),IF(Main[[#This Row],[Class]]="A",WORKDAY(Main[[#This Row],[Tech Start Date]],2),""))))</f>
        <v/>
      </c>
      <c r="N1230" s="77" t="str">
        <f>IF(Main[[#This Row],[Tech Start Date]]&lt;1/1/1990,"",IF(Main[[#This Row],[Class]]="C",WORKDAY(Main[[#This Row],[Tech Start Date]],19),IF(Main[[#This Row],[Class]]="B", WORKDAY(Main[[#This Row],[Tech Start Date]],12),IF(Main[[#This Row],[Class]]="A",WORKDAY(Main[[#This Row],[Tech Start Date]],4),""))))</f>
        <v/>
      </c>
      <c r="O1230" s="77" t="str">
        <f>IF(Main[[#This Row],[Tech Start Date]]&lt;1/1/1990,"",IF(Main[[#This Row],[Class]]="C",WORKDAY(Main[[#This Row],[Tech Start Date]],23),IF(Main[[#This Row],[Class]]="B", WORKDAY(Main[[#This Row],[Tech Start Date]],15),IF(Main[[#This Row],[Class]]="A",WORKDAY(Main[[#This Row],[Tech Start Date]],5),""))))</f>
        <v/>
      </c>
      <c r="P1230" s="77" t="str">
        <f>IF(Main[[#This Row],[Tech Start Date]]&lt;1/1/1990,"",IF(Main[[#This Row],[Class]]="C",WORKDAY(Main[[#This Row],[Tech Start Date]],28),IF(Main[[#This Row],[Class]]="B", WORKDAY(Main[[#This Row],[Tech Start Date]],19),IF(Main[[#This Row],[Class]]="A",WORKDAY(Main[[#This Row],[Tech Start Date]],9),""))))</f>
        <v/>
      </c>
      <c r="Q1230" s="74">
        <v>40905</v>
      </c>
      <c r="R1230" s="74"/>
      <c r="S1230" s="72" t="s">
        <v>6</v>
      </c>
      <c r="T1230" s="80" t="s">
        <v>4</v>
      </c>
      <c r="U1230" s="72" t="s">
        <v>29</v>
      </c>
      <c r="V1230" s="72" t="s">
        <v>1935</v>
      </c>
      <c r="W1230" s="72" t="s">
        <v>1936</v>
      </c>
      <c r="X1230" s="72" t="s">
        <v>2979</v>
      </c>
      <c r="Y1230" s="72" t="s">
        <v>3147</v>
      </c>
      <c r="Z1230" s="72" t="s">
        <v>30</v>
      </c>
      <c r="AA1230" s="147" t="s">
        <v>2979</v>
      </c>
    </row>
    <row r="1231" spans="1:27" ht="18.600000000000001" customHeight="1">
      <c r="A1231" s="140" t="str">
        <f>IF(priority(Main[[#This Row],[Comments]])&lt;&gt;0, priority(Main[[#This Row],[Comments]]),"")</f>
        <v/>
      </c>
      <c r="B1231" s="90" t="s">
        <v>1038</v>
      </c>
      <c r="C1231" s="72" t="s">
        <v>4</v>
      </c>
      <c r="D1231" s="73" t="s">
        <v>2866</v>
      </c>
      <c r="E1231" s="74">
        <v>40294.37054398148</v>
      </c>
      <c r="F1231" s="74"/>
      <c r="G1231" s="75" t="str">
        <f>IF(stdProdLT(Main[[#This Row],[Comments]])=0.1,"N/A",IF(stdProdLT(Main[[#This Row],[Comments]])=0,"",stdProdLT(Main[[#This Row],[Comments]])))</f>
        <v/>
      </c>
      <c r="H1231" s="76" t="str">
        <f>IF(AND(Main[[#This Row],[In Stock Date]]&lt;&gt;"",Main[[#This Row],[Revised Due Date]]&lt;&gt;""),Main[[#This Row],[In Stock Date]]-Main[[#This Row],[Revised Due Date]],"")</f>
        <v/>
      </c>
      <c r="I1231" s="72" t="s">
        <v>173</v>
      </c>
      <c r="J1231" s="72" t="s">
        <v>21</v>
      </c>
      <c r="K1231" s="72" t="s">
        <v>1941</v>
      </c>
      <c r="L1231" s="74"/>
      <c r="M1231" s="77" t="str">
        <f>IF(Main[[#This Row],[Tech Start Date]]&lt;1/1/1990,"",IF(Main[[#This Row],[Class]]="C",WORKDAY(Main[[#This Row],[Tech Start Date]],9),IF(Main[[#This Row],[Class]]="B", WORKDAY(Main[[#This Row],[Tech Start Date]],6),IF(Main[[#This Row],[Class]]="A",WORKDAY(Main[[#This Row],[Tech Start Date]],2),""))))</f>
        <v/>
      </c>
      <c r="N1231" s="77" t="str">
        <f>IF(Main[[#This Row],[Tech Start Date]]&lt;1/1/1990,"",IF(Main[[#This Row],[Class]]="C",WORKDAY(Main[[#This Row],[Tech Start Date]],19),IF(Main[[#This Row],[Class]]="B", WORKDAY(Main[[#This Row],[Tech Start Date]],12),IF(Main[[#This Row],[Class]]="A",WORKDAY(Main[[#This Row],[Tech Start Date]],4),""))))</f>
        <v/>
      </c>
      <c r="O1231" s="77" t="str">
        <f>IF(Main[[#This Row],[Tech Start Date]]&lt;1/1/1990,"",IF(Main[[#This Row],[Class]]="C",WORKDAY(Main[[#This Row],[Tech Start Date]],23),IF(Main[[#This Row],[Class]]="B", WORKDAY(Main[[#This Row],[Tech Start Date]],15),IF(Main[[#This Row],[Class]]="A",WORKDAY(Main[[#This Row],[Tech Start Date]],5),""))))</f>
        <v/>
      </c>
      <c r="P1231" s="77" t="str">
        <f>IF(Main[[#This Row],[Tech Start Date]]&lt;1/1/1990,"",IF(Main[[#This Row],[Class]]="C",WORKDAY(Main[[#This Row],[Tech Start Date]],28),IF(Main[[#This Row],[Class]]="B", WORKDAY(Main[[#This Row],[Tech Start Date]],19),IF(Main[[#This Row],[Class]]="A",WORKDAY(Main[[#This Row],[Tech Start Date]],9),""))))</f>
        <v/>
      </c>
      <c r="Q1231" s="74">
        <v>40909</v>
      </c>
      <c r="R1231" s="74"/>
      <c r="S1231" s="72" t="s">
        <v>6</v>
      </c>
      <c r="T1231" s="80" t="s">
        <v>4</v>
      </c>
      <c r="U1231" s="72" t="s">
        <v>29</v>
      </c>
      <c r="V1231" s="72" t="s">
        <v>1935</v>
      </c>
      <c r="W1231" s="72" t="s">
        <v>1936</v>
      </c>
      <c r="X1231" s="72" t="s">
        <v>2903</v>
      </c>
      <c r="Y1231" s="72" t="s">
        <v>3019</v>
      </c>
      <c r="Z1231" s="72" t="s">
        <v>242</v>
      </c>
      <c r="AA1231" s="147" t="s">
        <v>2903</v>
      </c>
    </row>
    <row r="1232" spans="1:27" ht="18.600000000000001" customHeight="1">
      <c r="A1232" s="140" t="str">
        <f>IF(priority(Main[[#This Row],[Comments]])&lt;&gt;0, priority(Main[[#This Row],[Comments]]),"")</f>
        <v/>
      </c>
      <c r="B1232" s="90" t="s">
        <v>1869</v>
      </c>
      <c r="C1232" s="72" t="s">
        <v>4</v>
      </c>
      <c r="D1232" s="73" t="s">
        <v>2895</v>
      </c>
      <c r="E1232" s="74">
        <v>40365.451284722221</v>
      </c>
      <c r="F1232" s="74"/>
      <c r="G1232" s="75" t="str">
        <f>IF(stdProdLT(Main[[#This Row],[Comments]])=0.1,"N/A",IF(stdProdLT(Main[[#This Row],[Comments]])=0,"",stdProdLT(Main[[#This Row],[Comments]])))</f>
        <v/>
      </c>
      <c r="H1232" s="76" t="str">
        <f>IF(AND(Main[[#This Row],[In Stock Date]]&lt;&gt;"",Main[[#This Row],[Revised Due Date]]&lt;&gt;""),Main[[#This Row],[In Stock Date]]-Main[[#This Row],[Revised Due Date]],"")</f>
        <v/>
      </c>
      <c r="I1232" s="72" t="s">
        <v>918</v>
      </c>
      <c r="J1232" s="72" t="s">
        <v>28</v>
      </c>
      <c r="K1232" s="72" t="s">
        <v>1944</v>
      </c>
      <c r="L1232" s="74"/>
      <c r="M1232" s="77" t="str">
        <f>IF(Main[[#This Row],[Tech Start Date]]&lt;1/1/1990,"",IF(Main[[#This Row],[Class]]="C",WORKDAY(Main[[#This Row],[Tech Start Date]],9),IF(Main[[#This Row],[Class]]="B", WORKDAY(Main[[#This Row],[Tech Start Date]],6),IF(Main[[#This Row],[Class]]="A",WORKDAY(Main[[#This Row],[Tech Start Date]],2),""))))</f>
        <v/>
      </c>
      <c r="N1232" s="77" t="str">
        <f>IF(Main[[#This Row],[Tech Start Date]]&lt;1/1/1990,"",IF(Main[[#This Row],[Class]]="C",WORKDAY(Main[[#This Row],[Tech Start Date]],19),IF(Main[[#This Row],[Class]]="B", WORKDAY(Main[[#This Row],[Tech Start Date]],12),IF(Main[[#This Row],[Class]]="A",WORKDAY(Main[[#This Row],[Tech Start Date]],4),""))))</f>
        <v/>
      </c>
      <c r="O1232" s="77" t="str">
        <f>IF(Main[[#This Row],[Tech Start Date]]&lt;1/1/1990,"",IF(Main[[#This Row],[Class]]="C",WORKDAY(Main[[#This Row],[Tech Start Date]],23),IF(Main[[#This Row],[Class]]="B", WORKDAY(Main[[#This Row],[Tech Start Date]],15),IF(Main[[#This Row],[Class]]="A",WORKDAY(Main[[#This Row],[Tech Start Date]],5),""))))</f>
        <v/>
      </c>
      <c r="P1232" s="77" t="str">
        <f>IF(Main[[#This Row],[Tech Start Date]]&lt;1/1/1990,"",IF(Main[[#This Row],[Class]]="C",WORKDAY(Main[[#This Row],[Tech Start Date]],28),IF(Main[[#This Row],[Class]]="B", WORKDAY(Main[[#This Row],[Tech Start Date]],19),IF(Main[[#This Row],[Class]]="A",WORKDAY(Main[[#This Row],[Tech Start Date]],9),""))))</f>
        <v/>
      </c>
      <c r="Q1232" s="74">
        <v>40968</v>
      </c>
      <c r="R1232" s="74">
        <v>40939</v>
      </c>
      <c r="S1232" s="72" t="s">
        <v>17</v>
      </c>
      <c r="T1232" s="80" t="s">
        <v>2638</v>
      </c>
      <c r="U1232" s="72" t="s">
        <v>29</v>
      </c>
      <c r="V1232" s="72" t="s">
        <v>1932</v>
      </c>
      <c r="W1232" s="72" t="s">
        <v>1937</v>
      </c>
      <c r="X1232" s="72" t="s">
        <v>129</v>
      </c>
      <c r="Y1232" s="72" t="s">
        <v>4</v>
      </c>
      <c r="Z1232" s="72" t="s">
        <v>129</v>
      </c>
      <c r="AA1232" s="147" t="s">
        <v>2912</v>
      </c>
    </row>
    <row r="1233" spans="1:27" ht="18.600000000000001" customHeight="1">
      <c r="A1233" s="140" t="str">
        <f>IF(priority(Main[[#This Row],[Comments]])&lt;&gt;0, priority(Main[[#This Row],[Comments]]),"")</f>
        <v/>
      </c>
      <c r="B1233" s="90" t="s">
        <v>2142</v>
      </c>
      <c r="C1233" s="72" t="s">
        <v>4</v>
      </c>
      <c r="D1233" s="73" t="s">
        <v>3718</v>
      </c>
      <c r="E1233" s="74">
        <v>40780.253831018519</v>
      </c>
      <c r="F1233" s="74"/>
      <c r="G1233" s="75" t="str">
        <f>IF(stdProdLT(Main[[#This Row],[Comments]])=0.1,"N/A",IF(stdProdLT(Main[[#This Row],[Comments]])=0,"",stdProdLT(Main[[#This Row],[Comments]])))</f>
        <v/>
      </c>
      <c r="H1233" s="76" t="str">
        <f>IF(AND(Main[[#This Row],[In Stock Date]]&lt;&gt;"",Main[[#This Row],[Revised Due Date]]&lt;&gt;""),Main[[#This Row],[In Stock Date]]-Main[[#This Row],[Revised Due Date]],"")</f>
        <v/>
      </c>
      <c r="I1233" s="72" t="s">
        <v>30</v>
      </c>
      <c r="J1233" s="72" t="s">
        <v>52</v>
      </c>
      <c r="K1233" s="72" t="s">
        <v>1941</v>
      </c>
      <c r="L1233" s="74"/>
      <c r="M1233" s="77" t="str">
        <f>IF(Main[[#This Row],[Tech Start Date]]&lt;1/1/1990,"",IF(Main[[#This Row],[Class]]="C",WORKDAY(Main[[#This Row],[Tech Start Date]],9),IF(Main[[#This Row],[Class]]="B", WORKDAY(Main[[#This Row],[Tech Start Date]],6),IF(Main[[#This Row],[Class]]="A",WORKDAY(Main[[#This Row],[Tech Start Date]],2),""))))</f>
        <v/>
      </c>
      <c r="N1233" s="77" t="str">
        <f>IF(Main[[#This Row],[Tech Start Date]]&lt;1/1/1990,"",IF(Main[[#This Row],[Class]]="C",WORKDAY(Main[[#This Row],[Tech Start Date]],19),IF(Main[[#This Row],[Class]]="B", WORKDAY(Main[[#This Row],[Tech Start Date]],12),IF(Main[[#This Row],[Class]]="A",WORKDAY(Main[[#This Row],[Tech Start Date]],4),""))))</f>
        <v/>
      </c>
      <c r="O1233" s="77" t="str">
        <f>IF(Main[[#This Row],[Tech Start Date]]&lt;1/1/1990,"",IF(Main[[#This Row],[Class]]="C",WORKDAY(Main[[#This Row],[Tech Start Date]],23),IF(Main[[#This Row],[Class]]="B", WORKDAY(Main[[#This Row],[Tech Start Date]],15),IF(Main[[#This Row],[Class]]="A",WORKDAY(Main[[#This Row],[Tech Start Date]],5),""))))</f>
        <v/>
      </c>
      <c r="P1233" s="77" t="str">
        <f>IF(Main[[#This Row],[Tech Start Date]]&lt;1/1/1990,"",IF(Main[[#This Row],[Class]]="C",WORKDAY(Main[[#This Row],[Tech Start Date]],28),IF(Main[[#This Row],[Class]]="B", WORKDAY(Main[[#This Row],[Tech Start Date]],19),IF(Main[[#This Row],[Class]]="A",WORKDAY(Main[[#This Row],[Tech Start Date]],9),""))))</f>
        <v/>
      </c>
      <c r="Q1233" s="74">
        <v>40800</v>
      </c>
      <c r="R1233" s="74"/>
      <c r="S1233" s="72" t="s">
        <v>6</v>
      </c>
      <c r="T1233" s="80" t="s">
        <v>4</v>
      </c>
      <c r="U1233" s="72" t="s">
        <v>29</v>
      </c>
      <c r="V1233" s="72" t="s">
        <v>1935</v>
      </c>
      <c r="W1233" s="72" t="s">
        <v>1936</v>
      </c>
      <c r="X1233" s="72" t="s">
        <v>2906</v>
      </c>
      <c r="Y1233" s="72" t="s">
        <v>3025</v>
      </c>
      <c r="Z1233" s="72" t="s">
        <v>30</v>
      </c>
      <c r="AA1233" s="147" t="s">
        <v>2906</v>
      </c>
    </row>
    <row r="1234" spans="1:27" ht="18.600000000000001" customHeight="1">
      <c r="A1234" s="140" t="str">
        <f>IF(priority(Main[[#This Row],[Comments]])&lt;&gt;0, priority(Main[[#This Row],[Comments]]),"")</f>
        <v/>
      </c>
      <c r="B1234" s="90" t="s">
        <v>2511</v>
      </c>
      <c r="C1234" s="72" t="s">
        <v>4</v>
      </c>
      <c r="D1234" s="73" t="s">
        <v>2512</v>
      </c>
      <c r="E1234" s="74">
        <v>40849.40829861111</v>
      </c>
      <c r="F1234" s="74"/>
      <c r="G1234" s="75" t="str">
        <f>IF(stdProdLT(Main[[#This Row],[Comments]])=0.1,"N/A",IF(stdProdLT(Main[[#This Row],[Comments]])=0,"",stdProdLT(Main[[#This Row],[Comments]])))</f>
        <v/>
      </c>
      <c r="H1234" s="76" t="str">
        <f>IF(AND(Main[[#This Row],[In Stock Date]]&lt;&gt;"",Main[[#This Row],[Revised Due Date]]&lt;&gt;""),Main[[#This Row],[In Stock Date]]-Main[[#This Row],[Revised Due Date]],"")</f>
        <v/>
      </c>
      <c r="I1234" s="72" t="s">
        <v>2066</v>
      </c>
      <c r="J1234" s="72" t="s">
        <v>21</v>
      </c>
      <c r="K1234" s="72" t="s">
        <v>1941</v>
      </c>
      <c r="L1234" s="74"/>
      <c r="M1234" s="77" t="str">
        <f>IF(Main[[#This Row],[Tech Start Date]]&lt;1/1/1990,"",IF(Main[[#This Row],[Class]]="C",WORKDAY(Main[[#This Row],[Tech Start Date]],9),IF(Main[[#This Row],[Class]]="B", WORKDAY(Main[[#This Row],[Tech Start Date]],6),IF(Main[[#This Row],[Class]]="A",WORKDAY(Main[[#This Row],[Tech Start Date]],2),""))))</f>
        <v/>
      </c>
      <c r="N1234" s="77" t="str">
        <f>IF(Main[[#This Row],[Tech Start Date]]&lt;1/1/1990,"",IF(Main[[#This Row],[Class]]="C",WORKDAY(Main[[#This Row],[Tech Start Date]],19),IF(Main[[#This Row],[Class]]="B", WORKDAY(Main[[#This Row],[Tech Start Date]],12),IF(Main[[#This Row],[Class]]="A",WORKDAY(Main[[#This Row],[Tech Start Date]],4),""))))</f>
        <v/>
      </c>
      <c r="O1234" s="77" t="str">
        <f>IF(Main[[#This Row],[Tech Start Date]]&lt;1/1/1990,"",IF(Main[[#This Row],[Class]]="C",WORKDAY(Main[[#This Row],[Tech Start Date]],23),IF(Main[[#This Row],[Class]]="B", WORKDAY(Main[[#This Row],[Tech Start Date]],15),IF(Main[[#This Row],[Class]]="A",WORKDAY(Main[[#This Row],[Tech Start Date]],5),""))))</f>
        <v/>
      </c>
      <c r="P1234" s="77" t="str">
        <f>IF(Main[[#This Row],[Tech Start Date]]&lt;1/1/1990,"",IF(Main[[#This Row],[Class]]="C",WORKDAY(Main[[#This Row],[Tech Start Date]],28),IF(Main[[#This Row],[Class]]="B", WORKDAY(Main[[#This Row],[Tech Start Date]],19),IF(Main[[#This Row],[Class]]="A",WORKDAY(Main[[#This Row],[Tech Start Date]],9),""))))</f>
        <v/>
      </c>
      <c r="Q1234" s="74">
        <v>40856</v>
      </c>
      <c r="R1234" s="74"/>
      <c r="S1234" s="72" t="s">
        <v>6</v>
      </c>
      <c r="T1234" s="80" t="s">
        <v>4</v>
      </c>
      <c r="U1234" s="72" t="s">
        <v>29</v>
      </c>
      <c r="V1234" s="72" t="s">
        <v>1935</v>
      </c>
      <c r="W1234" s="72" t="s">
        <v>1936</v>
      </c>
      <c r="X1234" s="72" t="s">
        <v>2987</v>
      </c>
      <c r="Y1234" s="72" t="s">
        <v>3170</v>
      </c>
      <c r="Z1234" s="72" t="s">
        <v>4</v>
      </c>
      <c r="AA1234" s="147" t="s">
        <v>2987</v>
      </c>
    </row>
    <row r="1235" spans="1:27" ht="18.600000000000001" customHeight="1">
      <c r="A1235" s="140" t="str">
        <f>IF(priority(Main[[#This Row],[Comments]])&lt;&gt;0, priority(Main[[#This Row],[Comments]]),"")</f>
        <v/>
      </c>
      <c r="B1235" s="90" t="s">
        <v>3795</v>
      </c>
      <c r="C1235" s="72" t="s">
        <v>4</v>
      </c>
      <c r="D1235" s="73" t="s">
        <v>3796</v>
      </c>
      <c r="E1235" s="74">
        <v>40946.701331018521</v>
      </c>
      <c r="F1235" s="74"/>
      <c r="G1235" s="75" t="str">
        <f>IF(stdProdLT(Main[[#This Row],[Comments]])=0.1,"N/A",IF(stdProdLT(Main[[#This Row],[Comments]])=0,"",stdProdLT(Main[[#This Row],[Comments]])))</f>
        <v/>
      </c>
      <c r="H1235" s="76" t="str">
        <f>IF(AND(Main[[#This Row],[In Stock Date]]&lt;&gt;"",Main[[#This Row],[Revised Due Date]]&lt;&gt;""),Main[[#This Row],[In Stock Date]]-Main[[#This Row],[Revised Due Date]],"")</f>
        <v/>
      </c>
      <c r="I1235" s="72" t="s">
        <v>4</v>
      </c>
      <c r="J1235" s="72" t="s">
        <v>4</v>
      </c>
      <c r="K1235" s="81" t="s">
        <v>4</v>
      </c>
      <c r="L1235" s="74"/>
      <c r="M1235" s="77" t="str">
        <f>IF(Main[[#This Row],[Tech Start Date]]&lt;1/1/1990,"",IF(Main[[#This Row],[Class]]="C",WORKDAY(Main[[#This Row],[Tech Start Date]],9),IF(Main[[#This Row],[Class]]="B", WORKDAY(Main[[#This Row],[Tech Start Date]],6),IF(Main[[#This Row],[Class]]="A",WORKDAY(Main[[#This Row],[Tech Start Date]],2),""))))</f>
        <v/>
      </c>
      <c r="N1235" s="77" t="str">
        <f>IF(Main[[#This Row],[Tech Start Date]]&lt;1/1/1990,"",IF(Main[[#This Row],[Class]]="C",WORKDAY(Main[[#This Row],[Tech Start Date]],19),IF(Main[[#This Row],[Class]]="B", WORKDAY(Main[[#This Row],[Tech Start Date]],12),IF(Main[[#This Row],[Class]]="A",WORKDAY(Main[[#This Row],[Tech Start Date]],4),""))))</f>
        <v/>
      </c>
      <c r="O1235" s="77" t="str">
        <f>IF(Main[[#This Row],[Tech Start Date]]&lt;1/1/1990,"",IF(Main[[#This Row],[Class]]="C",WORKDAY(Main[[#This Row],[Tech Start Date]],23),IF(Main[[#This Row],[Class]]="B", WORKDAY(Main[[#This Row],[Tech Start Date]],15),IF(Main[[#This Row],[Class]]="A",WORKDAY(Main[[#This Row],[Tech Start Date]],5),""))))</f>
        <v/>
      </c>
      <c r="P1235" s="77" t="str">
        <f>IF(Main[[#This Row],[Tech Start Date]]&lt;1/1/1990,"",IF(Main[[#This Row],[Class]]="C",WORKDAY(Main[[#This Row],[Tech Start Date]],28),IF(Main[[#This Row],[Class]]="B", WORKDAY(Main[[#This Row],[Tech Start Date]],19),IF(Main[[#This Row],[Class]]="A",WORKDAY(Main[[#This Row],[Tech Start Date]],9),""))))</f>
        <v/>
      </c>
      <c r="Q1235" s="74">
        <v>40953</v>
      </c>
      <c r="R1235" s="74"/>
      <c r="S1235" s="72" t="s">
        <v>6</v>
      </c>
      <c r="T1235" s="80" t="s">
        <v>4</v>
      </c>
      <c r="U1235" s="72" t="s">
        <v>7</v>
      </c>
      <c r="V1235" s="72" t="s">
        <v>1932</v>
      </c>
      <c r="W1235" s="72" t="s">
        <v>1940</v>
      </c>
      <c r="X1235" s="72" t="s">
        <v>2905</v>
      </c>
      <c r="Y1235" s="72" t="s">
        <v>3023</v>
      </c>
      <c r="Z1235" s="72" t="s">
        <v>4</v>
      </c>
      <c r="AA1235" s="147" t="s">
        <v>2905</v>
      </c>
    </row>
    <row r="1236" spans="1:27" ht="18.600000000000001" customHeight="1">
      <c r="A1236" s="140" t="str">
        <f>IF(priority(Main[[#This Row],[Comments]])&lt;&gt;0, priority(Main[[#This Row],[Comments]]),"")</f>
        <v/>
      </c>
      <c r="B1236" s="90" t="s">
        <v>1049</v>
      </c>
      <c r="C1236" s="72" t="s">
        <v>33</v>
      </c>
      <c r="D1236" s="73" t="s">
        <v>3797</v>
      </c>
      <c r="E1236" s="74">
        <v>40345.428090277775</v>
      </c>
      <c r="F1236" s="74"/>
      <c r="G1236" s="75" t="str">
        <f>IF(stdProdLT(Main[[#This Row],[Comments]])=0.1,"N/A",IF(stdProdLT(Main[[#This Row],[Comments]])=0,"",stdProdLT(Main[[#This Row],[Comments]])))</f>
        <v/>
      </c>
      <c r="H1236" s="76" t="str">
        <f>IF(AND(Main[[#This Row],[In Stock Date]]&lt;&gt;"",Main[[#This Row],[Revised Due Date]]&lt;&gt;""),Main[[#This Row],[In Stock Date]]-Main[[#This Row],[Revised Due Date]],"")</f>
        <v/>
      </c>
      <c r="I1236" s="72" t="s">
        <v>981</v>
      </c>
      <c r="J1236" s="72" t="s">
        <v>28</v>
      </c>
      <c r="K1236" s="72" t="s">
        <v>4</v>
      </c>
      <c r="L1236" s="74"/>
      <c r="M1236" s="77" t="str">
        <f>IF(Main[[#This Row],[Tech Start Date]]&lt;1/1/1990,"",IF(Main[[#This Row],[Class]]="C",WORKDAY(Main[[#This Row],[Tech Start Date]],9),IF(Main[[#This Row],[Class]]="B", WORKDAY(Main[[#This Row],[Tech Start Date]],6),IF(Main[[#This Row],[Class]]="A",WORKDAY(Main[[#This Row],[Tech Start Date]],2),""))))</f>
        <v/>
      </c>
      <c r="N1236" s="77" t="str">
        <f>IF(Main[[#This Row],[Tech Start Date]]&lt;1/1/1990,"",IF(Main[[#This Row],[Class]]="C",WORKDAY(Main[[#This Row],[Tech Start Date]],19),IF(Main[[#This Row],[Class]]="B", WORKDAY(Main[[#This Row],[Tech Start Date]],12),IF(Main[[#This Row],[Class]]="A",WORKDAY(Main[[#This Row],[Tech Start Date]],4),""))))</f>
        <v/>
      </c>
      <c r="O1236" s="77" t="str">
        <f>IF(Main[[#This Row],[Tech Start Date]]&lt;1/1/1990,"",IF(Main[[#This Row],[Class]]="C",WORKDAY(Main[[#This Row],[Tech Start Date]],23),IF(Main[[#This Row],[Class]]="B", WORKDAY(Main[[#This Row],[Tech Start Date]],15),IF(Main[[#This Row],[Class]]="A",WORKDAY(Main[[#This Row],[Tech Start Date]],5),""))))</f>
        <v/>
      </c>
      <c r="P1236" s="77" t="str">
        <f>IF(Main[[#This Row],[Tech Start Date]]&lt;1/1/1990,"",IF(Main[[#This Row],[Class]]="C",WORKDAY(Main[[#This Row],[Tech Start Date]],28),IF(Main[[#This Row],[Class]]="B", WORKDAY(Main[[#This Row],[Tech Start Date]],19),IF(Main[[#This Row],[Class]]="A",WORKDAY(Main[[#This Row],[Tech Start Date]],9),""))))</f>
        <v/>
      </c>
      <c r="Q1236" s="74">
        <v>40384</v>
      </c>
      <c r="R1236" s="74">
        <v>41029</v>
      </c>
      <c r="S1236" s="72" t="s">
        <v>17</v>
      </c>
      <c r="T1236" s="80" t="s">
        <v>2349</v>
      </c>
      <c r="U1236" s="72" t="s">
        <v>29</v>
      </c>
      <c r="V1236" s="72" t="s">
        <v>1932</v>
      </c>
      <c r="W1236" s="72" t="s">
        <v>1937</v>
      </c>
      <c r="X1236" s="72" t="s">
        <v>2959</v>
      </c>
      <c r="Y1236" s="72" t="s">
        <v>3108</v>
      </c>
      <c r="Z1236" s="72" t="s">
        <v>129</v>
      </c>
      <c r="AA1236" s="147" t="s">
        <v>2959</v>
      </c>
    </row>
    <row r="1237" spans="1:27" ht="18.600000000000001" customHeight="1">
      <c r="A1237" s="140" t="str">
        <f>IF(priority(Main[[#This Row],[Comments]])&lt;&gt;0, priority(Main[[#This Row],[Comments]]),"")</f>
        <v/>
      </c>
      <c r="B1237" s="90" t="s">
        <v>3420</v>
      </c>
      <c r="C1237" s="72" t="s">
        <v>4</v>
      </c>
      <c r="D1237" s="73" t="s">
        <v>3421</v>
      </c>
      <c r="E1237" s="74">
        <v>40932.426516203705</v>
      </c>
      <c r="F1237" s="74"/>
      <c r="G1237" s="75" t="str">
        <f>IF(stdProdLT(Main[[#This Row],[Comments]])=0.1,"N/A",IF(stdProdLT(Main[[#This Row],[Comments]])=0,"",stdProdLT(Main[[#This Row],[Comments]])))</f>
        <v/>
      </c>
      <c r="H1237" s="76" t="str">
        <f>IF(AND(Main[[#This Row],[In Stock Date]]&lt;&gt;"",Main[[#This Row],[Revised Due Date]]&lt;&gt;""),Main[[#This Row],[In Stock Date]]-Main[[#This Row],[Revised Due Date]],"")</f>
        <v/>
      </c>
      <c r="I1237" s="72" t="s">
        <v>4</v>
      </c>
      <c r="J1237" s="72" t="s">
        <v>4</v>
      </c>
      <c r="K1237" s="72" t="s">
        <v>4</v>
      </c>
      <c r="L1237" s="74"/>
      <c r="M1237" s="77" t="str">
        <f>IF(Main[[#This Row],[Tech Start Date]]&lt;1/1/1990,"",IF(Main[[#This Row],[Class]]="C",WORKDAY(Main[[#This Row],[Tech Start Date]],9),IF(Main[[#This Row],[Class]]="B", WORKDAY(Main[[#This Row],[Tech Start Date]],6),IF(Main[[#This Row],[Class]]="A",WORKDAY(Main[[#This Row],[Tech Start Date]],2),""))))</f>
        <v/>
      </c>
      <c r="N1237" s="77" t="str">
        <f>IF(Main[[#This Row],[Tech Start Date]]&lt;1/1/1990,"",IF(Main[[#This Row],[Class]]="C",WORKDAY(Main[[#This Row],[Tech Start Date]],19),IF(Main[[#This Row],[Class]]="B", WORKDAY(Main[[#This Row],[Tech Start Date]],12),IF(Main[[#This Row],[Class]]="A",WORKDAY(Main[[#This Row],[Tech Start Date]],4),""))))</f>
        <v/>
      </c>
      <c r="O1237" s="77" t="str">
        <f>IF(Main[[#This Row],[Tech Start Date]]&lt;1/1/1990,"",IF(Main[[#This Row],[Class]]="C",WORKDAY(Main[[#This Row],[Tech Start Date]],23),IF(Main[[#This Row],[Class]]="B", WORKDAY(Main[[#This Row],[Tech Start Date]],15),IF(Main[[#This Row],[Class]]="A",WORKDAY(Main[[#This Row],[Tech Start Date]],5),""))))</f>
        <v/>
      </c>
      <c r="P1237" s="77" t="str">
        <f>IF(Main[[#This Row],[Tech Start Date]]&lt;1/1/1990,"",IF(Main[[#This Row],[Class]]="C",WORKDAY(Main[[#This Row],[Tech Start Date]],28),IF(Main[[#This Row],[Class]]="B", WORKDAY(Main[[#This Row],[Tech Start Date]],19),IF(Main[[#This Row],[Class]]="A",WORKDAY(Main[[#This Row],[Tech Start Date]],9),""))))</f>
        <v/>
      </c>
      <c r="Q1237" s="74"/>
      <c r="R1237" s="74"/>
      <c r="S1237" s="72" t="s">
        <v>6</v>
      </c>
      <c r="T1237" s="80" t="s">
        <v>4</v>
      </c>
      <c r="U1237" s="72" t="s">
        <v>7</v>
      </c>
      <c r="V1237" s="72" t="s">
        <v>1935</v>
      </c>
      <c r="W1237" s="72" t="s">
        <v>1936</v>
      </c>
      <c r="X1237" s="72" t="s">
        <v>2950</v>
      </c>
      <c r="Y1237" s="72" t="s">
        <v>3087</v>
      </c>
      <c r="Z1237" s="72" t="s">
        <v>4</v>
      </c>
      <c r="AA1237" s="147" t="s">
        <v>2950</v>
      </c>
    </row>
    <row r="1238" spans="1:27" ht="18.600000000000001" customHeight="1">
      <c r="A1238" s="140" t="str">
        <f>IF(priority(Main[[#This Row],[Comments]])&lt;&gt;0, priority(Main[[#This Row],[Comments]]),"")</f>
        <v/>
      </c>
      <c r="B1238" s="90" t="s">
        <v>1866</v>
      </c>
      <c r="C1238" s="72" t="s">
        <v>4</v>
      </c>
      <c r="D1238" s="73" t="s">
        <v>915</v>
      </c>
      <c r="E1238" s="74">
        <v>39968.569513888891</v>
      </c>
      <c r="F1238" s="74">
        <v>40298</v>
      </c>
      <c r="G1238" s="75" t="str">
        <f>IF(stdProdLT(Main[[#This Row],[Comments]])=0.1,"N/A",IF(stdProdLT(Main[[#This Row],[Comments]])=0,"",stdProdLT(Main[[#This Row],[Comments]])))</f>
        <v/>
      </c>
      <c r="H1238" s="76">
        <f>IF(AND(Main[[#This Row],[In Stock Date]]&lt;&gt;"",Main[[#This Row],[Revised Due Date]]&lt;&gt;""),Main[[#This Row],[In Stock Date]]-Main[[#This Row],[Revised Due Date]],"")</f>
        <v>-704</v>
      </c>
      <c r="I1238" s="72" t="s">
        <v>986</v>
      </c>
      <c r="J1238" s="72" t="s">
        <v>4</v>
      </c>
      <c r="K1238" s="72" t="s">
        <v>1944</v>
      </c>
      <c r="L1238" s="74"/>
      <c r="M1238" s="77" t="str">
        <f>IF(Main[[#This Row],[Tech Start Date]]&lt;1/1/1990,"",IF(Main[[#This Row],[Class]]="C",WORKDAY(Main[[#This Row],[Tech Start Date]],9),IF(Main[[#This Row],[Class]]="B", WORKDAY(Main[[#This Row],[Tech Start Date]],6),IF(Main[[#This Row],[Class]]="A",WORKDAY(Main[[#This Row],[Tech Start Date]],2),""))))</f>
        <v/>
      </c>
      <c r="N1238" s="77" t="str">
        <f>IF(Main[[#This Row],[Tech Start Date]]&lt;1/1/1990,"",IF(Main[[#This Row],[Class]]="C",WORKDAY(Main[[#This Row],[Tech Start Date]],19),IF(Main[[#This Row],[Class]]="B", WORKDAY(Main[[#This Row],[Tech Start Date]],12),IF(Main[[#This Row],[Class]]="A",WORKDAY(Main[[#This Row],[Tech Start Date]],4),""))))</f>
        <v/>
      </c>
      <c r="O1238" s="77" t="str">
        <f>IF(Main[[#This Row],[Tech Start Date]]&lt;1/1/1990,"",IF(Main[[#This Row],[Class]]="C",WORKDAY(Main[[#This Row],[Tech Start Date]],23),IF(Main[[#This Row],[Class]]="B", WORKDAY(Main[[#This Row],[Tech Start Date]],15),IF(Main[[#This Row],[Class]]="A",WORKDAY(Main[[#This Row],[Tech Start Date]],5),""))))</f>
        <v/>
      </c>
      <c r="P1238" s="77" t="str">
        <f>IF(Main[[#This Row],[Tech Start Date]]&lt;1/1/1990,"",IF(Main[[#This Row],[Class]]="C",WORKDAY(Main[[#This Row],[Tech Start Date]],28),IF(Main[[#This Row],[Class]]="B", WORKDAY(Main[[#This Row],[Tech Start Date]],19),IF(Main[[#This Row],[Class]]="A",WORKDAY(Main[[#This Row],[Tech Start Date]],9),""))))</f>
        <v/>
      </c>
      <c r="Q1238" s="74">
        <v>40165</v>
      </c>
      <c r="R1238" s="74">
        <v>41002</v>
      </c>
      <c r="S1238" s="72" t="s">
        <v>17</v>
      </c>
      <c r="T1238" s="80" t="s">
        <v>4</v>
      </c>
      <c r="U1238" s="72" t="s">
        <v>29</v>
      </c>
      <c r="V1238" s="72" t="s">
        <v>1935</v>
      </c>
      <c r="W1238" s="72" t="s">
        <v>1937</v>
      </c>
      <c r="X1238" s="72" t="s">
        <v>980</v>
      </c>
      <c r="Y1238" s="72" t="s">
        <v>3204</v>
      </c>
      <c r="Z1238" s="72" t="s">
        <v>420</v>
      </c>
      <c r="AA1238" s="147" t="s">
        <v>980</v>
      </c>
    </row>
    <row r="1239" spans="1:27" ht="18.600000000000001" customHeight="1">
      <c r="A1239" s="140" t="str">
        <f>IF(priority(Main[[#This Row],[Comments]])&lt;&gt;0, priority(Main[[#This Row],[Comments]]),"")</f>
        <v/>
      </c>
      <c r="B1239" s="90" t="s">
        <v>3684</v>
      </c>
      <c r="C1239" s="72" t="s">
        <v>3685</v>
      </c>
      <c r="D1239" s="73" t="s">
        <v>3798</v>
      </c>
      <c r="E1239" s="74">
        <v>40941.594409722224</v>
      </c>
      <c r="F1239" s="74"/>
      <c r="G1239" s="75" t="str">
        <f>IF(stdProdLT(Main[[#This Row],[Comments]])=0.1,"N/A",IF(stdProdLT(Main[[#This Row],[Comments]])=0,"",stdProdLT(Main[[#This Row],[Comments]])))</f>
        <v/>
      </c>
      <c r="H1239" s="76" t="str">
        <f>IF(AND(Main[[#This Row],[In Stock Date]]&lt;&gt;"",Main[[#This Row],[Revised Due Date]]&lt;&gt;""),Main[[#This Row],[In Stock Date]]-Main[[#This Row],[Revised Due Date]],"")</f>
        <v/>
      </c>
      <c r="I1239" s="72" t="s">
        <v>2234</v>
      </c>
      <c r="J1239" s="72" t="s">
        <v>75</v>
      </c>
      <c r="K1239" s="81" t="s">
        <v>1939</v>
      </c>
      <c r="L1239" s="74"/>
      <c r="M1239" s="77" t="str">
        <f>IF(Main[[#This Row],[Tech Start Date]]&lt;1/1/1990,"",IF(Main[[#This Row],[Class]]="C",WORKDAY(Main[[#This Row],[Tech Start Date]],9),IF(Main[[#This Row],[Class]]="B", WORKDAY(Main[[#This Row],[Tech Start Date]],6),IF(Main[[#This Row],[Class]]="A",WORKDAY(Main[[#This Row],[Tech Start Date]],2),""))))</f>
        <v/>
      </c>
      <c r="N1239" s="77" t="str">
        <f>IF(Main[[#This Row],[Tech Start Date]]&lt;1/1/1990,"",IF(Main[[#This Row],[Class]]="C",WORKDAY(Main[[#This Row],[Tech Start Date]],19),IF(Main[[#This Row],[Class]]="B", WORKDAY(Main[[#This Row],[Tech Start Date]],12),IF(Main[[#This Row],[Class]]="A",WORKDAY(Main[[#This Row],[Tech Start Date]],4),""))))</f>
        <v/>
      </c>
      <c r="O1239" s="77" t="str">
        <f>IF(Main[[#This Row],[Tech Start Date]]&lt;1/1/1990,"",IF(Main[[#This Row],[Class]]="C",WORKDAY(Main[[#This Row],[Tech Start Date]],23),IF(Main[[#This Row],[Class]]="B", WORKDAY(Main[[#This Row],[Tech Start Date]],15),IF(Main[[#This Row],[Class]]="A",WORKDAY(Main[[#This Row],[Tech Start Date]],5),""))))</f>
        <v/>
      </c>
      <c r="P1239" s="77" t="str">
        <f>IF(Main[[#This Row],[Tech Start Date]]&lt;1/1/1990,"",IF(Main[[#This Row],[Class]]="C",WORKDAY(Main[[#This Row],[Tech Start Date]],28),IF(Main[[#This Row],[Class]]="B", WORKDAY(Main[[#This Row],[Tech Start Date]],19),IF(Main[[#This Row],[Class]]="A",WORKDAY(Main[[#This Row],[Tech Start Date]],9),""))))</f>
        <v/>
      </c>
      <c r="Q1239" s="74"/>
      <c r="R1239" s="74"/>
      <c r="S1239" s="72" t="s">
        <v>11</v>
      </c>
      <c r="T1239" s="80" t="s">
        <v>4</v>
      </c>
      <c r="U1239" s="72" t="s">
        <v>29</v>
      </c>
      <c r="V1239" s="72" t="s">
        <v>1932</v>
      </c>
      <c r="W1239" s="72" t="s">
        <v>1938</v>
      </c>
      <c r="X1239" s="72" t="s">
        <v>3660</v>
      </c>
      <c r="Y1239" s="72" t="s">
        <v>3686</v>
      </c>
      <c r="Z1239" s="72" t="s">
        <v>310</v>
      </c>
      <c r="AA1239" s="147" t="s">
        <v>3660</v>
      </c>
    </row>
    <row r="1240" spans="1:27" ht="18.600000000000001" customHeight="1">
      <c r="A1240" s="140" t="str">
        <f>IF(priority(Main[[#This Row],[Comments]])&lt;&gt;0, priority(Main[[#This Row],[Comments]]),"")</f>
        <v/>
      </c>
      <c r="B1240" s="90" t="s">
        <v>2859</v>
      </c>
      <c r="C1240" s="72" t="s">
        <v>4</v>
      </c>
      <c r="D1240" s="73" t="s">
        <v>2860</v>
      </c>
      <c r="E1240" s="74">
        <v>40905.712777777779</v>
      </c>
      <c r="F1240" s="74"/>
      <c r="G1240" s="75" t="str">
        <f>IF(stdProdLT(Main[[#This Row],[Comments]])=0.1,"N/A",IF(stdProdLT(Main[[#This Row],[Comments]])=0,"",stdProdLT(Main[[#This Row],[Comments]])))</f>
        <v/>
      </c>
      <c r="H1240" s="76" t="str">
        <f>IF(AND(Main[[#This Row],[In Stock Date]]&lt;&gt;"",Main[[#This Row],[Revised Due Date]]&lt;&gt;""),Main[[#This Row],[In Stock Date]]-Main[[#This Row],[Revised Due Date]],"")</f>
        <v/>
      </c>
      <c r="I1240" s="72" t="s">
        <v>4</v>
      </c>
      <c r="J1240" s="72" t="s">
        <v>4</v>
      </c>
      <c r="K1240" s="72" t="s">
        <v>4</v>
      </c>
      <c r="L1240" s="74"/>
      <c r="M1240" s="77" t="str">
        <f>IF(Main[[#This Row],[Tech Start Date]]&lt;1/1/1990,"",IF(Main[[#This Row],[Class]]="C",WORKDAY(Main[[#This Row],[Tech Start Date]],9),IF(Main[[#This Row],[Class]]="B", WORKDAY(Main[[#This Row],[Tech Start Date]],6),IF(Main[[#This Row],[Class]]="A",WORKDAY(Main[[#This Row],[Tech Start Date]],2),""))))</f>
        <v/>
      </c>
      <c r="N1240" s="77" t="str">
        <f>IF(Main[[#This Row],[Tech Start Date]]&lt;1/1/1990,"",IF(Main[[#This Row],[Class]]="C",WORKDAY(Main[[#This Row],[Tech Start Date]],19),IF(Main[[#This Row],[Class]]="B", WORKDAY(Main[[#This Row],[Tech Start Date]],12),IF(Main[[#This Row],[Class]]="A",WORKDAY(Main[[#This Row],[Tech Start Date]],4),""))))</f>
        <v/>
      </c>
      <c r="O1240" s="77" t="str">
        <f>IF(Main[[#This Row],[Tech Start Date]]&lt;1/1/1990,"",IF(Main[[#This Row],[Class]]="C",WORKDAY(Main[[#This Row],[Tech Start Date]],23),IF(Main[[#This Row],[Class]]="B", WORKDAY(Main[[#This Row],[Tech Start Date]],15),IF(Main[[#This Row],[Class]]="A",WORKDAY(Main[[#This Row],[Tech Start Date]],5),""))))</f>
        <v/>
      </c>
      <c r="P1240" s="77" t="str">
        <f>IF(Main[[#This Row],[Tech Start Date]]&lt;1/1/1990,"",IF(Main[[#This Row],[Class]]="C",WORKDAY(Main[[#This Row],[Tech Start Date]],28),IF(Main[[#This Row],[Class]]="B", WORKDAY(Main[[#This Row],[Tech Start Date]],19),IF(Main[[#This Row],[Class]]="A",WORKDAY(Main[[#This Row],[Tech Start Date]],9),""))))</f>
        <v/>
      </c>
      <c r="Q1240" s="74">
        <v>40939</v>
      </c>
      <c r="R1240" s="74"/>
      <c r="S1240" s="72" t="s">
        <v>6</v>
      </c>
      <c r="T1240" s="80" t="s">
        <v>4</v>
      </c>
      <c r="U1240" s="72" t="s">
        <v>7</v>
      </c>
      <c r="V1240" s="72" t="s">
        <v>1932</v>
      </c>
      <c r="W1240" s="72" t="s">
        <v>4</v>
      </c>
      <c r="X1240" s="72" t="s">
        <v>2903</v>
      </c>
      <c r="Y1240" s="72" t="s">
        <v>3019</v>
      </c>
      <c r="Z1240" s="72" t="s">
        <v>4</v>
      </c>
      <c r="AA1240" s="147" t="s">
        <v>2903</v>
      </c>
    </row>
    <row r="1241" spans="1:27" ht="18.600000000000001" customHeight="1">
      <c r="A1241" s="140" t="str">
        <f>IF(priority(Main[[#This Row],[Comments]])&lt;&gt;0, priority(Main[[#This Row],[Comments]]),"")</f>
        <v/>
      </c>
      <c r="B1241" s="90" t="s">
        <v>3799</v>
      </c>
      <c r="C1241" s="72" t="s">
        <v>2230</v>
      </c>
      <c r="D1241" s="73" t="s">
        <v>3800</v>
      </c>
      <c r="E1241" s="74">
        <v>40946.200231481482</v>
      </c>
      <c r="F1241" s="74"/>
      <c r="G1241" s="75" t="str">
        <f>IF(stdProdLT(Main[[#This Row],[Comments]])=0.1,"N/A",IF(stdProdLT(Main[[#This Row],[Comments]])=0,"",stdProdLT(Main[[#This Row],[Comments]])))</f>
        <v/>
      </c>
      <c r="H1241" s="76" t="str">
        <f>IF(AND(Main[[#This Row],[In Stock Date]]&lt;&gt;"",Main[[#This Row],[Revised Due Date]]&lt;&gt;""),Main[[#This Row],[In Stock Date]]-Main[[#This Row],[Revised Due Date]],"")</f>
        <v/>
      </c>
      <c r="I1241" s="72" t="s">
        <v>4</v>
      </c>
      <c r="J1241" s="72" t="s">
        <v>4</v>
      </c>
      <c r="K1241" s="72" t="s">
        <v>4</v>
      </c>
      <c r="L1241" s="74"/>
      <c r="M1241" s="77" t="str">
        <f>IF(Main[[#This Row],[Tech Start Date]]&lt;1/1/1990,"",IF(Main[[#This Row],[Class]]="C",WORKDAY(Main[[#This Row],[Tech Start Date]],9),IF(Main[[#This Row],[Class]]="B", WORKDAY(Main[[#This Row],[Tech Start Date]],6),IF(Main[[#This Row],[Class]]="A",WORKDAY(Main[[#This Row],[Tech Start Date]],2),""))))</f>
        <v/>
      </c>
      <c r="N1241" s="77" t="str">
        <f>IF(Main[[#This Row],[Tech Start Date]]&lt;1/1/1990,"",IF(Main[[#This Row],[Class]]="C",WORKDAY(Main[[#This Row],[Tech Start Date]],19),IF(Main[[#This Row],[Class]]="B", WORKDAY(Main[[#This Row],[Tech Start Date]],12),IF(Main[[#This Row],[Class]]="A",WORKDAY(Main[[#This Row],[Tech Start Date]],4),""))))</f>
        <v/>
      </c>
      <c r="O1241" s="77" t="str">
        <f>IF(Main[[#This Row],[Tech Start Date]]&lt;1/1/1990,"",IF(Main[[#This Row],[Class]]="C",WORKDAY(Main[[#This Row],[Tech Start Date]],23),IF(Main[[#This Row],[Class]]="B", WORKDAY(Main[[#This Row],[Tech Start Date]],15),IF(Main[[#This Row],[Class]]="A",WORKDAY(Main[[#This Row],[Tech Start Date]],5),""))))</f>
        <v/>
      </c>
      <c r="P1241" s="77" t="str">
        <f>IF(Main[[#This Row],[Tech Start Date]]&lt;1/1/1990,"",IF(Main[[#This Row],[Class]]="C",WORKDAY(Main[[#This Row],[Tech Start Date]],28),IF(Main[[#This Row],[Class]]="B", WORKDAY(Main[[#This Row],[Tech Start Date]],19),IF(Main[[#This Row],[Class]]="A",WORKDAY(Main[[#This Row],[Tech Start Date]],9),""))))</f>
        <v/>
      </c>
      <c r="Q1241" s="74">
        <v>40984</v>
      </c>
      <c r="R1241" s="74"/>
      <c r="S1241" s="72" t="s">
        <v>11</v>
      </c>
      <c r="T1241" s="80" t="s">
        <v>4</v>
      </c>
      <c r="U1241" s="72" t="s">
        <v>7</v>
      </c>
      <c r="V1241" s="72" t="s">
        <v>1932</v>
      </c>
      <c r="W1241" s="72" t="s">
        <v>1940</v>
      </c>
      <c r="X1241" s="72" t="s">
        <v>2995</v>
      </c>
      <c r="Y1241" s="72" t="s">
        <v>4</v>
      </c>
      <c r="Z1241" s="72" t="s">
        <v>4</v>
      </c>
      <c r="AA1241" s="147" t="s">
        <v>3649</v>
      </c>
    </row>
    <row r="1242" spans="1:27" ht="18.600000000000001" customHeight="1">
      <c r="A1242" s="140" t="str">
        <f>IF(priority(Main[[#This Row],[Comments]])&lt;&gt;0, priority(Main[[#This Row],[Comments]]),"")</f>
        <v/>
      </c>
      <c r="B1242" s="90" t="s">
        <v>2617</v>
      </c>
      <c r="C1242" s="72" t="s">
        <v>4</v>
      </c>
      <c r="D1242" s="73" t="s">
        <v>2861</v>
      </c>
      <c r="E1242" s="74">
        <v>40870.473611111112</v>
      </c>
      <c r="F1242" s="74"/>
      <c r="G1242" s="75" t="str">
        <f>IF(stdProdLT(Main[[#This Row],[Comments]])=0.1,"N/A",IF(stdProdLT(Main[[#This Row],[Comments]])=0,"",stdProdLT(Main[[#This Row],[Comments]])))</f>
        <v/>
      </c>
      <c r="H1242" s="76" t="str">
        <f>IF(AND(Main[[#This Row],[In Stock Date]]&lt;&gt;"",Main[[#This Row],[Revised Due Date]]&lt;&gt;""),Main[[#This Row],[In Stock Date]]-Main[[#This Row],[Revised Due Date]],"")</f>
        <v/>
      </c>
      <c r="I1242" s="72" t="s">
        <v>434</v>
      </c>
      <c r="J1242" s="72" t="s">
        <v>28</v>
      </c>
      <c r="K1242" s="81" t="s">
        <v>1941</v>
      </c>
      <c r="L1242" s="74"/>
      <c r="M1242" s="77" t="str">
        <f>IF(Main[[#This Row],[Tech Start Date]]&lt;1/1/1990,"",IF(Main[[#This Row],[Class]]="C",WORKDAY(Main[[#This Row],[Tech Start Date]],9),IF(Main[[#This Row],[Class]]="B", WORKDAY(Main[[#This Row],[Tech Start Date]],6),IF(Main[[#This Row],[Class]]="A",WORKDAY(Main[[#This Row],[Tech Start Date]],2),""))))</f>
        <v/>
      </c>
      <c r="N1242" s="77" t="str">
        <f>IF(Main[[#This Row],[Tech Start Date]]&lt;1/1/1990,"",IF(Main[[#This Row],[Class]]="C",WORKDAY(Main[[#This Row],[Tech Start Date]],19),IF(Main[[#This Row],[Class]]="B", WORKDAY(Main[[#This Row],[Tech Start Date]],12),IF(Main[[#This Row],[Class]]="A",WORKDAY(Main[[#This Row],[Tech Start Date]],4),""))))</f>
        <v/>
      </c>
      <c r="O1242" s="77" t="str">
        <f>IF(Main[[#This Row],[Tech Start Date]]&lt;1/1/1990,"",IF(Main[[#This Row],[Class]]="C",WORKDAY(Main[[#This Row],[Tech Start Date]],23),IF(Main[[#This Row],[Class]]="B", WORKDAY(Main[[#This Row],[Tech Start Date]],15),IF(Main[[#This Row],[Class]]="A",WORKDAY(Main[[#This Row],[Tech Start Date]],5),""))))</f>
        <v/>
      </c>
      <c r="P1242" s="77" t="str">
        <f>IF(Main[[#This Row],[Tech Start Date]]&lt;1/1/1990,"",IF(Main[[#This Row],[Class]]="C",WORKDAY(Main[[#This Row],[Tech Start Date]],28),IF(Main[[#This Row],[Class]]="B", WORKDAY(Main[[#This Row],[Tech Start Date]],19),IF(Main[[#This Row],[Class]]="A",WORKDAY(Main[[#This Row],[Tech Start Date]],9),""))))</f>
        <v/>
      </c>
      <c r="Q1242" s="74">
        <v>40905</v>
      </c>
      <c r="R1242" s="74"/>
      <c r="S1242" s="72" t="s">
        <v>6</v>
      </c>
      <c r="T1242" s="80" t="s">
        <v>4</v>
      </c>
      <c r="U1242" s="72" t="s">
        <v>29</v>
      </c>
      <c r="V1242" s="72" t="s">
        <v>1935</v>
      </c>
      <c r="W1242" s="72" t="s">
        <v>1936</v>
      </c>
      <c r="X1242" s="72" t="s">
        <v>2073</v>
      </c>
      <c r="Y1242" s="72" t="s">
        <v>3147</v>
      </c>
      <c r="Z1242" s="72" t="s">
        <v>30</v>
      </c>
      <c r="AA1242" s="147" t="s">
        <v>2979</v>
      </c>
    </row>
    <row r="1243" spans="1:27" ht="18.600000000000001" customHeight="1">
      <c r="A1243" s="140" t="str">
        <f>IF(priority(Main[[#This Row],[Comments]])&lt;&gt;0, priority(Main[[#This Row],[Comments]]),"")</f>
        <v/>
      </c>
      <c r="B1243" s="90" t="s">
        <v>1140</v>
      </c>
      <c r="C1243" s="72" t="s">
        <v>4</v>
      </c>
      <c r="D1243" s="73" t="s">
        <v>180</v>
      </c>
      <c r="E1243" s="74">
        <v>40430.633981481478</v>
      </c>
      <c r="F1243" s="74">
        <v>40522</v>
      </c>
      <c r="G1243" s="75" t="str">
        <f>IF(stdProdLT(Main[[#This Row],[Comments]])=0.1,"N/A",IF(stdProdLT(Main[[#This Row],[Comments]])=0,"",stdProdLT(Main[[#This Row],[Comments]])))</f>
        <v/>
      </c>
      <c r="H1243" s="76" t="str">
        <f>IF(AND(Main[[#This Row],[In Stock Date]]&lt;&gt;"",Main[[#This Row],[Revised Due Date]]&lt;&gt;""),Main[[#This Row],[In Stock Date]]-Main[[#This Row],[Revised Due Date]],"")</f>
        <v/>
      </c>
      <c r="I1243" s="72" t="s">
        <v>242</v>
      </c>
      <c r="J1243" s="72" t="s">
        <v>21</v>
      </c>
      <c r="K1243" s="81" t="s">
        <v>4</v>
      </c>
      <c r="L1243" s="74"/>
      <c r="M1243" s="77" t="str">
        <f>IF(Main[[#This Row],[Tech Start Date]]&lt;1/1/1990,"",IF(Main[[#This Row],[Class]]="C",WORKDAY(Main[[#This Row],[Tech Start Date]],9),IF(Main[[#This Row],[Class]]="B", WORKDAY(Main[[#This Row],[Tech Start Date]],6),IF(Main[[#This Row],[Class]]="A",WORKDAY(Main[[#This Row],[Tech Start Date]],2),""))))</f>
        <v/>
      </c>
      <c r="N1243" s="77" t="str">
        <f>IF(Main[[#This Row],[Tech Start Date]]&lt;1/1/1990,"",IF(Main[[#This Row],[Class]]="C",WORKDAY(Main[[#This Row],[Tech Start Date]],19),IF(Main[[#This Row],[Class]]="B", WORKDAY(Main[[#This Row],[Tech Start Date]],12),IF(Main[[#This Row],[Class]]="A",WORKDAY(Main[[#This Row],[Tech Start Date]],4),""))))</f>
        <v/>
      </c>
      <c r="O1243" s="77" t="str">
        <f>IF(Main[[#This Row],[Tech Start Date]]&lt;1/1/1990,"",IF(Main[[#This Row],[Class]]="C",WORKDAY(Main[[#This Row],[Tech Start Date]],23),IF(Main[[#This Row],[Class]]="B", WORKDAY(Main[[#This Row],[Tech Start Date]],15),IF(Main[[#This Row],[Class]]="A",WORKDAY(Main[[#This Row],[Tech Start Date]],5),""))))</f>
        <v/>
      </c>
      <c r="P1243" s="77" t="str">
        <f>IF(Main[[#This Row],[Tech Start Date]]&lt;1/1/1990,"",IF(Main[[#This Row],[Class]]="C",WORKDAY(Main[[#This Row],[Tech Start Date]],28),IF(Main[[#This Row],[Class]]="B", WORKDAY(Main[[#This Row],[Tech Start Date]],19),IF(Main[[#This Row],[Class]]="A",WORKDAY(Main[[#This Row],[Tech Start Date]],9),""))))</f>
        <v/>
      </c>
      <c r="Q1243" s="74">
        <v>40522</v>
      </c>
      <c r="R1243" s="74"/>
      <c r="S1243" s="72" t="s">
        <v>6</v>
      </c>
      <c r="T1243" s="80" t="s">
        <v>4</v>
      </c>
      <c r="U1243" s="72" t="s">
        <v>29</v>
      </c>
      <c r="V1243" s="72" t="s">
        <v>1935</v>
      </c>
      <c r="W1243" s="72" t="s">
        <v>1936</v>
      </c>
      <c r="X1243" s="72" t="s">
        <v>2903</v>
      </c>
      <c r="Y1243" s="72" t="s">
        <v>3019</v>
      </c>
      <c r="Z1243" s="72" t="s">
        <v>30</v>
      </c>
      <c r="AA1243" s="147" t="s">
        <v>2903</v>
      </c>
    </row>
    <row r="1244" spans="1:27" ht="18.600000000000001" customHeight="1">
      <c r="A1244" s="140" t="str">
        <f>IF(priority(Main[[#This Row],[Comments]])&lt;&gt;0, priority(Main[[#This Row],[Comments]]),"")</f>
        <v/>
      </c>
      <c r="B1244" s="90" t="s">
        <v>1863</v>
      </c>
      <c r="C1244" s="72" t="s">
        <v>67</v>
      </c>
      <c r="D1244" s="73" t="s">
        <v>2622</v>
      </c>
      <c r="E1244" s="74">
        <v>40343.573750000003</v>
      </c>
      <c r="F1244" s="74"/>
      <c r="G1244" s="75" t="str">
        <f>IF(stdProdLT(Main[[#This Row],[Comments]])=0.1,"N/A",IF(stdProdLT(Main[[#This Row],[Comments]])=0,"",stdProdLT(Main[[#This Row],[Comments]])))</f>
        <v/>
      </c>
      <c r="H1244" s="76" t="str">
        <f>IF(AND(Main[[#This Row],[In Stock Date]]&lt;&gt;"",Main[[#This Row],[Revised Due Date]]&lt;&gt;""),Main[[#This Row],[In Stock Date]]-Main[[#This Row],[Revised Due Date]],"")</f>
        <v/>
      </c>
      <c r="I1244" s="72" t="s">
        <v>74</v>
      </c>
      <c r="J1244" s="72" t="s">
        <v>28</v>
      </c>
      <c r="K1244" s="72" t="s">
        <v>1944</v>
      </c>
      <c r="L1244" s="74"/>
      <c r="M1244" s="77" t="str">
        <f>IF(Main[[#This Row],[Tech Start Date]]&lt;1/1/1990,"",IF(Main[[#This Row],[Class]]="C",WORKDAY(Main[[#This Row],[Tech Start Date]],9),IF(Main[[#This Row],[Class]]="B", WORKDAY(Main[[#This Row],[Tech Start Date]],6),IF(Main[[#This Row],[Class]]="A",WORKDAY(Main[[#This Row],[Tech Start Date]],2),""))))</f>
        <v/>
      </c>
      <c r="N1244" s="77" t="str">
        <f>IF(Main[[#This Row],[Tech Start Date]]&lt;1/1/1990,"",IF(Main[[#This Row],[Class]]="C",WORKDAY(Main[[#This Row],[Tech Start Date]],19),IF(Main[[#This Row],[Class]]="B", WORKDAY(Main[[#This Row],[Tech Start Date]],12),IF(Main[[#This Row],[Class]]="A",WORKDAY(Main[[#This Row],[Tech Start Date]],4),""))))</f>
        <v/>
      </c>
      <c r="O1244" s="77" t="str">
        <f>IF(Main[[#This Row],[Tech Start Date]]&lt;1/1/1990,"",IF(Main[[#This Row],[Class]]="C",WORKDAY(Main[[#This Row],[Tech Start Date]],23),IF(Main[[#This Row],[Class]]="B", WORKDAY(Main[[#This Row],[Tech Start Date]],15),IF(Main[[#This Row],[Class]]="A",WORKDAY(Main[[#This Row],[Tech Start Date]],5),""))))</f>
        <v/>
      </c>
      <c r="P1244" s="77" t="str">
        <f>IF(Main[[#This Row],[Tech Start Date]]&lt;1/1/1990,"",IF(Main[[#This Row],[Class]]="C",WORKDAY(Main[[#This Row],[Tech Start Date]],28),IF(Main[[#This Row],[Class]]="B", WORKDAY(Main[[#This Row],[Tech Start Date]],19),IF(Main[[#This Row],[Class]]="A",WORKDAY(Main[[#This Row],[Tech Start Date]],9),""))))</f>
        <v/>
      </c>
      <c r="Q1244" s="74">
        <v>40466</v>
      </c>
      <c r="R1244" s="74">
        <v>40868</v>
      </c>
      <c r="S1244" s="72" t="s">
        <v>17</v>
      </c>
      <c r="T1244" s="80" t="s">
        <v>4</v>
      </c>
      <c r="U1244" s="72" t="s">
        <v>29</v>
      </c>
      <c r="V1244" s="72" t="s">
        <v>1935</v>
      </c>
      <c r="W1244" s="72" t="s">
        <v>1938</v>
      </c>
      <c r="X1244" s="72" t="s">
        <v>310</v>
      </c>
      <c r="Y1244" s="72" t="s">
        <v>3036</v>
      </c>
      <c r="Z1244" s="72" t="s">
        <v>420</v>
      </c>
      <c r="AA1244" s="147" t="s">
        <v>420</v>
      </c>
    </row>
    <row r="1245" spans="1:27" ht="18.600000000000001" customHeight="1">
      <c r="A1245" s="140" t="str">
        <f>IF(priority(Main[[#This Row],[Comments]])&lt;&gt;0, priority(Main[[#This Row],[Comments]]),"")</f>
        <v/>
      </c>
      <c r="B1245" s="90" t="s">
        <v>3719</v>
      </c>
      <c r="C1245" s="72" t="s">
        <v>3720</v>
      </c>
      <c r="D1245" s="73" t="s">
        <v>3721</v>
      </c>
      <c r="E1245" s="74">
        <v>40942.38244212963</v>
      </c>
      <c r="F1245" s="74"/>
      <c r="G1245" s="75" t="str">
        <f>IF(stdProdLT(Main[[#This Row],[Comments]])=0.1,"N/A",IF(stdProdLT(Main[[#This Row],[Comments]])=0,"",stdProdLT(Main[[#This Row],[Comments]])))</f>
        <v/>
      </c>
      <c r="H1245" s="76" t="str">
        <f>IF(AND(Main[[#This Row],[In Stock Date]]&lt;&gt;"",Main[[#This Row],[Revised Due Date]]&lt;&gt;""),Main[[#This Row],[In Stock Date]]-Main[[#This Row],[Revised Due Date]],"")</f>
        <v/>
      </c>
      <c r="I1245" s="72" t="s">
        <v>2234</v>
      </c>
      <c r="J1245" s="72" t="s">
        <v>75</v>
      </c>
      <c r="K1245" s="72" t="s">
        <v>1939</v>
      </c>
      <c r="L1245" s="74"/>
      <c r="M1245" s="77" t="str">
        <f>IF(Main[[#This Row],[Tech Start Date]]&lt;1/1/1990,"",IF(Main[[#This Row],[Class]]="C",WORKDAY(Main[[#This Row],[Tech Start Date]],9),IF(Main[[#This Row],[Class]]="B", WORKDAY(Main[[#This Row],[Tech Start Date]],6),IF(Main[[#This Row],[Class]]="A",WORKDAY(Main[[#This Row],[Tech Start Date]],2),""))))</f>
        <v/>
      </c>
      <c r="N1245" s="77" t="str">
        <f>IF(Main[[#This Row],[Tech Start Date]]&lt;1/1/1990,"",IF(Main[[#This Row],[Class]]="C",WORKDAY(Main[[#This Row],[Tech Start Date]],19),IF(Main[[#This Row],[Class]]="B", WORKDAY(Main[[#This Row],[Tech Start Date]],12),IF(Main[[#This Row],[Class]]="A",WORKDAY(Main[[#This Row],[Tech Start Date]],4),""))))</f>
        <v/>
      </c>
      <c r="O1245" s="77" t="str">
        <f>IF(Main[[#This Row],[Tech Start Date]]&lt;1/1/1990,"",IF(Main[[#This Row],[Class]]="C",WORKDAY(Main[[#This Row],[Tech Start Date]],23),IF(Main[[#This Row],[Class]]="B", WORKDAY(Main[[#This Row],[Tech Start Date]],15),IF(Main[[#This Row],[Class]]="A",WORKDAY(Main[[#This Row],[Tech Start Date]],5),""))))</f>
        <v/>
      </c>
      <c r="P1245" s="77" t="str">
        <f>IF(Main[[#This Row],[Tech Start Date]]&lt;1/1/1990,"",IF(Main[[#This Row],[Class]]="C",WORKDAY(Main[[#This Row],[Tech Start Date]],28),IF(Main[[#This Row],[Class]]="B", WORKDAY(Main[[#This Row],[Tech Start Date]],19),IF(Main[[#This Row],[Class]]="A",WORKDAY(Main[[#This Row],[Tech Start Date]],9),""))))</f>
        <v/>
      </c>
      <c r="Q1245" s="74"/>
      <c r="R1245" s="74"/>
      <c r="S1245" s="72" t="s">
        <v>6</v>
      </c>
      <c r="T1245" s="80" t="s">
        <v>4</v>
      </c>
      <c r="U1245" s="72" t="s">
        <v>29</v>
      </c>
      <c r="V1245" s="72" t="s">
        <v>1935</v>
      </c>
      <c r="W1245" s="72" t="s">
        <v>1938</v>
      </c>
      <c r="X1245" s="72" t="s">
        <v>2234</v>
      </c>
      <c r="Y1245" s="72" t="s">
        <v>3513</v>
      </c>
      <c r="Z1245" s="72" t="s">
        <v>310</v>
      </c>
      <c r="AA1245" s="147" t="s">
        <v>3648</v>
      </c>
    </row>
    <row r="1246" spans="1:27" ht="18.600000000000001" customHeight="1">
      <c r="A1246" s="140" t="str">
        <f>IF(priority(Main[[#This Row],[Comments]])&lt;&gt;0, priority(Main[[#This Row],[Comments]]),"")</f>
        <v/>
      </c>
      <c r="B1246" s="90" t="s">
        <v>2087</v>
      </c>
      <c r="C1246" s="72" t="s">
        <v>4</v>
      </c>
      <c r="D1246" s="73" t="s">
        <v>2088</v>
      </c>
      <c r="E1246" s="74">
        <v>40926.59207175926</v>
      </c>
      <c r="F1246" s="74"/>
      <c r="G1246" s="75" t="str">
        <f>IF(stdProdLT(Main[[#This Row],[Comments]])=0.1,"N/A",IF(stdProdLT(Main[[#This Row],[Comments]])=0,"",stdProdLT(Main[[#This Row],[Comments]])))</f>
        <v/>
      </c>
      <c r="H1246" s="76" t="str">
        <f>IF(AND(Main[[#This Row],[In Stock Date]]&lt;&gt;"",Main[[#This Row],[Revised Due Date]]&lt;&gt;""),Main[[#This Row],[In Stock Date]]-Main[[#This Row],[Revised Due Date]],"")</f>
        <v/>
      </c>
      <c r="I1246" s="72" t="s">
        <v>535</v>
      </c>
      <c r="J1246" s="72" t="s">
        <v>52</v>
      </c>
      <c r="K1246" s="72" t="s">
        <v>1941</v>
      </c>
      <c r="L1246" s="74"/>
      <c r="M1246" s="77" t="str">
        <f>IF(Main[[#This Row],[Tech Start Date]]&lt;1/1/1990,"",IF(Main[[#This Row],[Class]]="C",WORKDAY(Main[[#This Row],[Tech Start Date]],9),IF(Main[[#This Row],[Class]]="B", WORKDAY(Main[[#This Row],[Tech Start Date]],6),IF(Main[[#This Row],[Class]]="A",WORKDAY(Main[[#This Row],[Tech Start Date]],2),""))))</f>
        <v/>
      </c>
      <c r="N1246" s="77" t="str">
        <f>IF(Main[[#This Row],[Tech Start Date]]&lt;1/1/1990,"",IF(Main[[#This Row],[Class]]="C",WORKDAY(Main[[#This Row],[Tech Start Date]],19),IF(Main[[#This Row],[Class]]="B", WORKDAY(Main[[#This Row],[Tech Start Date]],12),IF(Main[[#This Row],[Class]]="A",WORKDAY(Main[[#This Row],[Tech Start Date]],4),""))))</f>
        <v/>
      </c>
      <c r="O1246" s="77" t="str">
        <f>IF(Main[[#This Row],[Tech Start Date]]&lt;1/1/1990,"",IF(Main[[#This Row],[Class]]="C",WORKDAY(Main[[#This Row],[Tech Start Date]],23),IF(Main[[#This Row],[Class]]="B", WORKDAY(Main[[#This Row],[Tech Start Date]],15),IF(Main[[#This Row],[Class]]="A",WORKDAY(Main[[#This Row],[Tech Start Date]],5),""))))</f>
        <v/>
      </c>
      <c r="P1246" s="77" t="str">
        <f>IF(Main[[#This Row],[Tech Start Date]]&lt;1/1/1990,"",IF(Main[[#This Row],[Class]]="C",WORKDAY(Main[[#This Row],[Tech Start Date]],28),IF(Main[[#This Row],[Class]]="B", WORKDAY(Main[[#This Row],[Tech Start Date]],19),IF(Main[[#This Row],[Class]]="A",WORKDAY(Main[[#This Row],[Tech Start Date]],9),""))))</f>
        <v/>
      </c>
      <c r="Q1246" s="74">
        <v>40798</v>
      </c>
      <c r="R1246" s="74"/>
      <c r="S1246" s="72" t="s">
        <v>6</v>
      </c>
      <c r="T1246" s="80" t="s">
        <v>4</v>
      </c>
      <c r="U1246" s="72" t="s">
        <v>29</v>
      </c>
      <c r="V1246" s="72" t="s">
        <v>1935</v>
      </c>
      <c r="W1246" s="72" t="s">
        <v>1936</v>
      </c>
      <c r="X1246" s="72" t="s">
        <v>2903</v>
      </c>
      <c r="Y1246" s="72" t="s">
        <v>3019</v>
      </c>
      <c r="Z1246" s="72" t="s">
        <v>30</v>
      </c>
      <c r="AA1246" s="147" t="s">
        <v>2903</v>
      </c>
    </row>
    <row r="1247" spans="1:27" ht="18.600000000000001" customHeight="1">
      <c r="A1247" s="140" t="str">
        <f>IF(priority(Main[[#This Row],[Comments]])&lt;&gt;0, priority(Main[[#This Row],[Comments]]),"")</f>
        <v/>
      </c>
      <c r="B1247" s="90" t="s">
        <v>1474</v>
      </c>
      <c r="C1247" s="72" t="s">
        <v>200</v>
      </c>
      <c r="D1247" s="73" t="s">
        <v>2555</v>
      </c>
      <c r="E1247" s="74">
        <v>40711.410266203704</v>
      </c>
      <c r="F1247" s="74"/>
      <c r="G1247" s="75" t="str">
        <f>IF(stdProdLT(Main[[#This Row],[Comments]])=0.1,"N/A",IF(stdProdLT(Main[[#This Row],[Comments]])=0,"",stdProdLT(Main[[#This Row],[Comments]])))</f>
        <v/>
      </c>
      <c r="H1247" s="76" t="str">
        <f>IF(AND(Main[[#This Row],[In Stock Date]]&lt;&gt;"",Main[[#This Row],[Revised Due Date]]&lt;&gt;""),Main[[#This Row],[In Stock Date]]-Main[[#This Row],[Revised Due Date]],"")</f>
        <v/>
      </c>
      <c r="I1247" s="72" t="s">
        <v>4</v>
      </c>
      <c r="J1247" s="72" t="s">
        <v>4</v>
      </c>
      <c r="K1247" s="72" t="s">
        <v>4</v>
      </c>
      <c r="L1247" s="74"/>
      <c r="M1247" s="77" t="str">
        <f>IF(Main[[#This Row],[Tech Start Date]]&lt;1/1/1990,"",IF(Main[[#This Row],[Class]]="C",WORKDAY(Main[[#This Row],[Tech Start Date]],9),IF(Main[[#This Row],[Class]]="B", WORKDAY(Main[[#This Row],[Tech Start Date]],6),IF(Main[[#This Row],[Class]]="A",WORKDAY(Main[[#This Row],[Tech Start Date]],2),""))))</f>
        <v/>
      </c>
      <c r="N1247" s="77" t="str">
        <f>IF(Main[[#This Row],[Tech Start Date]]&lt;1/1/1990,"",IF(Main[[#This Row],[Class]]="C",WORKDAY(Main[[#This Row],[Tech Start Date]],19),IF(Main[[#This Row],[Class]]="B", WORKDAY(Main[[#This Row],[Tech Start Date]],12),IF(Main[[#This Row],[Class]]="A",WORKDAY(Main[[#This Row],[Tech Start Date]],4),""))))</f>
        <v/>
      </c>
      <c r="O1247" s="77" t="str">
        <f>IF(Main[[#This Row],[Tech Start Date]]&lt;1/1/1990,"",IF(Main[[#This Row],[Class]]="C",WORKDAY(Main[[#This Row],[Tech Start Date]],23),IF(Main[[#This Row],[Class]]="B", WORKDAY(Main[[#This Row],[Tech Start Date]],15),IF(Main[[#This Row],[Class]]="A",WORKDAY(Main[[#This Row],[Tech Start Date]],5),""))))</f>
        <v/>
      </c>
      <c r="P1247" s="77" t="str">
        <f>IF(Main[[#This Row],[Tech Start Date]]&lt;1/1/1990,"",IF(Main[[#This Row],[Class]]="C",WORKDAY(Main[[#This Row],[Tech Start Date]],28),IF(Main[[#This Row],[Class]]="B", WORKDAY(Main[[#This Row],[Tech Start Date]],19),IF(Main[[#This Row],[Class]]="A",WORKDAY(Main[[#This Row],[Tech Start Date]],9),""))))</f>
        <v/>
      </c>
      <c r="Q1247" s="74">
        <v>40846</v>
      </c>
      <c r="R1247" s="74"/>
      <c r="S1247" s="72" t="s">
        <v>17</v>
      </c>
      <c r="T1247" s="80" t="s">
        <v>4</v>
      </c>
      <c r="U1247" s="72" t="s">
        <v>29</v>
      </c>
      <c r="V1247" s="72" t="s">
        <v>1935</v>
      </c>
      <c r="W1247" s="72" t="s">
        <v>1940</v>
      </c>
      <c r="X1247" s="72" t="s">
        <v>559</v>
      </c>
      <c r="Y1247" s="72" t="s">
        <v>3039</v>
      </c>
      <c r="Z1247" s="72" t="s">
        <v>4</v>
      </c>
      <c r="AA1247" s="147" t="s">
        <v>559</v>
      </c>
    </row>
    <row r="1248" spans="1:27" ht="18.600000000000001" customHeight="1">
      <c r="A1248" s="140" t="str">
        <f>IF(priority(Main[[#This Row],[Comments]])&lt;&gt;0, priority(Main[[#This Row],[Comments]]),"")</f>
        <v/>
      </c>
      <c r="B1248" s="90" t="s">
        <v>3321</v>
      </c>
      <c r="C1248" s="72" t="s">
        <v>138</v>
      </c>
      <c r="D1248" s="73" t="s">
        <v>3322</v>
      </c>
      <c r="E1248" s="74">
        <v>40924.465787037036</v>
      </c>
      <c r="F1248" s="74">
        <v>41008</v>
      </c>
      <c r="G1248" s="75" t="str">
        <f>IF(stdProdLT(Main[[#This Row],[Comments]])=0.1,"N/A",IF(stdProdLT(Main[[#This Row],[Comments]])=0,"",stdProdLT(Main[[#This Row],[Comments]])))</f>
        <v/>
      </c>
      <c r="H1248" s="76" t="str">
        <f>IF(AND(Main[[#This Row],[In Stock Date]]&lt;&gt;"",Main[[#This Row],[Revised Due Date]]&lt;&gt;""),Main[[#This Row],[In Stock Date]]-Main[[#This Row],[Revised Due Date]],"")</f>
        <v/>
      </c>
      <c r="I1248" s="72" t="s">
        <v>535</v>
      </c>
      <c r="J1248" s="72" t="s">
        <v>28</v>
      </c>
      <c r="K1248" s="81" t="s">
        <v>1941</v>
      </c>
      <c r="L1248" s="74"/>
      <c r="M1248" s="77" t="str">
        <f>IF(Main[[#This Row],[Tech Start Date]]&lt;1/1/1990,"",IF(Main[[#This Row],[Class]]="C",WORKDAY(Main[[#This Row],[Tech Start Date]],9),IF(Main[[#This Row],[Class]]="B", WORKDAY(Main[[#This Row],[Tech Start Date]],6),IF(Main[[#This Row],[Class]]="A",WORKDAY(Main[[#This Row],[Tech Start Date]],2),""))))</f>
        <v/>
      </c>
      <c r="N1248" s="77" t="str">
        <f>IF(Main[[#This Row],[Tech Start Date]]&lt;1/1/1990,"",IF(Main[[#This Row],[Class]]="C",WORKDAY(Main[[#This Row],[Tech Start Date]],19),IF(Main[[#This Row],[Class]]="B", WORKDAY(Main[[#This Row],[Tech Start Date]],12),IF(Main[[#This Row],[Class]]="A",WORKDAY(Main[[#This Row],[Tech Start Date]],4),""))))</f>
        <v/>
      </c>
      <c r="O1248" s="77" t="str">
        <f>IF(Main[[#This Row],[Tech Start Date]]&lt;1/1/1990,"",IF(Main[[#This Row],[Class]]="C",WORKDAY(Main[[#This Row],[Tech Start Date]],23),IF(Main[[#This Row],[Class]]="B", WORKDAY(Main[[#This Row],[Tech Start Date]],15),IF(Main[[#This Row],[Class]]="A",WORKDAY(Main[[#This Row],[Tech Start Date]],5),""))))</f>
        <v/>
      </c>
      <c r="P1248" s="77" t="str">
        <f>IF(Main[[#This Row],[Tech Start Date]]&lt;1/1/1990,"",IF(Main[[#This Row],[Class]]="C",WORKDAY(Main[[#This Row],[Tech Start Date]],28),IF(Main[[#This Row],[Class]]="B", WORKDAY(Main[[#This Row],[Tech Start Date]],19),IF(Main[[#This Row],[Class]]="A",WORKDAY(Main[[#This Row],[Tech Start Date]],9),""))))</f>
        <v/>
      </c>
      <c r="Q1248" s="74">
        <v>40935</v>
      </c>
      <c r="R1248" s="74"/>
      <c r="S1248" s="72" t="s">
        <v>49</v>
      </c>
      <c r="T1248" s="80" t="s">
        <v>3323</v>
      </c>
      <c r="U1248" s="72" t="s">
        <v>7</v>
      </c>
      <c r="V1248" s="72" t="s">
        <v>1942</v>
      </c>
      <c r="W1248" s="72" t="s">
        <v>1940</v>
      </c>
      <c r="X1248" s="72" t="s">
        <v>2990</v>
      </c>
      <c r="Y1248" s="72" t="s">
        <v>3183</v>
      </c>
      <c r="Z1248" s="72" t="s">
        <v>30</v>
      </c>
      <c r="AA1248" s="147" t="s">
        <v>2990</v>
      </c>
    </row>
    <row r="1249" spans="1:27" ht="18.600000000000001" customHeight="1">
      <c r="A1249" s="140" t="str">
        <f>IF(priority(Main[[#This Row],[Comments]])&lt;&gt;0, priority(Main[[#This Row],[Comments]]),"")</f>
        <v/>
      </c>
      <c r="B1249" s="90" t="s">
        <v>2626</v>
      </c>
      <c r="C1249" s="72" t="s">
        <v>4</v>
      </c>
      <c r="D1249" s="73" t="s">
        <v>2862</v>
      </c>
      <c r="E1249" s="74">
        <v>40861.654675925929</v>
      </c>
      <c r="F1249" s="74"/>
      <c r="G1249" s="75" t="str">
        <f>IF(stdProdLT(Main[[#This Row],[Comments]])=0.1,"N/A",IF(stdProdLT(Main[[#This Row],[Comments]])=0,"",stdProdLT(Main[[#This Row],[Comments]])))</f>
        <v/>
      </c>
      <c r="H1249" s="76" t="str">
        <f>IF(AND(Main[[#This Row],[In Stock Date]]&lt;&gt;"",Main[[#This Row],[Revised Due Date]]&lt;&gt;""),Main[[#This Row],[In Stock Date]]-Main[[#This Row],[Revised Due Date]],"")</f>
        <v/>
      </c>
      <c r="I1249" s="72" t="s">
        <v>535</v>
      </c>
      <c r="J1249" s="72" t="s">
        <v>52</v>
      </c>
      <c r="K1249" s="72" t="s">
        <v>1941</v>
      </c>
      <c r="L1249" s="74"/>
      <c r="M1249" s="77" t="str">
        <f>IF(Main[[#This Row],[Tech Start Date]]&lt;1/1/1990,"",IF(Main[[#This Row],[Class]]="C",WORKDAY(Main[[#This Row],[Tech Start Date]],9),IF(Main[[#This Row],[Class]]="B", WORKDAY(Main[[#This Row],[Tech Start Date]],6),IF(Main[[#This Row],[Class]]="A",WORKDAY(Main[[#This Row],[Tech Start Date]],2),""))))</f>
        <v/>
      </c>
      <c r="N1249" s="77" t="str">
        <f>IF(Main[[#This Row],[Tech Start Date]]&lt;1/1/1990,"",IF(Main[[#This Row],[Class]]="C",WORKDAY(Main[[#This Row],[Tech Start Date]],19),IF(Main[[#This Row],[Class]]="B", WORKDAY(Main[[#This Row],[Tech Start Date]],12),IF(Main[[#This Row],[Class]]="A",WORKDAY(Main[[#This Row],[Tech Start Date]],4),""))))</f>
        <v/>
      </c>
      <c r="O1249" s="77" t="str">
        <f>IF(Main[[#This Row],[Tech Start Date]]&lt;1/1/1990,"",IF(Main[[#This Row],[Class]]="C",WORKDAY(Main[[#This Row],[Tech Start Date]],23),IF(Main[[#This Row],[Class]]="B", WORKDAY(Main[[#This Row],[Tech Start Date]],15),IF(Main[[#This Row],[Class]]="A",WORKDAY(Main[[#This Row],[Tech Start Date]],5),""))))</f>
        <v/>
      </c>
      <c r="P1249" s="77" t="str">
        <f>IF(Main[[#This Row],[Tech Start Date]]&lt;1/1/1990,"",IF(Main[[#This Row],[Class]]="C",WORKDAY(Main[[#This Row],[Tech Start Date]],28),IF(Main[[#This Row],[Class]]="B", WORKDAY(Main[[#This Row],[Tech Start Date]],19),IF(Main[[#This Row],[Class]]="A",WORKDAY(Main[[#This Row],[Tech Start Date]],9),""))))</f>
        <v/>
      </c>
      <c r="Q1249" s="74">
        <v>40897</v>
      </c>
      <c r="R1249" s="74"/>
      <c r="S1249" s="72" t="s">
        <v>6</v>
      </c>
      <c r="T1249" s="80" t="s">
        <v>4</v>
      </c>
      <c r="U1249" s="72" t="s">
        <v>29</v>
      </c>
      <c r="V1249" s="72" t="s">
        <v>1935</v>
      </c>
      <c r="W1249" s="72" t="s">
        <v>1936</v>
      </c>
      <c r="X1249" s="72" t="s">
        <v>30</v>
      </c>
      <c r="Y1249" s="72" t="s">
        <v>3027</v>
      </c>
      <c r="Z1249" s="72" t="s">
        <v>30</v>
      </c>
      <c r="AA1249" s="147" t="s">
        <v>30</v>
      </c>
    </row>
    <row r="1250" spans="1:27" ht="18.600000000000001" customHeight="1">
      <c r="A1250" s="140" t="str">
        <f>IF(priority(Main[[#This Row],[Comments]])&lt;&gt;0, priority(Main[[#This Row],[Comments]]),"")</f>
        <v/>
      </c>
      <c r="B1250" s="90" t="s">
        <v>2619</v>
      </c>
      <c r="C1250" s="72" t="s">
        <v>4</v>
      </c>
      <c r="D1250" s="73" t="s">
        <v>736</v>
      </c>
      <c r="E1250" s="74"/>
      <c r="F1250" s="74"/>
      <c r="G1250" s="75" t="str">
        <f>IF(stdProdLT(Main[[#This Row],[Comments]])=0.1,"N/A",IF(stdProdLT(Main[[#This Row],[Comments]])=0,"",stdProdLT(Main[[#This Row],[Comments]])))</f>
        <v/>
      </c>
      <c r="H1250" s="76" t="str">
        <f>IF(AND(Main[[#This Row],[In Stock Date]]&lt;&gt;"",Main[[#This Row],[Revised Due Date]]&lt;&gt;""),Main[[#This Row],[In Stock Date]]-Main[[#This Row],[Revised Due Date]],"")</f>
        <v/>
      </c>
      <c r="I1250" s="72" t="s">
        <v>4</v>
      </c>
      <c r="J1250" s="72" t="s">
        <v>4</v>
      </c>
      <c r="K1250" s="72" t="s">
        <v>4</v>
      </c>
      <c r="L1250" s="74"/>
      <c r="M1250" s="77" t="str">
        <f>IF(Main[[#This Row],[Tech Start Date]]&lt;1/1/1990,"",IF(Main[[#This Row],[Class]]="C",WORKDAY(Main[[#This Row],[Tech Start Date]],9),IF(Main[[#This Row],[Class]]="B", WORKDAY(Main[[#This Row],[Tech Start Date]],6),IF(Main[[#This Row],[Class]]="A",WORKDAY(Main[[#This Row],[Tech Start Date]],2),""))))</f>
        <v/>
      </c>
      <c r="N1250" s="77" t="str">
        <f>IF(Main[[#This Row],[Tech Start Date]]&lt;1/1/1990,"",IF(Main[[#This Row],[Class]]="C",WORKDAY(Main[[#This Row],[Tech Start Date]],19),IF(Main[[#This Row],[Class]]="B", WORKDAY(Main[[#This Row],[Tech Start Date]],12),IF(Main[[#This Row],[Class]]="A",WORKDAY(Main[[#This Row],[Tech Start Date]],4),""))))</f>
        <v/>
      </c>
      <c r="O1250" s="77" t="str">
        <f>IF(Main[[#This Row],[Tech Start Date]]&lt;1/1/1990,"",IF(Main[[#This Row],[Class]]="C",WORKDAY(Main[[#This Row],[Tech Start Date]],23),IF(Main[[#This Row],[Class]]="B", WORKDAY(Main[[#This Row],[Tech Start Date]],15),IF(Main[[#This Row],[Class]]="A",WORKDAY(Main[[#This Row],[Tech Start Date]],5),""))))</f>
        <v/>
      </c>
      <c r="P1250" s="77" t="str">
        <f>IF(Main[[#This Row],[Tech Start Date]]&lt;1/1/1990,"",IF(Main[[#This Row],[Class]]="C",WORKDAY(Main[[#This Row],[Tech Start Date]],28),IF(Main[[#This Row],[Class]]="B", WORKDAY(Main[[#This Row],[Tech Start Date]],19),IF(Main[[#This Row],[Class]]="A",WORKDAY(Main[[#This Row],[Tech Start Date]],9),""))))</f>
        <v/>
      </c>
      <c r="Q1250" s="74"/>
      <c r="R1250" s="74"/>
      <c r="S1250" s="72" t="s">
        <v>4</v>
      </c>
      <c r="T1250" s="80" t="s">
        <v>4</v>
      </c>
      <c r="U1250" s="72" t="s">
        <v>14</v>
      </c>
      <c r="V1250" s="72" t="s">
        <v>1935</v>
      </c>
      <c r="W1250" s="72" t="s">
        <v>4</v>
      </c>
      <c r="X1250" s="72" t="s">
        <v>310</v>
      </c>
      <c r="Y1250" s="72" t="s">
        <v>4</v>
      </c>
      <c r="Z1250" s="72" t="s">
        <v>4</v>
      </c>
      <c r="AA1250" s="147" t="s">
        <v>4</v>
      </c>
    </row>
    <row r="1251" spans="1:27" ht="18.600000000000001" customHeight="1">
      <c r="A1251" s="140" t="str">
        <f>IF(priority(Main[[#This Row],[Comments]])&lt;&gt;0, priority(Main[[#This Row],[Comments]]),"")</f>
        <v/>
      </c>
      <c r="B1251" s="90" t="s">
        <v>1882</v>
      </c>
      <c r="C1251" s="72" t="s">
        <v>47</v>
      </c>
      <c r="D1251" s="73" t="s">
        <v>931</v>
      </c>
      <c r="E1251" s="74">
        <v>39937.596770833334</v>
      </c>
      <c r="F1251" s="74"/>
      <c r="G1251" s="75" t="str">
        <f>IF(stdProdLT(Main[[#This Row],[Comments]])=0.1,"N/A",IF(stdProdLT(Main[[#This Row],[Comments]])=0,"",stdProdLT(Main[[#This Row],[Comments]])))</f>
        <v/>
      </c>
      <c r="H1251" s="76" t="str">
        <f>IF(AND(Main[[#This Row],[In Stock Date]]&lt;&gt;"",Main[[#This Row],[Revised Due Date]]&lt;&gt;""),Main[[#This Row],[In Stock Date]]-Main[[#This Row],[Revised Due Date]],"")</f>
        <v/>
      </c>
      <c r="I1251" s="72" t="s">
        <v>986</v>
      </c>
      <c r="J1251" s="72" t="s">
        <v>4</v>
      </c>
      <c r="K1251" s="72" t="s">
        <v>1944</v>
      </c>
      <c r="L1251" s="74"/>
      <c r="M1251" s="77" t="str">
        <f>IF(Main[[#This Row],[Tech Start Date]]&lt;1/1/1990,"",IF(Main[[#This Row],[Class]]="C",WORKDAY(Main[[#This Row],[Tech Start Date]],9),IF(Main[[#This Row],[Class]]="B", WORKDAY(Main[[#This Row],[Tech Start Date]],6),IF(Main[[#This Row],[Class]]="A",WORKDAY(Main[[#This Row],[Tech Start Date]],2),""))))</f>
        <v/>
      </c>
      <c r="N1251" s="77" t="str">
        <f>IF(Main[[#This Row],[Tech Start Date]]&lt;1/1/1990,"",IF(Main[[#This Row],[Class]]="C",WORKDAY(Main[[#This Row],[Tech Start Date]],19),IF(Main[[#This Row],[Class]]="B", WORKDAY(Main[[#This Row],[Tech Start Date]],12),IF(Main[[#This Row],[Class]]="A",WORKDAY(Main[[#This Row],[Tech Start Date]],4),""))))</f>
        <v/>
      </c>
      <c r="O1251" s="77" t="str">
        <f>IF(Main[[#This Row],[Tech Start Date]]&lt;1/1/1990,"",IF(Main[[#This Row],[Class]]="C",WORKDAY(Main[[#This Row],[Tech Start Date]],23),IF(Main[[#This Row],[Class]]="B", WORKDAY(Main[[#This Row],[Tech Start Date]],15),IF(Main[[#This Row],[Class]]="A",WORKDAY(Main[[#This Row],[Tech Start Date]],5),""))))</f>
        <v/>
      </c>
      <c r="P1251" s="77" t="str">
        <f>IF(Main[[#This Row],[Tech Start Date]]&lt;1/1/1990,"",IF(Main[[#This Row],[Class]]="C",WORKDAY(Main[[#This Row],[Tech Start Date]],28),IF(Main[[#This Row],[Class]]="B", WORKDAY(Main[[#This Row],[Tech Start Date]],19),IF(Main[[#This Row],[Class]]="A",WORKDAY(Main[[#This Row],[Tech Start Date]],9),""))))</f>
        <v/>
      </c>
      <c r="Q1251" s="74"/>
      <c r="R1251" s="74">
        <v>40999</v>
      </c>
      <c r="S1251" s="72" t="s">
        <v>17</v>
      </c>
      <c r="T1251" s="80" t="s">
        <v>4</v>
      </c>
      <c r="U1251" s="72" t="s">
        <v>29</v>
      </c>
      <c r="V1251" s="72" t="s">
        <v>1935</v>
      </c>
      <c r="W1251" s="72" t="s">
        <v>1937</v>
      </c>
      <c r="X1251" s="72" t="s">
        <v>2911</v>
      </c>
      <c r="Y1251" s="72" t="s">
        <v>3035</v>
      </c>
      <c r="Z1251" s="72" t="s">
        <v>420</v>
      </c>
      <c r="AA1251" s="147" t="s">
        <v>2911</v>
      </c>
    </row>
    <row r="1252" spans="1:27" ht="18.600000000000001" customHeight="1">
      <c r="A1252" s="140" t="str">
        <f>IF(priority(Main[[#This Row],[Comments]])&lt;&gt;0, priority(Main[[#This Row],[Comments]]),"")</f>
        <v/>
      </c>
      <c r="B1252" s="90" t="s">
        <v>3541</v>
      </c>
      <c r="C1252" s="72" t="s">
        <v>2386</v>
      </c>
      <c r="D1252" s="73" t="s">
        <v>3509</v>
      </c>
      <c r="E1252" s="74"/>
      <c r="F1252" s="74">
        <v>41030</v>
      </c>
      <c r="G1252" s="75" t="str">
        <f>IF(stdProdLT(Main[[#This Row],[Comments]])=0.1,"N/A",IF(stdProdLT(Main[[#This Row],[Comments]])=0,"",stdProdLT(Main[[#This Row],[Comments]])))</f>
        <v/>
      </c>
      <c r="H1252" s="76" t="str">
        <f>IF(AND(Main[[#This Row],[In Stock Date]]&lt;&gt;"",Main[[#This Row],[Revised Due Date]]&lt;&gt;""),Main[[#This Row],[In Stock Date]]-Main[[#This Row],[Revised Due Date]],"")</f>
        <v/>
      </c>
      <c r="I1252" s="72" t="s">
        <v>4</v>
      </c>
      <c r="J1252" s="72" t="s">
        <v>4</v>
      </c>
      <c r="K1252" s="72" t="s">
        <v>4</v>
      </c>
      <c r="L1252" s="74"/>
      <c r="M1252" s="77" t="str">
        <f>IF(Main[[#This Row],[Tech Start Date]]&lt;1/1/1990,"",IF(Main[[#This Row],[Class]]="C",WORKDAY(Main[[#This Row],[Tech Start Date]],9),IF(Main[[#This Row],[Class]]="B", WORKDAY(Main[[#This Row],[Tech Start Date]],6),IF(Main[[#This Row],[Class]]="A",WORKDAY(Main[[#This Row],[Tech Start Date]],2),""))))</f>
        <v/>
      </c>
      <c r="N1252" s="77" t="str">
        <f>IF(Main[[#This Row],[Tech Start Date]]&lt;1/1/1990,"",IF(Main[[#This Row],[Class]]="C",WORKDAY(Main[[#This Row],[Tech Start Date]],19),IF(Main[[#This Row],[Class]]="B", WORKDAY(Main[[#This Row],[Tech Start Date]],12),IF(Main[[#This Row],[Class]]="A",WORKDAY(Main[[#This Row],[Tech Start Date]],4),""))))</f>
        <v/>
      </c>
      <c r="O1252" s="77" t="str">
        <f>IF(Main[[#This Row],[Tech Start Date]]&lt;1/1/1990,"",IF(Main[[#This Row],[Class]]="C",WORKDAY(Main[[#This Row],[Tech Start Date]],23),IF(Main[[#This Row],[Class]]="B", WORKDAY(Main[[#This Row],[Tech Start Date]],15),IF(Main[[#This Row],[Class]]="A",WORKDAY(Main[[#This Row],[Tech Start Date]],5),""))))</f>
        <v/>
      </c>
      <c r="P1252" s="77" t="str">
        <f>IF(Main[[#This Row],[Tech Start Date]]&lt;1/1/1990,"",IF(Main[[#This Row],[Class]]="C",WORKDAY(Main[[#This Row],[Tech Start Date]],28),IF(Main[[#This Row],[Class]]="B", WORKDAY(Main[[#This Row],[Tech Start Date]],19),IF(Main[[#This Row],[Class]]="A",WORKDAY(Main[[#This Row],[Tech Start Date]],9),""))))</f>
        <v/>
      </c>
      <c r="Q1252" s="74">
        <v>40890</v>
      </c>
      <c r="R1252" s="74"/>
      <c r="S1252" s="72" t="s">
        <v>11</v>
      </c>
      <c r="T1252" s="80" t="s">
        <v>4</v>
      </c>
      <c r="U1252" s="72" t="s">
        <v>12</v>
      </c>
      <c r="V1252" s="72" t="s">
        <v>1942</v>
      </c>
      <c r="W1252" s="72" t="s">
        <v>1940</v>
      </c>
      <c r="X1252" s="72" t="s">
        <v>2927</v>
      </c>
      <c r="Y1252" s="72" t="s">
        <v>4</v>
      </c>
      <c r="Z1252" s="72" t="s">
        <v>4</v>
      </c>
      <c r="AA1252" s="147" t="s">
        <v>2927</v>
      </c>
    </row>
    <row r="1253" spans="1:27" ht="18.600000000000001" customHeight="1">
      <c r="A1253" s="140" t="str">
        <f>IF(priority(Main[[#This Row],[Comments]])&lt;&gt;0, priority(Main[[#This Row],[Comments]]),"")</f>
        <v/>
      </c>
      <c r="B1253" s="90" t="s">
        <v>2190</v>
      </c>
      <c r="C1253" s="72" t="s">
        <v>4</v>
      </c>
      <c r="D1253" s="73" t="s">
        <v>2629</v>
      </c>
      <c r="E1253" s="74">
        <v>40780.676446759258</v>
      </c>
      <c r="F1253" s="74"/>
      <c r="G1253" s="75" t="str">
        <f>IF(stdProdLT(Main[[#This Row],[Comments]])=0.1,"N/A",IF(stdProdLT(Main[[#This Row],[Comments]])=0,"",stdProdLT(Main[[#This Row],[Comments]])))</f>
        <v/>
      </c>
      <c r="H1253" s="76" t="str">
        <f>IF(AND(Main[[#This Row],[In Stock Date]]&lt;&gt;"",Main[[#This Row],[Revised Due Date]]&lt;&gt;""),Main[[#This Row],[In Stock Date]]-Main[[#This Row],[Revised Due Date]],"")</f>
        <v/>
      </c>
      <c r="I1253" s="72" t="s">
        <v>4</v>
      </c>
      <c r="J1253" s="72" t="s">
        <v>4</v>
      </c>
      <c r="K1253" s="72" t="s">
        <v>4</v>
      </c>
      <c r="L1253" s="74"/>
      <c r="M1253" s="77" t="str">
        <f>IF(Main[[#This Row],[Tech Start Date]]&lt;1/1/1990,"",IF(Main[[#This Row],[Class]]="C",WORKDAY(Main[[#This Row],[Tech Start Date]],9),IF(Main[[#This Row],[Class]]="B", WORKDAY(Main[[#This Row],[Tech Start Date]],6),IF(Main[[#This Row],[Class]]="A",WORKDAY(Main[[#This Row],[Tech Start Date]],2),""))))</f>
        <v/>
      </c>
      <c r="N1253" s="77" t="str">
        <f>IF(Main[[#This Row],[Tech Start Date]]&lt;1/1/1990,"",IF(Main[[#This Row],[Class]]="C",WORKDAY(Main[[#This Row],[Tech Start Date]],19),IF(Main[[#This Row],[Class]]="B", WORKDAY(Main[[#This Row],[Tech Start Date]],12),IF(Main[[#This Row],[Class]]="A",WORKDAY(Main[[#This Row],[Tech Start Date]],4),""))))</f>
        <v/>
      </c>
      <c r="O1253" s="77" t="str">
        <f>IF(Main[[#This Row],[Tech Start Date]]&lt;1/1/1990,"",IF(Main[[#This Row],[Class]]="C",WORKDAY(Main[[#This Row],[Tech Start Date]],23),IF(Main[[#This Row],[Class]]="B", WORKDAY(Main[[#This Row],[Tech Start Date]],15),IF(Main[[#This Row],[Class]]="A",WORKDAY(Main[[#This Row],[Tech Start Date]],5),""))))</f>
        <v/>
      </c>
      <c r="P1253" s="77" t="str">
        <f>IF(Main[[#This Row],[Tech Start Date]]&lt;1/1/1990,"",IF(Main[[#This Row],[Class]]="C",WORKDAY(Main[[#This Row],[Tech Start Date]],28),IF(Main[[#This Row],[Class]]="B", WORKDAY(Main[[#This Row],[Tech Start Date]],19),IF(Main[[#This Row],[Class]]="A",WORKDAY(Main[[#This Row],[Tech Start Date]],9),""))))</f>
        <v/>
      </c>
      <c r="Q1253" s="74">
        <v>40787</v>
      </c>
      <c r="R1253" s="74"/>
      <c r="S1253" s="72" t="s">
        <v>6</v>
      </c>
      <c r="T1253" s="80" t="s">
        <v>4</v>
      </c>
      <c r="U1253" s="72" t="s">
        <v>7</v>
      </c>
      <c r="V1253" s="72" t="s">
        <v>1932</v>
      </c>
      <c r="W1253" s="72" t="s">
        <v>1940</v>
      </c>
      <c r="X1253" s="72" t="s">
        <v>2905</v>
      </c>
      <c r="Y1253" s="72" t="s">
        <v>3023</v>
      </c>
      <c r="Z1253" s="72" t="s">
        <v>4</v>
      </c>
      <c r="AA1253" s="147" t="s">
        <v>2905</v>
      </c>
    </row>
    <row r="1254" spans="1:27" ht="18.600000000000001" customHeight="1">
      <c r="A1254" s="140" t="str">
        <f>IF(priority(Main[[#This Row],[Comments]])&lt;&gt;0, priority(Main[[#This Row],[Comments]]),"")</f>
        <v/>
      </c>
      <c r="B1254" s="90" t="s">
        <v>3677</v>
      </c>
      <c r="C1254" s="72" t="s">
        <v>3678</v>
      </c>
      <c r="D1254" s="73" t="s">
        <v>3679</v>
      </c>
      <c r="E1254" s="74">
        <v>40940.978842592594</v>
      </c>
      <c r="F1254" s="74">
        <v>41116</v>
      </c>
      <c r="G1254" s="75" t="str">
        <f>IF(stdProdLT(Main[[#This Row],[Comments]])=0.1,"N/A",IF(stdProdLT(Main[[#This Row],[Comments]])=0,"",stdProdLT(Main[[#This Row],[Comments]])))</f>
        <v/>
      </c>
      <c r="H1254" s="76" t="str">
        <f>IF(AND(Main[[#This Row],[In Stock Date]]&lt;&gt;"",Main[[#This Row],[Revised Due Date]]&lt;&gt;""),Main[[#This Row],[In Stock Date]]-Main[[#This Row],[Revised Due Date]],"")</f>
        <v/>
      </c>
      <c r="I1254" s="72" t="s">
        <v>4</v>
      </c>
      <c r="J1254" s="72" t="s">
        <v>4</v>
      </c>
      <c r="K1254" s="72" t="s">
        <v>4</v>
      </c>
      <c r="L1254" s="74"/>
      <c r="M1254" s="77" t="str">
        <f>IF(Main[[#This Row],[Tech Start Date]]&lt;1/1/1990,"",IF(Main[[#This Row],[Class]]="C",WORKDAY(Main[[#This Row],[Tech Start Date]],9),IF(Main[[#This Row],[Class]]="B", WORKDAY(Main[[#This Row],[Tech Start Date]],6),IF(Main[[#This Row],[Class]]="A",WORKDAY(Main[[#This Row],[Tech Start Date]],2),""))))</f>
        <v/>
      </c>
      <c r="N1254" s="77" t="str">
        <f>IF(Main[[#This Row],[Tech Start Date]]&lt;1/1/1990,"",IF(Main[[#This Row],[Class]]="C",WORKDAY(Main[[#This Row],[Tech Start Date]],19),IF(Main[[#This Row],[Class]]="B", WORKDAY(Main[[#This Row],[Tech Start Date]],12),IF(Main[[#This Row],[Class]]="A",WORKDAY(Main[[#This Row],[Tech Start Date]],4),""))))</f>
        <v/>
      </c>
      <c r="O1254" s="77" t="str">
        <f>IF(Main[[#This Row],[Tech Start Date]]&lt;1/1/1990,"",IF(Main[[#This Row],[Class]]="C",WORKDAY(Main[[#This Row],[Tech Start Date]],23),IF(Main[[#This Row],[Class]]="B", WORKDAY(Main[[#This Row],[Tech Start Date]],15),IF(Main[[#This Row],[Class]]="A",WORKDAY(Main[[#This Row],[Tech Start Date]],5),""))))</f>
        <v/>
      </c>
      <c r="P1254" s="77" t="str">
        <f>IF(Main[[#This Row],[Tech Start Date]]&lt;1/1/1990,"",IF(Main[[#This Row],[Class]]="C",WORKDAY(Main[[#This Row],[Tech Start Date]],28),IF(Main[[#This Row],[Class]]="B", WORKDAY(Main[[#This Row],[Tech Start Date]],19),IF(Main[[#This Row],[Class]]="A",WORKDAY(Main[[#This Row],[Tech Start Date]],9),""))))</f>
        <v/>
      </c>
      <c r="Q1254" s="74">
        <v>40976</v>
      </c>
      <c r="R1254" s="74"/>
      <c r="S1254" s="72" t="s">
        <v>11</v>
      </c>
      <c r="T1254" s="80" t="s">
        <v>4</v>
      </c>
      <c r="U1254" s="72" t="s">
        <v>7</v>
      </c>
      <c r="V1254" s="72" t="s">
        <v>1942</v>
      </c>
      <c r="W1254" s="72" t="s">
        <v>1940</v>
      </c>
      <c r="X1254" s="72" t="s">
        <v>3680</v>
      </c>
      <c r="Y1254" s="72" t="s">
        <v>4</v>
      </c>
      <c r="Z1254" s="72" t="s">
        <v>4</v>
      </c>
      <c r="AA1254" s="147" t="s">
        <v>3680</v>
      </c>
    </row>
    <row r="1255" spans="1:27" ht="18.600000000000001" customHeight="1">
      <c r="A1255" s="140" t="str">
        <f>IF(priority(Main[[#This Row],[Comments]])&lt;&gt;0, priority(Main[[#This Row],[Comments]]),"")</f>
        <v/>
      </c>
      <c r="B1255" s="90" t="s">
        <v>2618</v>
      </c>
      <c r="C1255" s="72" t="s">
        <v>4</v>
      </c>
      <c r="D1255" s="73" t="s">
        <v>2854</v>
      </c>
      <c r="E1255" s="74">
        <v>40870.475462962961</v>
      </c>
      <c r="F1255" s="74"/>
      <c r="G1255" s="75" t="str">
        <f>IF(stdProdLT(Main[[#This Row],[Comments]])=0.1,"N/A",IF(stdProdLT(Main[[#This Row],[Comments]])=0,"",stdProdLT(Main[[#This Row],[Comments]])))</f>
        <v/>
      </c>
      <c r="H1255" s="76" t="str">
        <f>IF(AND(Main[[#This Row],[In Stock Date]]&lt;&gt;"",Main[[#This Row],[Revised Due Date]]&lt;&gt;""),Main[[#This Row],[In Stock Date]]-Main[[#This Row],[Revised Due Date]],"")</f>
        <v/>
      </c>
      <c r="I1255" s="72" t="s">
        <v>434</v>
      </c>
      <c r="J1255" s="72" t="s">
        <v>28</v>
      </c>
      <c r="K1255" s="72" t="s">
        <v>1939</v>
      </c>
      <c r="L1255" s="74"/>
      <c r="M1255" s="77" t="str">
        <f>IF(Main[[#This Row],[Tech Start Date]]&lt;1/1/1990,"",IF(Main[[#This Row],[Class]]="C",WORKDAY(Main[[#This Row],[Tech Start Date]],9),IF(Main[[#This Row],[Class]]="B", WORKDAY(Main[[#This Row],[Tech Start Date]],6),IF(Main[[#This Row],[Class]]="A",WORKDAY(Main[[#This Row],[Tech Start Date]],2),""))))</f>
        <v/>
      </c>
      <c r="N1255" s="77" t="str">
        <f>IF(Main[[#This Row],[Tech Start Date]]&lt;1/1/1990,"",IF(Main[[#This Row],[Class]]="C",WORKDAY(Main[[#This Row],[Tech Start Date]],19),IF(Main[[#This Row],[Class]]="B", WORKDAY(Main[[#This Row],[Tech Start Date]],12),IF(Main[[#This Row],[Class]]="A",WORKDAY(Main[[#This Row],[Tech Start Date]],4),""))))</f>
        <v/>
      </c>
      <c r="O1255" s="77" t="str">
        <f>IF(Main[[#This Row],[Tech Start Date]]&lt;1/1/1990,"",IF(Main[[#This Row],[Class]]="C",WORKDAY(Main[[#This Row],[Tech Start Date]],23),IF(Main[[#This Row],[Class]]="B", WORKDAY(Main[[#This Row],[Tech Start Date]],15),IF(Main[[#This Row],[Class]]="A",WORKDAY(Main[[#This Row],[Tech Start Date]],5),""))))</f>
        <v/>
      </c>
      <c r="P1255" s="77" t="str">
        <f>IF(Main[[#This Row],[Tech Start Date]]&lt;1/1/1990,"",IF(Main[[#This Row],[Class]]="C",WORKDAY(Main[[#This Row],[Tech Start Date]],28),IF(Main[[#This Row],[Class]]="B", WORKDAY(Main[[#This Row],[Tech Start Date]],19),IF(Main[[#This Row],[Class]]="A",WORKDAY(Main[[#This Row],[Tech Start Date]],9),""))))</f>
        <v/>
      </c>
      <c r="Q1255" s="74">
        <v>40905</v>
      </c>
      <c r="R1255" s="74"/>
      <c r="S1255" s="72" t="s">
        <v>6</v>
      </c>
      <c r="T1255" s="80" t="s">
        <v>4</v>
      </c>
      <c r="U1255" s="72" t="s">
        <v>29</v>
      </c>
      <c r="V1255" s="72" t="s">
        <v>1935</v>
      </c>
      <c r="W1255" s="72" t="s">
        <v>1936</v>
      </c>
      <c r="X1255" s="72" t="s">
        <v>2073</v>
      </c>
      <c r="Y1255" s="72" t="s">
        <v>3147</v>
      </c>
      <c r="Z1255" s="72" t="s">
        <v>30</v>
      </c>
      <c r="AA1255" s="147" t="s">
        <v>2979</v>
      </c>
    </row>
    <row r="1256" spans="1:27" ht="18.600000000000001" customHeight="1">
      <c r="A1256" s="140" t="str">
        <f>IF(priority(Main[[#This Row],[Comments]])&lt;&gt;0, priority(Main[[#This Row],[Comments]]),"")</f>
        <v/>
      </c>
      <c r="B1256" s="90" t="s">
        <v>2242</v>
      </c>
      <c r="C1256" s="72" t="s">
        <v>4</v>
      </c>
      <c r="D1256" s="73" t="s">
        <v>2243</v>
      </c>
      <c r="E1256" s="74"/>
      <c r="F1256" s="74"/>
      <c r="G1256" s="75" t="str">
        <f>IF(stdProdLT(Main[[#This Row],[Comments]])=0.1,"N/A",IF(stdProdLT(Main[[#This Row],[Comments]])=0,"",stdProdLT(Main[[#This Row],[Comments]])))</f>
        <v/>
      </c>
      <c r="H1256" s="76" t="str">
        <f>IF(AND(Main[[#This Row],[In Stock Date]]&lt;&gt;"",Main[[#This Row],[Revised Due Date]]&lt;&gt;""),Main[[#This Row],[In Stock Date]]-Main[[#This Row],[Revised Due Date]],"")</f>
        <v/>
      </c>
      <c r="I1256" s="72" t="s">
        <v>535</v>
      </c>
      <c r="J1256" s="72" t="s">
        <v>28</v>
      </c>
      <c r="K1256" s="81" t="s">
        <v>1941</v>
      </c>
      <c r="L1256" s="74"/>
      <c r="M1256" s="77" t="str">
        <f>IF(Main[[#This Row],[Tech Start Date]]&lt;1/1/1990,"",IF(Main[[#This Row],[Class]]="C",WORKDAY(Main[[#This Row],[Tech Start Date]],9),IF(Main[[#This Row],[Class]]="B", WORKDAY(Main[[#This Row],[Tech Start Date]],6),IF(Main[[#This Row],[Class]]="A",WORKDAY(Main[[#This Row],[Tech Start Date]],2),""))))</f>
        <v/>
      </c>
      <c r="N1256" s="77" t="str">
        <f>IF(Main[[#This Row],[Tech Start Date]]&lt;1/1/1990,"",IF(Main[[#This Row],[Class]]="C",WORKDAY(Main[[#This Row],[Tech Start Date]],19),IF(Main[[#This Row],[Class]]="B", WORKDAY(Main[[#This Row],[Tech Start Date]],12),IF(Main[[#This Row],[Class]]="A",WORKDAY(Main[[#This Row],[Tech Start Date]],4),""))))</f>
        <v/>
      </c>
      <c r="O1256" s="77" t="str">
        <f>IF(Main[[#This Row],[Tech Start Date]]&lt;1/1/1990,"",IF(Main[[#This Row],[Class]]="C",WORKDAY(Main[[#This Row],[Tech Start Date]],23),IF(Main[[#This Row],[Class]]="B", WORKDAY(Main[[#This Row],[Tech Start Date]],15),IF(Main[[#This Row],[Class]]="A",WORKDAY(Main[[#This Row],[Tech Start Date]],5),""))))</f>
        <v/>
      </c>
      <c r="P1256" s="77" t="str">
        <f>IF(Main[[#This Row],[Tech Start Date]]&lt;1/1/1990,"",IF(Main[[#This Row],[Class]]="C",WORKDAY(Main[[#This Row],[Tech Start Date]],28),IF(Main[[#This Row],[Class]]="B", WORKDAY(Main[[#This Row],[Tech Start Date]],19),IF(Main[[#This Row],[Class]]="A",WORKDAY(Main[[#This Row],[Tech Start Date]],9),""))))</f>
        <v/>
      </c>
      <c r="Q1256" s="74"/>
      <c r="R1256" s="74"/>
      <c r="S1256" s="72" t="s">
        <v>6</v>
      </c>
      <c r="T1256" s="80" t="s">
        <v>4</v>
      </c>
      <c r="U1256" s="72" t="s">
        <v>14</v>
      </c>
      <c r="V1256" s="72" t="s">
        <v>1935</v>
      </c>
      <c r="W1256" s="72" t="s">
        <v>1936</v>
      </c>
      <c r="X1256" s="72" t="s">
        <v>2903</v>
      </c>
      <c r="Y1256" s="72" t="s">
        <v>3019</v>
      </c>
      <c r="Z1256" s="72" t="s">
        <v>30</v>
      </c>
      <c r="AA1256" s="147" t="s">
        <v>2903</v>
      </c>
    </row>
    <row r="1257" spans="1:27" ht="18.600000000000001" customHeight="1">
      <c r="A1257" s="140" t="str">
        <f>IF(priority(Main[[#This Row],[Comments]])&lt;&gt;0, priority(Main[[#This Row],[Comments]]),"")</f>
        <v/>
      </c>
      <c r="B1257" s="90" t="s">
        <v>2620</v>
      </c>
      <c r="C1257" s="72" t="s">
        <v>4</v>
      </c>
      <c r="D1257" s="73" t="s">
        <v>2621</v>
      </c>
      <c r="E1257" s="74"/>
      <c r="F1257" s="74"/>
      <c r="G1257" s="75" t="str">
        <f>IF(stdProdLT(Main[[#This Row],[Comments]])=0.1,"N/A",IF(stdProdLT(Main[[#This Row],[Comments]])=0,"",stdProdLT(Main[[#This Row],[Comments]])))</f>
        <v/>
      </c>
      <c r="H1257" s="76" t="str">
        <f>IF(AND(Main[[#This Row],[In Stock Date]]&lt;&gt;"",Main[[#This Row],[Revised Due Date]]&lt;&gt;""),Main[[#This Row],[In Stock Date]]-Main[[#This Row],[Revised Due Date]],"")</f>
        <v/>
      </c>
      <c r="I1257" s="72" t="s">
        <v>4</v>
      </c>
      <c r="J1257" s="72" t="s">
        <v>4</v>
      </c>
      <c r="K1257" s="81" t="s">
        <v>4</v>
      </c>
      <c r="L1257" s="74"/>
      <c r="M1257" s="77" t="str">
        <f>IF(Main[[#This Row],[Tech Start Date]]&lt;1/1/1990,"",IF(Main[[#This Row],[Class]]="C",WORKDAY(Main[[#This Row],[Tech Start Date]],9),IF(Main[[#This Row],[Class]]="B", WORKDAY(Main[[#This Row],[Tech Start Date]],6),IF(Main[[#This Row],[Class]]="A",WORKDAY(Main[[#This Row],[Tech Start Date]],2),""))))</f>
        <v/>
      </c>
      <c r="N1257" s="77" t="str">
        <f>IF(Main[[#This Row],[Tech Start Date]]&lt;1/1/1990,"",IF(Main[[#This Row],[Class]]="C",WORKDAY(Main[[#This Row],[Tech Start Date]],19),IF(Main[[#This Row],[Class]]="B", WORKDAY(Main[[#This Row],[Tech Start Date]],12),IF(Main[[#This Row],[Class]]="A",WORKDAY(Main[[#This Row],[Tech Start Date]],4),""))))</f>
        <v/>
      </c>
      <c r="O1257" s="77" t="str">
        <f>IF(Main[[#This Row],[Tech Start Date]]&lt;1/1/1990,"",IF(Main[[#This Row],[Class]]="C",WORKDAY(Main[[#This Row],[Tech Start Date]],23),IF(Main[[#This Row],[Class]]="B", WORKDAY(Main[[#This Row],[Tech Start Date]],15),IF(Main[[#This Row],[Class]]="A",WORKDAY(Main[[#This Row],[Tech Start Date]],5),""))))</f>
        <v/>
      </c>
      <c r="P1257" s="77" t="str">
        <f>IF(Main[[#This Row],[Tech Start Date]]&lt;1/1/1990,"",IF(Main[[#This Row],[Class]]="C",WORKDAY(Main[[#This Row],[Tech Start Date]],28),IF(Main[[#This Row],[Class]]="B", WORKDAY(Main[[#This Row],[Tech Start Date]],19),IF(Main[[#This Row],[Class]]="A",WORKDAY(Main[[#This Row],[Tech Start Date]],9),""))))</f>
        <v/>
      </c>
      <c r="Q1257" s="74"/>
      <c r="R1257" s="74"/>
      <c r="S1257" s="72" t="s">
        <v>6</v>
      </c>
      <c r="T1257" s="80" t="s">
        <v>4</v>
      </c>
      <c r="U1257" s="72" t="s">
        <v>12</v>
      </c>
      <c r="V1257" s="72" t="s">
        <v>1935</v>
      </c>
      <c r="W1257" s="72" t="s">
        <v>1937</v>
      </c>
      <c r="X1257" s="72" t="s">
        <v>2925</v>
      </c>
      <c r="Y1257" s="72" t="s">
        <v>3058</v>
      </c>
      <c r="Z1257" s="72" t="s">
        <v>4</v>
      </c>
      <c r="AA1257" s="147" t="s">
        <v>2925</v>
      </c>
    </row>
    <row r="1258" spans="1:27" ht="18.600000000000001" customHeight="1">
      <c r="A1258" s="140" t="str">
        <f>IF(priority(Main[[#This Row],[Comments]])&lt;&gt;0, priority(Main[[#This Row],[Comments]]),"")</f>
        <v/>
      </c>
      <c r="B1258" s="90" t="s">
        <v>3422</v>
      </c>
      <c r="C1258" s="72" t="s">
        <v>4</v>
      </c>
      <c r="D1258" s="73" t="s">
        <v>3423</v>
      </c>
      <c r="E1258" s="74">
        <v>40934.462071759262</v>
      </c>
      <c r="F1258" s="74"/>
      <c r="G1258" s="75" t="str">
        <f>IF(stdProdLT(Main[[#This Row],[Comments]])=0.1,"N/A",IF(stdProdLT(Main[[#This Row],[Comments]])=0,"",stdProdLT(Main[[#This Row],[Comments]])))</f>
        <v/>
      </c>
      <c r="H1258" s="76" t="str">
        <f>IF(AND(Main[[#This Row],[In Stock Date]]&lt;&gt;"",Main[[#This Row],[Revised Due Date]]&lt;&gt;""),Main[[#This Row],[In Stock Date]]-Main[[#This Row],[Revised Due Date]],"")</f>
        <v/>
      </c>
      <c r="I1258" s="72" t="s">
        <v>4</v>
      </c>
      <c r="J1258" s="72" t="s">
        <v>4</v>
      </c>
      <c r="K1258" s="72" t="s">
        <v>4</v>
      </c>
      <c r="L1258" s="74"/>
      <c r="M1258" s="77" t="str">
        <f>IF(Main[[#This Row],[Tech Start Date]]&lt;1/1/1990,"",IF(Main[[#This Row],[Class]]="C",WORKDAY(Main[[#This Row],[Tech Start Date]],9),IF(Main[[#This Row],[Class]]="B", WORKDAY(Main[[#This Row],[Tech Start Date]],6),IF(Main[[#This Row],[Class]]="A",WORKDAY(Main[[#This Row],[Tech Start Date]],2),""))))</f>
        <v/>
      </c>
      <c r="N1258" s="77" t="str">
        <f>IF(Main[[#This Row],[Tech Start Date]]&lt;1/1/1990,"",IF(Main[[#This Row],[Class]]="C",WORKDAY(Main[[#This Row],[Tech Start Date]],19),IF(Main[[#This Row],[Class]]="B", WORKDAY(Main[[#This Row],[Tech Start Date]],12),IF(Main[[#This Row],[Class]]="A",WORKDAY(Main[[#This Row],[Tech Start Date]],4),""))))</f>
        <v/>
      </c>
      <c r="O1258" s="77" t="str">
        <f>IF(Main[[#This Row],[Tech Start Date]]&lt;1/1/1990,"",IF(Main[[#This Row],[Class]]="C",WORKDAY(Main[[#This Row],[Tech Start Date]],23),IF(Main[[#This Row],[Class]]="B", WORKDAY(Main[[#This Row],[Tech Start Date]],15),IF(Main[[#This Row],[Class]]="A",WORKDAY(Main[[#This Row],[Tech Start Date]],5),""))))</f>
        <v/>
      </c>
      <c r="P1258" s="77" t="str">
        <f>IF(Main[[#This Row],[Tech Start Date]]&lt;1/1/1990,"",IF(Main[[#This Row],[Class]]="C",WORKDAY(Main[[#This Row],[Tech Start Date]],28),IF(Main[[#This Row],[Class]]="B", WORKDAY(Main[[#This Row],[Tech Start Date]],19),IF(Main[[#This Row],[Class]]="A",WORKDAY(Main[[#This Row],[Tech Start Date]],9),""))))</f>
        <v/>
      </c>
      <c r="Q1258" s="74"/>
      <c r="R1258" s="74"/>
      <c r="S1258" s="72" t="s">
        <v>6</v>
      </c>
      <c r="T1258" s="80" t="s">
        <v>4</v>
      </c>
      <c r="U1258" s="72" t="s">
        <v>29</v>
      </c>
      <c r="V1258" s="72" t="s">
        <v>1932</v>
      </c>
      <c r="W1258" s="72" t="s">
        <v>1936</v>
      </c>
      <c r="X1258" s="72" t="s">
        <v>949</v>
      </c>
      <c r="Y1258" s="72" t="s">
        <v>3071</v>
      </c>
      <c r="Z1258" s="72" t="s">
        <v>4</v>
      </c>
      <c r="AA1258" s="147" t="s">
        <v>949</v>
      </c>
    </row>
    <row r="1259" spans="1:27" ht="18.600000000000001" customHeight="1">
      <c r="A1259" s="140" t="str">
        <f>IF(priority(Main[[#This Row],[Comments]])&lt;&gt;0, priority(Main[[#This Row],[Comments]]),"")</f>
        <v/>
      </c>
      <c r="B1259" s="90" t="s">
        <v>1758</v>
      </c>
      <c r="C1259" s="72" t="s">
        <v>37</v>
      </c>
      <c r="D1259" s="73" t="s">
        <v>2623</v>
      </c>
      <c r="E1259" s="74">
        <v>40682.487210648149</v>
      </c>
      <c r="F1259" s="74"/>
      <c r="G1259" s="75" t="str">
        <f>IF(stdProdLT(Main[[#This Row],[Comments]])=0.1,"N/A",IF(stdProdLT(Main[[#This Row],[Comments]])=0,"",stdProdLT(Main[[#This Row],[Comments]])))</f>
        <v/>
      </c>
      <c r="H1259" s="76" t="str">
        <f>IF(AND(Main[[#This Row],[In Stock Date]]&lt;&gt;"",Main[[#This Row],[Revised Due Date]]&lt;&gt;""),Main[[#This Row],[In Stock Date]]-Main[[#This Row],[Revised Due Date]],"")</f>
        <v/>
      </c>
      <c r="I1259" s="72" t="s">
        <v>4</v>
      </c>
      <c r="J1259" s="72" t="s">
        <v>4</v>
      </c>
      <c r="K1259" s="72" t="s">
        <v>4</v>
      </c>
      <c r="L1259" s="74"/>
      <c r="M1259" s="77" t="str">
        <f>IF(Main[[#This Row],[Tech Start Date]]&lt;1/1/1990,"",IF(Main[[#This Row],[Class]]="C",WORKDAY(Main[[#This Row],[Tech Start Date]],9),IF(Main[[#This Row],[Class]]="B", WORKDAY(Main[[#This Row],[Tech Start Date]],6),IF(Main[[#This Row],[Class]]="A",WORKDAY(Main[[#This Row],[Tech Start Date]],2),""))))</f>
        <v/>
      </c>
      <c r="N1259" s="77" t="str">
        <f>IF(Main[[#This Row],[Tech Start Date]]&lt;1/1/1990,"",IF(Main[[#This Row],[Class]]="C",WORKDAY(Main[[#This Row],[Tech Start Date]],19),IF(Main[[#This Row],[Class]]="B", WORKDAY(Main[[#This Row],[Tech Start Date]],12),IF(Main[[#This Row],[Class]]="A",WORKDAY(Main[[#This Row],[Tech Start Date]],4),""))))</f>
        <v/>
      </c>
      <c r="O1259" s="77" t="str">
        <f>IF(Main[[#This Row],[Tech Start Date]]&lt;1/1/1990,"",IF(Main[[#This Row],[Class]]="C",WORKDAY(Main[[#This Row],[Tech Start Date]],23),IF(Main[[#This Row],[Class]]="B", WORKDAY(Main[[#This Row],[Tech Start Date]],15),IF(Main[[#This Row],[Class]]="A",WORKDAY(Main[[#This Row],[Tech Start Date]],5),""))))</f>
        <v/>
      </c>
      <c r="P1259" s="77" t="str">
        <f>IF(Main[[#This Row],[Tech Start Date]]&lt;1/1/1990,"",IF(Main[[#This Row],[Class]]="C",WORKDAY(Main[[#This Row],[Tech Start Date]],28),IF(Main[[#This Row],[Class]]="B", WORKDAY(Main[[#This Row],[Tech Start Date]],19),IF(Main[[#This Row],[Class]]="A",WORKDAY(Main[[#This Row],[Tech Start Date]],9),""))))</f>
        <v/>
      </c>
      <c r="Q1259" s="74">
        <v>40701</v>
      </c>
      <c r="R1259" s="74"/>
      <c r="S1259" s="72" t="s">
        <v>6</v>
      </c>
      <c r="T1259" s="80" t="s">
        <v>4</v>
      </c>
      <c r="U1259" s="72" t="s">
        <v>7</v>
      </c>
      <c r="V1259" s="72" t="s">
        <v>1932</v>
      </c>
      <c r="W1259" s="72" t="s">
        <v>1943</v>
      </c>
      <c r="X1259" s="72" t="s">
        <v>982</v>
      </c>
      <c r="Y1259" s="72" t="s">
        <v>3184</v>
      </c>
      <c r="Z1259" s="72" t="s">
        <v>4</v>
      </c>
      <c r="AA1259" s="147" t="s">
        <v>982</v>
      </c>
    </row>
    <row r="1260" spans="1:27" ht="18.600000000000001" customHeight="1">
      <c r="A1260" s="140" t="str">
        <f>IF(priority(Main[[#This Row],[Comments]])&lt;&gt;0, priority(Main[[#This Row],[Comments]]),"")</f>
        <v/>
      </c>
      <c r="B1260" s="124" t="s">
        <v>1642</v>
      </c>
      <c r="C1260" s="117" t="s">
        <v>4</v>
      </c>
      <c r="D1260" s="118" t="s">
        <v>710</v>
      </c>
      <c r="E1260" s="119">
        <v>40218.669039351851</v>
      </c>
      <c r="F1260" s="119"/>
      <c r="G1260" s="120" t="str">
        <f>IF(stdProdLT(Main[[#This Row],[Comments]])=0.1,"N/A",IF(stdProdLT(Main[[#This Row],[Comments]])=0,"",stdProdLT(Main[[#This Row],[Comments]])))</f>
        <v/>
      </c>
      <c r="H1260" s="121" t="str">
        <f>IF(AND(Main[[#This Row],[In Stock Date]]&lt;&gt;"",Main[[#This Row],[Revised Due Date]]&lt;&gt;""),Main[[#This Row],[In Stock Date]]-Main[[#This Row],[Revised Due Date]],"")</f>
        <v/>
      </c>
      <c r="I1260" s="117" t="s">
        <v>4</v>
      </c>
      <c r="J1260" s="117" t="s">
        <v>4</v>
      </c>
      <c r="K1260" s="117" t="s">
        <v>4</v>
      </c>
      <c r="L1260" s="119"/>
      <c r="M1260" s="122" t="str">
        <f>IF(Main[[#This Row],[Tech Start Date]]&lt;1/1/1990,"",IF(Main[[#This Row],[Class]]="C",WORKDAY(Main[[#This Row],[Tech Start Date]],9),IF(Main[[#This Row],[Class]]="B", WORKDAY(Main[[#This Row],[Tech Start Date]],6),IF(Main[[#This Row],[Class]]="A",WORKDAY(Main[[#This Row],[Tech Start Date]],2),""))))</f>
        <v/>
      </c>
      <c r="N1260" s="122" t="str">
        <f>IF(Main[[#This Row],[Tech Start Date]]&lt;1/1/1990,"",IF(Main[[#This Row],[Class]]="C",WORKDAY(Main[[#This Row],[Tech Start Date]],19),IF(Main[[#This Row],[Class]]="B", WORKDAY(Main[[#This Row],[Tech Start Date]],12),IF(Main[[#This Row],[Class]]="A",WORKDAY(Main[[#This Row],[Tech Start Date]],4),""))))</f>
        <v/>
      </c>
      <c r="O1260" s="122" t="str">
        <f>IF(Main[[#This Row],[Tech Start Date]]&lt;1/1/1990,"",IF(Main[[#This Row],[Class]]="C",WORKDAY(Main[[#This Row],[Tech Start Date]],23),IF(Main[[#This Row],[Class]]="B", WORKDAY(Main[[#This Row],[Tech Start Date]],15),IF(Main[[#This Row],[Class]]="A",WORKDAY(Main[[#This Row],[Tech Start Date]],5),""))))</f>
        <v/>
      </c>
      <c r="P1260" s="122" t="str">
        <f>IF(Main[[#This Row],[Tech Start Date]]&lt;1/1/1990,"",IF(Main[[#This Row],[Class]]="C",WORKDAY(Main[[#This Row],[Tech Start Date]],28),IF(Main[[#This Row],[Class]]="B", WORKDAY(Main[[#This Row],[Tech Start Date]],19),IF(Main[[#This Row],[Class]]="A",WORKDAY(Main[[#This Row],[Tech Start Date]],9),""))))</f>
        <v/>
      </c>
      <c r="Q1260" s="119">
        <v>40237</v>
      </c>
      <c r="R1260" s="119"/>
      <c r="S1260" s="117" t="s">
        <v>17</v>
      </c>
      <c r="T1260" s="123" t="s">
        <v>4</v>
      </c>
      <c r="U1260" s="117" t="s">
        <v>29</v>
      </c>
      <c r="V1260" s="117" t="s">
        <v>1935</v>
      </c>
      <c r="W1260" s="117" t="s">
        <v>4</v>
      </c>
      <c r="X1260" s="117" t="s">
        <v>659</v>
      </c>
      <c r="Y1260" s="117" t="s">
        <v>3215</v>
      </c>
      <c r="Z1260" s="117" t="s">
        <v>4</v>
      </c>
      <c r="AA1260" s="147" t="s">
        <v>659</v>
      </c>
    </row>
    <row r="1261" spans="1:27" ht="18.600000000000001" customHeight="1">
      <c r="A1261" s="140" t="str">
        <f>IF(priority(Main[[#This Row],[Comments]])&lt;&gt;0, priority(Main[[#This Row],[Comments]]),"")</f>
        <v/>
      </c>
      <c r="B1261" s="90" t="s">
        <v>1196</v>
      </c>
      <c r="C1261" s="72" t="s">
        <v>42</v>
      </c>
      <c r="D1261" s="73" t="s">
        <v>245</v>
      </c>
      <c r="E1261" s="74">
        <v>39937.598217592589</v>
      </c>
      <c r="F1261" s="74"/>
      <c r="G1261" s="75" t="str">
        <f>IF(stdProdLT(Main[[#This Row],[Comments]])=0.1,"N/A",IF(stdProdLT(Main[[#This Row],[Comments]])=0,"",stdProdLT(Main[[#This Row],[Comments]])))</f>
        <v/>
      </c>
      <c r="H1261" s="76" t="str">
        <f>IF(AND(Main[[#This Row],[In Stock Date]]&lt;&gt;"",Main[[#This Row],[Revised Due Date]]&lt;&gt;""),Main[[#This Row],[In Stock Date]]-Main[[#This Row],[Revised Due Date]],"")</f>
        <v/>
      </c>
      <c r="I1261" s="72" t="s">
        <v>4</v>
      </c>
      <c r="J1261" s="72" t="s">
        <v>4</v>
      </c>
      <c r="K1261" s="72" t="s">
        <v>4</v>
      </c>
      <c r="L1261" s="74"/>
      <c r="M1261" s="77" t="str">
        <f>IF(Main[[#This Row],[Tech Start Date]]&lt;1/1/1990,"",IF(Main[[#This Row],[Class]]="C",WORKDAY(Main[[#This Row],[Tech Start Date]],9),IF(Main[[#This Row],[Class]]="B", WORKDAY(Main[[#This Row],[Tech Start Date]],6),IF(Main[[#This Row],[Class]]="A",WORKDAY(Main[[#This Row],[Tech Start Date]],2),""))))</f>
        <v/>
      </c>
      <c r="N1261" s="77" t="str">
        <f>IF(Main[[#This Row],[Tech Start Date]]&lt;1/1/1990,"",IF(Main[[#This Row],[Class]]="C",WORKDAY(Main[[#This Row],[Tech Start Date]],19),IF(Main[[#This Row],[Class]]="B", WORKDAY(Main[[#This Row],[Tech Start Date]],12),IF(Main[[#This Row],[Class]]="A",WORKDAY(Main[[#This Row],[Tech Start Date]],4),""))))</f>
        <v/>
      </c>
      <c r="O1261" s="77" t="str">
        <f>IF(Main[[#This Row],[Tech Start Date]]&lt;1/1/1990,"",IF(Main[[#This Row],[Class]]="C",WORKDAY(Main[[#This Row],[Tech Start Date]],23),IF(Main[[#This Row],[Class]]="B", WORKDAY(Main[[#This Row],[Tech Start Date]],15),IF(Main[[#This Row],[Class]]="A",WORKDAY(Main[[#This Row],[Tech Start Date]],5),""))))</f>
        <v/>
      </c>
      <c r="P1261" s="77" t="str">
        <f>IF(Main[[#This Row],[Tech Start Date]]&lt;1/1/1990,"",IF(Main[[#This Row],[Class]]="C",WORKDAY(Main[[#This Row],[Tech Start Date]],28),IF(Main[[#This Row],[Class]]="B", WORKDAY(Main[[#This Row],[Tech Start Date]],19),IF(Main[[#This Row],[Class]]="A",WORKDAY(Main[[#This Row],[Tech Start Date]],9),""))))</f>
        <v/>
      </c>
      <c r="Q1261" s="74"/>
      <c r="R1261" s="74">
        <v>41289</v>
      </c>
      <c r="S1261" s="72" t="s">
        <v>17</v>
      </c>
      <c r="T1261" s="80" t="s">
        <v>4</v>
      </c>
      <c r="U1261" s="72" t="s">
        <v>29</v>
      </c>
      <c r="V1261" s="72" t="s">
        <v>1935</v>
      </c>
      <c r="W1261" s="72" t="s">
        <v>4</v>
      </c>
      <c r="X1261" s="72" t="s">
        <v>403</v>
      </c>
      <c r="Y1261" s="72" t="s">
        <v>4</v>
      </c>
      <c r="Z1261" s="72" t="s">
        <v>659</v>
      </c>
      <c r="AA1261" s="147" t="s">
        <v>4</v>
      </c>
    </row>
    <row r="1262" spans="1:27" ht="18.600000000000001" customHeight="1">
      <c r="A1262" s="140" t="str">
        <f>IF(priority(Main[[#This Row],[Comments]])&lt;&gt;0, priority(Main[[#This Row],[Comments]]),"")</f>
        <v/>
      </c>
      <c r="B1262" s="90" t="s">
        <v>1847</v>
      </c>
      <c r="C1262" s="72" t="s">
        <v>4</v>
      </c>
      <c r="D1262" s="73" t="s">
        <v>892</v>
      </c>
      <c r="E1262" s="74">
        <v>40284.719155092593</v>
      </c>
      <c r="F1262" s="74"/>
      <c r="G1262" s="75" t="str">
        <f>IF(stdProdLT(Main[[#This Row],[Comments]])=0.1,"N/A",IF(stdProdLT(Main[[#This Row],[Comments]])=0,"",stdProdLT(Main[[#This Row],[Comments]])))</f>
        <v/>
      </c>
      <c r="H1262" s="76" t="str">
        <f>IF(AND(Main[[#This Row],[In Stock Date]]&lt;&gt;"",Main[[#This Row],[Revised Due Date]]&lt;&gt;""),Main[[#This Row],[In Stock Date]]-Main[[#This Row],[Revised Due Date]],"")</f>
        <v/>
      </c>
      <c r="I1262" s="72" t="s">
        <v>4</v>
      </c>
      <c r="J1262" s="72" t="s">
        <v>52</v>
      </c>
      <c r="K1262" s="72" t="s">
        <v>1944</v>
      </c>
      <c r="L1262" s="74"/>
      <c r="M1262" s="77" t="str">
        <f>IF(Main[[#This Row],[Tech Start Date]]&lt;1/1/1990,"",IF(Main[[#This Row],[Class]]="C",WORKDAY(Main[[#This Row],[Tech Start Date]],9),IF(Main[[#This Row],[Class]]="B", WORKDAY(Main[[#This Row],[Tech Start Date]],6),IF(Main[[#This Row],[Class]]="A",WORKDAY(Main[[#This Row],[Tech Start Date]],2),""))))</f>
        <v/>
      </c>
      <c r="N1262" s="77" t="str">
        <f>IF(Main[[#This Row],[Tech Start Date]]&lt;1/1/1990,"",IF(Main[[#This Row],[Class]]="C",WORKDAY(Main[[#This Row],[Tech Start Date]],19),IF(Main[[#This Row],[Class]]="B", WORKDAY(Main[[#This Row],[Tech Start Date]],12),IF(Main[[#This Row],[Class]]="A",WORKDAY(Main[[#This Row],[Tech Start Date]],4),""))))</f>
        <v/>
      </c>
      <c r="O1262" s="77" t="str">
        <f>IF(Main[[#This Row],[Tech Start Date]]&lt;1/1/1990,"",IF(Main[[#This Row],[Class]]="C",WORKDAY(Main[[#This Row],[Tech Start Date]],23),IF(Main[[#This Row],[Class]]="B", WORKDAY(Main[[#This Row],[Tech Start Date]],15),IF(Main[[#This Row],[Class]]="A",WORKDAY(Main[[#This Row],[Tech Start Date]],5),""))))</f>
        <v/>
      </c>
      <c r="P1262" s="77" t="str">
        <f>IF(Main[[#This Row],[Tech Start Date]]&lt;1/1/1990,"",IF(Main[[#This Row],[Class]]="C",WORKDAY(Main[[#This Row],[Tech Start Date]],28),IF(Main[[#This Row],[Class]]="B", WORKDAY(Main[[#This Row],[Tech Start Date]],19),IF(Main[[#This Row],[Class]]="A",WORKDAY(Main[[#This Row],[Tech Start Date]],9),""))))</f>
        <v/>
      </c>
      <c r="Q1262" s="74">
        <v>40389</v>
      </c>
      <c r="R1262" s="74">
        <v>40403</v>
      </c>
      <c r="S1262" s="72" t="s">
        <v>17</v>
      </c>
      <c r="T1262" s="80" t="s">
        <v>4</v>
      </c>
      <c r="U1262" s="72" t="s">
        <v>29</v>
      </c>
      <c r="V1262" s="72" t="s">
        <v>1932</v>
      </c>
      <c r="W1262" s="72" t="s">
        <v>1946</v>
      </c>
      <c r="X1262" s="72" t="s">
        <v>2905</v>
      </c>
      <c r="Y1262" s="72" t="s">
        <v>3023</v>
      </c>
      <c r="Z1262" s="72" t="s">
        <v>129</v>
      </c>
      <c r="AA1262" s="147" t="s">
        <v>2905</v>
      </c>
    </row>
    <row r="1263" spans="1:27" ht="18.600000000000001" customHeight="1">
      <c r="A1263" s="140" t="str">
        <f>IF(priority(Main[[#This Row],[Comments]])&lt;&gt;0, priority(Main[[#This Row],[Comments]]),"")</f>
        <v/>
      </c>
      <c r="B1263" s="90" t="s">
        <v>1519</v>
      </c>
      <c r="C1263" s="72" t="s">
        <v>583</v>
      </c>
      <c r="D1263" s="73" t="s">
        <v>2624</v>
      </c>
      <c r="E1263" s="74"/>
      <c r="F1263" s="74"/>
      <c r="G1263" s="75" t="str">
        <f>IF(stdProdLT(Main[[#This Row],[Comments]])=0.1,"N/A",IF(stdProdLT(Main[[#This Row],[Comments]])=0,"",stdProdLT(Main[[#This Row],[Comments]])))</f>
        <v/>
      </c>
      <c r="H1263" s="76" t="str">
        <f>IF(AND(Main[[#This Row],[In Stock Date]]&lt;&gt;"",Main[[#This Row],[Revised Due Date]]&lt;&gt;""),Main[[#This Row],[In Stock Date]]-Main[[#This Row],[Revised Due Date]],"")</f>
        <v/>
      </c>
      <c r="I1263" s="72" t="s">
        <v>4</v>
      </c>
      <c r="J1263" s="72" t="s">
        <v>28</v>
      </c>
      <c r="K1263" s="72" t="s">
        <v>1939</v>
      </c>
      <c r="L1263" s="74"/>
      <c r="M1263" s="77" t="str">
        <f>IF(Main[[#This Row],[Tech Start Date]]&lt;1/1/1990,"",IF(Main[[#This Row],[Class]]="C",WORKDAY(Main[[#This Row],[Tech Start Date]],9),IF(Main[[#This Row],[Class]]="B", WORKDAY(Main[[#This Row],[Tech Start Date]],6),IF(Main[[#This Row],[Class]]="A",WORKDAY(Main[[#This Row],[Tech Start Date]],2),""))))</f>
        <v/>
      </c>
      <c r="N1263" s="77" t="str">
        <f>IF(Main[[#This Row],[Tech Start Date]]&lt;1/1/1990,"",IF(Main[[#This Row],[Class]]="C",WORKDAY(Main[[#This Row],[Tech Start Date]],19),IF(Main[[#This Row],[Class]]="B", WORKDAY(Main[[#This Row],[Tech Start Date]],12),IF(Main[[#This Row],[Class]]="A",WORKDAY(Main[[#This Row],[Tech Start Date]],4),""))))</f>
        <v/>
      </c>
      <c r="O1263" s="77" t="str">
        <f>IF(Main[[#This Row],[Tech Start Date]]&lt;1/1/1990,"",IF(Main[[#This Row],[Class]]="C",WORKDAY(Main[[#This Row],[Tech Start Date]],23),IF(Main[[#This Row],[Class]]="B", WORKDAY(Main[[#This Row],[Tech Start Date]],15),IF(Main[[#This Row],[Class]]="A",WORKDAY(Main[[#This Row],[Tech Start Date]],5),""))))</f>
        <v/>
      </c>
      <c r="P1263" s="77" t="str">
        <f>IF(Main[[#This Row],[Tech Start Date]]&lt;1/1/1990,"",IF(Main[[#This Row],[Class]]="C",WORKDAY(Main[[#This Row],[Tech Start Date]],28),IF(Main[[#This Row],[Class]]="B", WORKDAY(Main[[#This Row],[Tech Start Date]],19),IF(Main[[#This Row],[Class]]="A",WORKDAY(Main[[#This Row],[Tech Start Date]],9),""))))</f>
        <v/>
      </c>
      <c r="Q1263" s="74">
        <v>40486</v>
      </c>
      <c r="R1263" s="74"/>
      <c r="S1263" s="72" t="s">
        <v>6</v>
      </c>
      <c r="T1263" s="80" t="s">
        <v>4</v>
      </c>
      <c r="U1263" s="72" t="s">
        <v>14</v>
      </c>
      <c r="V1263" s="72" t="s">
        <v>1932</v>
      </c>
      <c r="W1263" s="72" t="s">
        <v>1936</v>
      </c>
      <c r="X1263" s="72" t="s">
        <v>2905</v>
      </c>
      <c r="Y1263" s="72" t="s">
        <v>3023</v>
      </c>
      <c r="Z1263" s="72" t="s">
        <v>129</v>
      </c>
      <c r="AA1263" s="147" t="s">
        <v>2905</v>
      </c>
    </row>
    <row r="1264" spans="1:27" ht="18.600000000000001" customHeight="1">
      <c r="A1264" s="140" t="str">
        <f>IF(priority(Main[[#This Row],[Comments]])&lt;&gt;0, priority(Main[[#This Row],[Comments]]),"")</f>
        <v/>
      </c>
      <c r="B1264" s="90" t="s">
        <v>2114</v>
      </c>
      <c r="C1264" s="72" t="s">
        <v>4</v>
      </c>
      <c r="D1264" s="73" t="s">
        <v>2625</v>
      </c>
      <c r="E1264" s="74">
        <v>40760.553842592592</v>
      </c>
      <c r="F1264" s="74"/>
      <c r="G1264" s="75" t="str">
        <f>IF(stdProdLT(Main[[#This Row],[Comments]])=0.1,"N/A",IF(stdProdLT(Main[[#This Row],[Comments]])=0,"",stdProdLT(Main[[#This Row],[Comments]])))</f>
        <v/>
      </c>
      <c r="H1264" s="76" t="str">
        <f>IF(AND(Main[[#This Row],[In Stock Date]]&lt;&gt;"",Main[[#This Row],[Revised Due Date]]&lt;&gt;""),Main[[#This Row],[In Stock Date]]-Main[[#This Row],[Revised Due Date]],"")</f>
        <v/>
      </c>
      <c r="I1264" s="72" t="s">
        <v>4</v>
      </c>
      <c r="J1264" s="72" t="s">
        <v>4</v>
      </c>
      <c r="K1264" s="72" t="s">
        <v>4</v>
      </c>
      <c r="L1264" s="74"/>
      <c r="M1264" s="77" t="str">
        <f>IF(Main[[#This Row],[Tech Start Date]]&lt;1/1/1990,"",IF(Main[[#This Row],[Class]]="C",WORKDAY(Main[[#This Row],[Tech Start Date]],9),IF(Main[[#This Row],[Class]]="B", WORKDAY(Main[[#This Row],[Tech Start Date]],6),IF(Main[[#This Row],[Class]]="A",WORKDAY(Main[[#This Row],[Tech Start Date]],2),""))))</f>
        <v/>
      </c>
      <c r="N1264" s="77" t="str">
        <f>IF(Main[[#This Row],[Tech Start Date]]&lt;1/1/1990,"",IF(Main[[#This Row],[Class]]="C",WORKDAY(Main[[#This Row],[Tech Start Date]],19),IF(Main[[#This Row],[Class]]="B", WORKDAY(Main[[#This Row],[Tech Start Date]],12),IF(Main[[#This Row],[Class]]="A",WORKDAY(Main[[#This Row],[Tech Start Date]],4),""))))</f>
        <v/>
      </c>
      <c r="O1264" s="77" t="str">
        <f>IF(Main[[#This Row],[Tech Start Date]]&lt;1/1/1990,"",IF(Main[[#This Row],[Class]]="C",WORKDAY(Main[[#This Row],[Tech Start Date]],23),IF(Main[[#This Row],[Class]]="B", WORKDAY(Main[[#This Row],[Tech Start Date]],15),IF(Main[[#This Row],[Class]]="A",WORKDAY(Main[[#This Row],[Tech Start Date]],5),""))))</f>
        <v/>
      </c>
      <c r="P1264" s="77" t="str">
        <f>IF(Main[[#This Row],[Tech Start Date]]&lt;1/1/1990,"",IF(Main[[#This Row],[Class]]="C",WORKDAY(Main[[#This Row],[Tech Start Date]],28),IF(Main[[#This Row],[Class]]="B", WORKDAY(Main[[#This Row],[Tech Start Date]],19),IF(Main[[#This Row],[Class]]="A",WORKDAY(Main[[#This Row],[Tech Start Date]],9),""))))</f>
        <v/>
      </c>
      <c r="Q1264" s="74"/>
      <c r="R1264" s="74"/>
      <c r="S1264" s="72" t="s">
        <v>6</v>
      </c>
      <c r="T1264" s="80" t="s">
        <v>4</v>
      </c>
      <c r="U1264" s="72" t="s">
        <v>7</v>
      </c>
      <c r="V1264" s="72" t="s">
        <v>1932</v>
      </c>
      <c r="W1264" s="72" t="s">
        <v>1936</v>
      </c>
      <c r="X1264" s="72" t="s">
        <v>310</v>
      </c>
      <c r="Y1264" s="72" t="s">
        <v>4</v>
      </c>
      <c r="Z1264" s="72" t="s">
        <v>4</v>
      </c>
      <c r="AA1264" s="147" t="s">
        <v>4</v>
      </c>
    </row>
    <row r="1265" spans="1:27" ht="18.600000000000001" customHeight="1">
      <c r="A1265" s="140" t="str">
        <f>IF(priority(Main[[#This Row],[Comments]])&lt;&gt;0, priority(Main[[#This Row],[Comments]]),"")</f>
        <v/>
      </c>
      <c r="B1265" s="90" t="s">
        <v>1125</v>
      </c>
      <c r="C1265" s="72" t="s">
        <v>162</v>
      </c>
      <c r="D1265" s="73" t="s">
        <v>163</v>
      </c>
      <c r="E1265" s="74"/>
      <c r="F1265" s="74">
        <v>40238</v>
      </c>
      <c r="G1265" s="75" t="str">
        <f>IF(stdProdLT(Main[[#This Row],[Comments]])=0.1,"N/A",IF(stdProdLT(Main[[#This Row],[Comments]])=0,"",stdProdLT(Main[[#This Row],[Comments]])))</f>
        <v/>
      </c>
      <c r="H1265" s="76" t="str">
        <f>IF(AND(Main[[#This Row],[In Stock Date]]&lt;&gt;"",Main[[#This Row],[Revised Due Date]]&lt;&gt;""),Main[[#This Row],[In Stock Date]]-Main[[#This Row],[Revised Due Date]],"")</f>
        <v/>
      </c>
      <c r="I1265" s="72" t="s">
        <v>4</v>
      </c>
      <c r="J1265" s="72" t="s">
        <v>4</v>
      </c>
      <c r="K1265" s="72" t="s">
        <v>4</v>
      </c>
      <c r="L1265" s="74"/>
      <c r="M1265" s="77" t="str">
        <f>IF(Main[[#This Row],[Tech Start Date]]&lt;1/1/1990,"",IF(Main[[#This Row],[Class]]="C",WORKDAY(Main[[#This Row],[Tech Start Date]],9),IF(Main[[#This Row],[Class]]="B", WORKDAY(Main[[#This Row],[Tech Start Date]],6),IF(Main[[#This Row],[Class]]="A",WORKDAY(Main[[#This Row],[Tech Start Date]],2),""))))</f>
        <v/>
      </c>
      <c r="N1265" s="77" t="str">
        <f>IF(Main[[#This Row],[Tech Start Date]]&lt;1/1/1990,"",IF(Main[[#This Row],[Class]]="C",WORKDAY(Main[[#This Row],[Tech Start Date]],19),IF(Main[[#This Row],[Class]]="B", WORKDAY(Main[[#This Row],[Tech Start Date]],12),IF(Main[[#This Row],[Class]]="A",WORKDAY(Main[[#This Row],[Tech Start Date]],4),""))))</f>
        <v/>
      </c>
      <c r="O1265" s="77" t="str">
        <f>IF(Main[[#This Row],[Tech Start Date]]&lt;1/1/1990,"",IF(Main[[#This Row],[Class]]="C",WORKDAY(Main[[#This Row],[Tech Start Date]],23),IF(Main[[#This Row],[Class]]="B", WORKDAY(Main[[#This Row],[Tech Start Date]],15),IF(Main[[#This Row],[Class]]="A",WORKDAY(Main[[#This Row],[Tech Start Date]],5),""))))</f>
        <v/>
      </c>
      <c r="P1265" s="77" t="str">
        <f>IF(Main[[#This Row],[Tech Start Date]]&lt;1/1/1990,"",IF(Main[[#This Row],[Class]]="C",WORKDAY(Main[[#This Row],[Tech Start Date]],28),IF(Main[[#This Row],[Class]]="B", WORKDAY(Main[[#This Row],[Tech Start Date]],19),IF(Main[[#This Row],[Class]]="A",WORKDAY(Main[[#This Row],[Tech Start Date]],9),""))))</f>
        <v/>
      </c>
      <c r="Q1265" s="74">
        <v>40167</v>
      </c>
      <c r="R1265" s="74"/>
      <c r="S1265" s="72" t="s">
        <v>17</v>
      </c>
      <c r="T1265" s="80" t="s">
        <v>4</v>
      </c>
      <c r="U1265" s="72" t="s">
        <v>14</v>
      </c>
      <c r="V1265" s="72" t="s">
        <v>1935</v>
      </c>
      <c r="W1265" s="72" t="s">
        <v>1940</v>
      </c>
      <c r="X1265" s="72" t="s">
        <v>50</v>
      </c>
      <c r="Y1265" s="72" t="s">
        <v>3030</v>
      </c>
      <c r="Z1265" s="72" t="s">
        <v>863</v>
      </c>
      <c r="AA1265" s="147" t="s">
        <v>2908</v>
      </c>
    </row>
    <row r="1266" spans="1:27" ht="18.600000000000001" customHeight="1">
      <c r="A1266" s="140" t="str">
        <f>IF(priority(Main[[#This Row],[Comments]])&lt;&gt;0, priority(Main[[#This Row],[Comments]]),"")</f>
        <v/>
      </c>
      <c r="B1266" s="90" t="s">
        <v>3284</v>
      </c>
      <c r="C1266" s="72" t="s">
        <v>31</v>
      </c>
      <c r="D1266" s="73" t="s">
        <v>3285</v>
      </c>
      <c r="E1266" s="74"/>
      <c r="F1266" s="74">
        <v>41122</v>
      </c>
      <c r="G1266" s="75" t="str">
        <f>IF(stdProdLT(Main[[#This Row],[Comments]])=0.1,"N/A",IF(stdProdLT(Main[[#This Row],[Comments]])=0,"",stdProdLT(Main[[#This Row],[Comments]])))</f>
        <v/>
      </c>
      <c r="H1266" s="76" t="str">
        <f>IF(AND(Main[[#This Row],[In Stock Date]]&lt;&gt;"",Main[[#This Row],[Revised Due Date]]&lt;&gt;""),Main[[#This Row],[In Stock Date]]-Main[[#This Row],[Revised Due Date]],"")</f>
        <v/>
      </c>
      <c r="I1266" s="72" t="s">
        <v>4</v>
      </c>
      <c r="J1266" s="72" t="s">
        <v>4</v>
      </c>
      <c r="K1266" s="72" t="s">
        <v>4</v>
      </c>
      <c r="L1266" s="74"/>
      <c r="M1266" s="77" t="str">
        <f>IF(Main[[#This Row],[Tech Start Date]]&lt;1/1/1990,"",IF(Main[[#This Row],[Class]]="C",WORKDAY(Main[[#This Row],[Tech Start Date]],9),IF(Main[[#This Row],[Class]]="B", WORKDAY(Main[[#This Row],[Tech Start Date]],6),IF(Main[[#This Row],[Class]]="A",WORKDAY(Main[[#This Row],[Tech Start Date]],2),""))))</f>
        <v/>
      </c>
      <c r="N1266" s="77" t="str">
        <f>IF(Main[[#This Row],[Tech Start Date]]&lt;1/1/1990,"",IF(Main[[#This Row],[Class]]="C",WORKDAY(Main[[#This Row],[Tech Start Date]],19),IF(Main[[#This Row],[Class]]="B", WORKDAY(Main[[#This Row],[Tech Start Date]],12),IF(Main[[#This Row],[Class]]="A",WORKDAY(Main[[#This Row],[Tech Start Date]],4),""))))</f>
        <v/>
      </c>
      <c r="O1266" s="77" t="str">
        <f>IF(Main[[#This Row],[Tech Start Date]]&lt;1/1/1990,"",IF(Main[[#This Row],[Class]]="C",WORKDAY(Main[[#This Row],[Tech Start Date]],23),IF(Main[[#This Row],[Class]]="B", WORKDAY(Main[[#This Row],[Tech Start Date]],15),IF(Main[[#This Row],[Class]]="A",WORKDAY(Main[[#This Row],[Tech Start Date]],5),""))))</f>
        <v/>
      </c>
      <c r="P1266" s="77" t="str">
        <f>IF(Main[[#This Row],[Tech Start Date]]&lt;1/1/1990,"",IF(Main[[#This Row],[Class]]="C",WORKDAY(Main[[#This Row],[Tech Start Date]],28),IF(Main[[#This Row],[Class]]="B", WORKDAY(Main[[#This Row],[Tech Start Date]],19),IF(Main[[#This Row],[Class]]="A",WORKDAY(Main[[#This Row],[Tech Start Date]],9),""))))</f>
        <v/>
      </c>
      <c r="Q1266" s="74">
        <v>40940</v>
      </c>
      <c r="R1266" s="74"/>
      <c r="S1266" s="72" t="s">
        <v>11</v>
      </c>
      <c r="T1266" s="80" t="s">
        <v>4</v>
      </c>
      <c r="U1266" s="72" t="s">
        <v>12</v>
      </c>
      <c r="V1266" s="72" t="s">
        <v>1935</v>
      </c>
      <c r="W1266" s="72" t="s">
        <v>1943</v>
      </c>
      <c r="X1266" s="72" t="s">
        <v>2930</v>
      </c>
      <c r="Y1266" s="72" t="s">
        <v>4</v>
      </c>
      <c r="Z1266" s="72" t="s">
        <v>4</v>
      </c>
      <c r="AA1266" s="147" t="s">
        <v>2930</v>
      </c>
    </row>
    <row r="1267" spans="1:27" ht="18.600000000000001" customHeight="1">
      <c r="A1267" s="140" t="str">
        <f>IF(priority(Main[[#This Row],[Comments]])&lt;&gt;0, priority(Main[[#This Row],[Comments]]),"")</f>
        <v/>
      </c>
      <c r="B1267" s="90" t="s">
        <v>2380</v>
      </c>
      <c r="C1267" s="72" t="s">
        <v>4</v>
      </c>
      <c r="D1267" s="73" t="s">
        <v>3801</v>
      </c>
      <c r="E1267" s="74">
        <v>40849.308981481481</v>
      </c>
      <c r="F1267" s="74"/>
      <c r="G1267" s="75" t="str">
        <f>IF(stdProdLT(Main[[#This Row],[Comments]])=0.1,"N/A",IF(stdProdLT(Main[[#This Row],[Comments]])=0,"",stdProdLT(Main[[#This Row],[Comments]])))</f>
        <v/>
      </c>
      <c r="H1267" s="76" t="str">
        <f>IF(AND(Main[[#This Row],[In Stock Date]]&lt;&gt;"",Main[[#This Row],[Revised Due Date]]&lt;&gt;""),Main[[#This Row],[In Stock Date]]-Main[[#This Row],[Revised Due Date]],"")</f>
        <v/>
      </c>
      <c r="I1267" s="72" t="s">
        <v>4</v>
      </c>
      <c r="J1267" s="72" t="s">
        <v>21</v>
      </c>
      <c r="K1267" s="72" t="s">
        <v>1939</v>
      </c>
      <c r="L1267" s="74"/>
      <c r="M1267" s="77" t="str">
        <f>IF(Main[[#This Row],[Tech Start Date]]&lt;1/1/1990,"",IF(Main[[#This Row],[Class]]="C",WORKDAY(Main[[#This Row],[Tech Start Date]],9),IF(Main[[#This Row],[Class]]="B", WORKDAY(Main[[#This Row],[Tech Start Date]],6),IF(Main[[#This Row],[Class]]="A",WORKDAY(Main[[#This Row],[Tech Start Date]],2),""))))</f>
        <v/>
      </c>
      <c r="N1267" s="77" t="str">
        <f>IF(Main[[#This Row],[Tech Start Date]]&lt;1/1/1990,"",IF(Main[[#This Row],[Class]]="C",WORKDAY(Main[[#This Row],[Tech Start Date]],19),IF(Main[[#This Row],[Class]]="B", WORKDAY(Main[[#This Row],[Tech Start Date]],12),IF(Main[[#This Row],[Class]]="A",WORKDAY(Main[[#This Row],[Tech Start Date]],4),""))))</f>
        <v/>
      </c>
      <c r="O1267" s="77" t="str">
        <f>IF(Main[[#This Row],[Tech Start Date]]&lt;1/1/1990,"",IF(Main[[#This Row],[Class]]="C",WORKDAY(Main[[#This Row],[Tech Start Date]],23),IF(Main[[#This Row],[Class]]="B", WORKDAY(Main[[#This Row],[Tech Start Date]],15),IF(Main[[#This Row],[Class]]="A",WORKDAY(Main[[#This Row],[Tech Start Date]],5),""))))</f>
        <v/>
      </c>
      <c r="P1267" s="77" t="str">
        <f>IF(Main[[#This Row],[Tech Start Date]]&lt;1/1/1990,"",IF(Main[[#This Row],[Class]]="C",WORKDAY(Main[[#This Row],[Tech Start Date]],28),IF(Main[[#This Row],[Class]]="B", WORKDAY(Main[[#This Row],[Tech Start Date]],19),IF(Main[[#This Row],[Class]]="A",WORKDAY(Main[[#This Row],[Tech Start Date]],9),""))))</f>
        <v/>
      </c>
      <c r="Q1267" s="74"/>
      <c r="R1267" s="74"/>
      <c r="S1267" s="72" t="s">
        <v>6</v>
      </c>
      <c r="T1267" s="80" t="s">
        <v>4</v>
      </c>
      <c r="U1267" s="72" t="s">
        <v>29</v>
      </c>
      <c r="V1267" s="72" t="s">
        <v>1932</v>
      </c>
      <c r="W1267" s="72" t="s">
        <v>1936</v>
      </c>
      <c r="X1267" s="72" t="s">
        <v>949</v>
      </c>
      <c r="Y1267" s="72" t="s">
        <v>3071</v>
      </c>
      <c r="Z1267" s="72" t="s">
        <v>949</v>
      </c>
      <c r="AA1267" s="147" t="s">
        <v>949</v>
      </c>
    </row>
    <row r="1268" spans="1:27" ht="18.600000000000001" customHeight="1">
      <c r="A1268" s="140" t="str">
        <f>IF(priority(Main[[#This Row],[Comments]])&lt;&gt;0, priority(Main[[#This Row],[Comments]]),"")</f>
        <v/>
      </c>
      <c r="B1268" s="90" t="s">
        <v>3539</v>
      </c>
      <c r="C1268" s="72" t="s">
        <v>47</v>
      </c>
      <c r="D1268" s="73" t="s">
        <v>3540</v>
      </c>
      <c r="E1268" s="74">
        <v>40938.56958333333</v>
      </c>
      <c r="F1268" s="74"/>
      <c r="G1268" s="75" t="str">
        <f>IF(stdProdLT(Main[[#This Row],[Comments]])=0.1,"N/A",IF(stdProdLT(Main[[#This Row],[Comments]])=0,"",stdProdLT(Main[[#This Row],[Comments]])))</f>
        <v/>
      </c>
      <c r="H1268" s="76" t="str">
        <f>IF(AND(Main[[#This Row],[In Stock Date]]&lt;&gt;"",Main[[#This Row],[Revised Due Date]]&lt;&gt;""),Main[[#This Row],[In Stock Date]]-Main[[#This Row],[Revised Due Date]],"")</f>
        <v/>
      </c>
      <c r="I1268" s="72" t="s">
        <v>4</v>
      </c>
      <c r="J1268" s="72" t="s">
        <v>4</v>
      </c>
      <c r="K1268" s="72" t="s">
        <v>4</v>
      </c>
      <c r="L1268" s="74"/>
      <c r="M1268" s="77" t="str">
        <f>IF(Main[[#This Row],[Tech Start Date]]&lt;1/1/1990,"",IF(Main[[#This Row],[Class]]="C",WORKDAY(Main[[#This Row],[Tech Start Date]],9),IF(Main[[#This Row],[Class]]="B", WORKDAY(Main[[#This Row],[Tech Start Date]],6),IF(Main[[#This Row],[Class]]="A",WORKDAY(Main[[#This Row],[Tech Start Date]],2),""))))</f>
        <v/>
      </c>
      <c r="N1268" s="77" t="str">
        <f>IF(Main[[#This Row],[Tech Start Date]]&lt;1/1/1990,"",IF(Main[[#This Row],[Class]]="C",WORKDAY(Main[[#This Row],[Tech Start Date]],19),IF(Main[[#This Row],[Class]]="B", WORKDAY(Main[[#This Row],[Tech Start Date]],12),IF(Main[[#This Row],[Class]]="A",WORKDAY(Main[[#This Row],[Tech Start Date]],4),""))))</f>
        <v/>
      </c>
      <c r="O1268" s="77" t="str">
        <f>IF(Main[[#This Row],[Tech Start Date]]&lt;1/1/1990,"",IF(Main[[#This Row],[Class]]="C",WORKDAY(Main[[#This Row],[Tech Start Date]],23),IF(Main[[#This Row],[Class]]="B", WORKDAY(Main[[#This Row],[Tech Start Date]],15),IF(Main[[#This Row],[Class]]="A",WORKDAY(Main[[#This Row],[Tech Start Date]],5),""))))</f>
        <v/>
      </c>
      <c r="P1268" s="77" t="str">
        <f>IF(Main[[#This Row],[Tech Start Date]]&lt;1/1/1990,"",IF(Main[[#This Row],[Class]]="C",WORKDAY(Main[[#This Row],[Tech Start Date]],28),IF(Main[[#This Row],[Class]]="B", WORKDAY(Main[[#This Row],[Tech Start Date]],19),IF(Main[[#This Row],[Class]]="A",WORKDAY(Main[[#This Row],[Tech Start Date]],9),""))))</f>
        <v/>
      </c>
      <c r="Q1268" s="74">
        <v>40964</v>
      </c>
      <c r="R1268" s="74"/>
      <c r="S1268" s="72" t="s">
        <v>6</v>
      </c>
      <c r="T1268" s="80" t="s">
        <v>4</v>
      </c>
      <c r="U1268" s="72" t="s">
        <v>7</v>
      </c>
      <c r="V1268" s="72" t="s">
        <v>2312</v>
      </c>
      <c r="W1268" s="72" t="s">
        <v>4</v>
      </c>
      <c r="X1268" s="72" t="s">
        <v>2949</v>
      </c>
      <c r="Y1268" s="72" t="s">
        <v>3097</v>
      </c>
      <c r="Z1268" s="72" t="s">
        <v>4</v>
      </c>
      <c r="AA1268" s="147" t="s">
        <v>2949</v>
      </c>
    </row>
    <row r="1269" spans="1:27" ht="18.600000000000001" customHeight="1">
      <c r="A1269" s="140" t="str">
        <f>IF(priority(Main[[#This Row],[Comments]])&lt;&gt;0, priority(Main[[#This Row],[Comments]]),"")</f>
        <v/>
      </c>
      <c r="B1269" s="90" t="s">
        <v>3688</v>
      </c>
      <c r="C1269" s="72" t="s">
        <v>4</v>
      </c>
      <c r="D1269" s="73" t="s">
        <v>3689</v>
      </c>
      <c r="E1269" s="74">
        <v>40941.350555555553</v>
      </c>
      <c r="F1269" s="74"/>
      <c r="G1269" s="75" t="str">
        <f>IF(stdProdLT(Main[[#This Row],[Comments]])=0.1,"N/A",IF(stdProdLT(Main[[#This Row],[Comments]])=0,"",stdProdLT(Main[[#This Row],[Comments]])))</f>
        <v/>
      </c>
      <c r="H1269" s="76" t="str">
        <f>IF(AND(Main[[#This Row],[In Stock Date]]&lt;&gt;"",Main[[#This Row],[Revised Due Date]]&lt;&gt;""),Main[[#This Row],[In Stock Date]]-Main[[#This Row],[Revised Due Date]],"")</f>
        <v/>
      </c>
      <c r="I1269" s="72" t="s">
        <v>4</v>
      </c>
      <c r="J1269" s="72" t="s">
        <v>4</v>
      </c>
      <c r="K1269" s="72" t="s">
        <v>4</v>
      </c>
      <c r="L1269" s="74"/>
      <c r="M1269" s="77" t="str">
        <f>IF(Main[[#This Row],[Tech Start Date]]&lt;1/1/1990,"",IF(Main[[#This Row],[Class]]="C",WORKDAY(Main[[#This Row],[Tech Start Date]],9),IF(Main[[#This Row],[Class]]="B", WORKDAY(Main[[#This Row],[Tech Start Date]],6),IF(Main[[#This Row],[Class]]="A",WORKDAY(Main[[#This Row],[Tech Start Date]],2),""))))</f>
        <v/>
      </c>
      <c r="N1269" s="77" t="str">
        <f>IF(Main[[#This Row],[Tech Start Date]]&lt;1/1/1990,"",IF(Main[[#This Row],[Class]]="C",WORKDAY(Main[[#This Row],[Tech Start Date]],19),IF(Main[[#This Row],[Class]]="B", WORKDAY(Main[[#This Row],[Tech Start Date]],12),IF(Main[[#This Row],[Class]]="A",WORKDAY(Main[[#This Row],[Tech Start Date]],4),""))))</f>
        <v/>
      </c>
      <c r="O1269" s="77" t="str">
        <f>IF(Main[[#This Row],[Tech Start Date]]&lt;1/1/1990,"",IF(Main[[#This Row],[Class]]="C",WORKDAY(Main[[#This Row],[Tech Start Date]],23),IF(Main[[#This Row],[Class]]="B", WORKDAY(Main[[#This Row],[Tech Start Date]],15),IF(Main[[#This Row],[Class]]="A",WORKDAY(Main[[#This Row],[Tech Start Date]],5),""))))</f>
        <v/>
      </c>
      <c r="P1269" s="77" t="str">
        <f>IF(Main[[#This Row],[Tech Start Date]]&lt;1/1/1990,"",IF(Main[[#This Row],[Class]]="C",WORKDAY(Main[[#This Row],[Tech Start Date]],28),IF(Main[[#This Row],[Class]]="B", WORKDAY(Main[[#This Row],[Tech Start Date]],19),IF(Main[[#This Row],[Class]]="A",WORKDAY(Main[[#This Row],[Tech Start Date]],9),""))))</f>
        <v/>
      </c>
      <c r="Q1269" s="74"/>
      <c r="R1269" s="74"/>
      <c r="S1269" s="72" t="s">
        <v>6</v>
      </c>
      <c r="T1269" s="80" t="s">
        <v>4</v>
      </c>
      <c r="U1269" s="72" t="s">
        <v>7</v>
      </c>
      <c r="V1269" s="72" t="s">
        <v>1935</v>
      </c>
      <c r="W1269" s="72" t="s">
        <v>4</v>
      </c>
      <c r="X1269" s="72" t="s">
        <v>2906</v>
      </c>
      <c r="Y1269" s="72" t="s">
        <v>3025</v>
      </c>
      <c r="Z1269" s="72" t="s">
        <v>4</v>
      </c>
      <c r="AA1269" s="147" t="s">
        <v>2906</v>
      </c>
    </row>
    <row r="1270" spans="1:27" ht="18.600000000000001" customHeight="1">
      <c r="A1270" s="140" t="str">
        <f>IF(priority(Main[[#This Row],[Comments]])&lt;&gt;0, priority(Main[[#This Row],[Comments]]),"")</f>
        <v/>
      </c>
      <c r="B1270" s="90" t="s">
        <v>2855</v>
      </c>
      <c r="C1270" s="72" t="s">
        <v>2776</v>
      </c>
      <c r="D1270" s="73" t="s">
        <v>2856</v>
      </c>
      <c r="E1270" s="74">
        <v>40939.439340277779</v>
      </c>
      <c r="F1270" s="74"/>
      <c r="G1270" s="75" t="str">
        <f>IF(stdProdLT(Main[[#This Row],[Comments]])=0.1,"N/A",IF(stdProdLT(Main[[#This Row],[Comments]])=0,"",stdProdLT(Main[[#This Row],[Comments]])))</f>
        <v/>
      </c>
      <c r="H1270" s="76" t="str">
        <f>IF(AND(Main[[#This Row],[In Stock Date]]&lt;&gt;"",Main[[#This Row],[Revised Due Date]]&lt;&gt;""),Main[[#This Row],[In Stock Date]]-Main[[#This Row],[Revised Due Date]],"")</f>
        <v/>
      </c>
      <c r="I1270" s="72" t="s">
        <v>4</v>
      </c>
      <c r="J1270" s="72" t="s">
        <v>4</v>
      </c>
      <c r="K1270" s="72" t="s">
        <v>4</v>
      </c>
      <c r="L1270" s="74"/>
      <c r="M1270" s="77" t="str">
        <f>IF(Main[[#This Row],[Tech Start Date]]&lt;1/1/1990,"",IF(Main[[#This Row],[Class]]="C",WORKDAY(Main[[#This Row],[Tech Start Date]],9),IF(Main[[#This Row],[Class]]="B", WORKDAY(Main[[#This Row],[Tech Start Date]],6),IF(Main[[#This Row],[Class]]="A",WORKDAY(Main[[#This Row],[Tech Start Date]],2),""))))</f>
        <v/>
      </c>
      <c r="N1270" s="77" t="str">
        <f>IF(Main[[#This Row],[Tech Start Date]]&lt;1/1/1990,"",IF(Main[[#This Row],[Class]]="C",WORKDAY(Main[[#This Row],[Tech Start Date]],19),IF(Main[[#This Row],[Class]]="B", WORKDAY(Main[[#This Row],[Tech Start Date]],12),IF(Main[[#This Row],[Class]]="A",WORKDAY(Main[[#This Row],[Tech Start Date]],4),""))))</f>
        <v/>
      </c>
      <c r="O1270" s="77" t="str">
        <f>IF(Main[[#This Row],[Tech Start Date]]&lt;1/1/1990,"",IF(Main[[#This Row],[Class]]="C",WORKDAY(Main[[#This Row],[Tech Start Date]],23),IF(Main[[#This Row],[Class]]="B", WORKDAY(Main[[#This Row],[Tech Start Date]],15),IF(Main[[#This Row],[Class]]="A",WORKDAY(Main[[#This Row],[Tech Start Date]],5),""))))</f>
        <v/>
      </c>
      <c r="P1270" s="77" t="str">
        <f>IF(Main[[#This Row],[Tech Start Date]]&lt;1/1/1990,"",IF(Main[[#This Row],[Class]]="C",WORKDAY(Main[[#This Row],[Tech Start Date]],28),IF(Main[[#This Row],[Class]]="B", WORKDAY(Main[[#This Row],[Tech Start Date]],19),IF(Main[[#This Row],[Class]]="A",WORKDAY(Main[[#This Row],[Tech Start Date]],9),""))))</f>
        <v/>
      </c>
      <c r="Q1270" s="74"/>
      <c r="R1270" s="74"/>
      <c r="S1270" s="72" t="s">
        <v>11</v>
      </c>
      <c r="T1270" s="80" t="s">
        <v>4</v>
      </c>
      <c r="U1270" s="72" t="s">
        <v>7</v>
      </c>
      <c r="V1270" s="72" t="s">
        <v>1935</v>
      </c>
      <c r="W1270" s="72" t="s">
        <v>1937</v>
      </c>
      <c r="X1270" s="72" t="s">
        <v>2977</v>
      </c>
      <c r="Y1270" s="72" t="s">
        <v>3142</v>
      </c>
      <c r="Z1270" s="72" t="s">
        <v>4</v>
      </c>
      <c r="AA1270" s="147" t="s">
        <v>2977</v>
      </c>
    </row>
    <row r="1271" spans="1:27" ht="18.600000000000001" customHeight="1">
      <c r="A1271" s="140" t="str">
        <f>IF(priority(Main[[#This Row],[Comments]])&lt;&gt;0, priority(Main[[#This Row],[Comments]]),"")</f>
        <v/>
      </c>
      <c r="B1271" s="90" t="s">
        <v>2784</v>
      </c>
      <c r="C1271" s="72" t="s">
        <v>4</v>
      </c>
      <c r="D1271" s="73" t="s">
        <v>2785</v>
      </c>
      <c r="E1271" s="74"/>
      <c r="F1271" s="74"/>
      <c r="G1271" s="75" t="str">
        <f>IF(stdProdLT(Main[[#This Row],[Comments]])=0.1,"N/A",IF(stdProdLT(Main[[#This Row],[Comments]])=0,"",stdProdLT(Main[[#This Row],[Comments]])))</f>
        <v/>
      </c>
      <c r="H1271" s="76" t="str">
        <f>IF(AND(Main[[#This Row],[In Stock Date]]&lt;&gt;"",Main[[#This Row],[Revised Due Date]]&lt;&gt;""),Main[[#This Row],[In Stock Date]]-Main[[#This Row],[Revised Due Date]],"")</f>
        <v/>
      </c>
      <c r="I1271" s="72" t="s">
        <v>4</v>
      </c>
      <c r="J1271" s="72" t="s">
        <v>4</v>
      </c>
      <c r="K1271" s="72" t="s">
        <v>4</v>
      </c>
      <c r="L1271" s="74"/>
      <c r="M1271" s="77" t="str">
        <f>IF(Main[[#This Row],[Tech Start Date]]&lt;1/1/1990,"",IF(Main[[#This Row],[Class]]="C",WORKDAY(Main[[#This Row],[Tech Start Date]],9),IF(Main[[#This Row],[Class]]="B", WORKDAY(Main[[#This Row],[Tech Start Date]],6),IF(Main[[#This Row],[Class]]="A",WORKDAY(Main[[#This Row],[Tech Start Date]],2),""))))</f>
        <v/>
      </c>
      <c r="N1271" s="77" t="str">
        <f>IF(Main[[#This Row],[Tech Start Date]]&lt;1/1/1990,"",IF(Main[[#This Row],[Class]]="C",WORKDAY(Main[[#This Row],[Tech Start Date]],19),IF(Main[[#This Row],[Class]]="B", WORKDAY(Main[[#This Row],[Tech Start Date]],12),IF(Main[[#This Row],[Class]]="A",WORKDAY(Main[[#This Row],[Tech Start Date]],4),""))))</f>
        <v/>
      </c>
      <c r="O1271" s="77" t="str">
        <f>IF(Main[[#This Row],[Tech Start Date]]&lt;1/1/1990,"",IF(Main[[#This Row],[Class]]="C",WORKDAY(Main[[#This Row],[Tech Start Date]],23),IF(Main[[#This Row],[Class]]="B", WORKDAY(Main[[#This Row],[Tech Start Date]],15),IF(Main[[#This Row],[Class]]="A",WORKDAY(Main[[#This Row],[Tech Start Date]],5),""))))</f>
        <v/>
      </c>
      <c r="P1271" s="77" t="str">
        <f>IF(Main[[#This Row],[Tech Start Date]]&lt;1/1/1990,"",IF(Main[[#This Row],[Class]]="C",WORKDAY(Main[[#This Row],[Tech Start Date]],28),IF(Main[[#This Row],[Class]]="B", WORKDAY(Main[[#This Row],[Tech Start Date]],19),IF(Main[[#This Row],[Class]]="A",WORKDAY(Main[[#This Row],[Tech Start Date]],9),""))))</f>
        <v/>
      </c>
      <c r="Q1271" s="74"/>
      <c r="R1271" s="74"/>
      <c r="S1271" s="72" t="s">
        <v>6</v>
      </c>
      <c r="T1271" s="80" t="s">
        <v>4</v>
      </c>
      <c r="U1271" s="72" t="s">
        <v>14</v>
      </c>
      <c r="V1271" s="72" t="s">
        <v>1932</v>
      </c>
      <c r="W1271" s="72" t="s">
        <v>1936</v>
      </c>
      <c r="X1271" s="72" t="s">
        <v>2986</v>
      </c>
      <c r="Y1271" s="72" t="s">
        <v>3168</v>
      </c>
      <c r="Z1271" s="72" t="s">
        <v>4</v>
      </c>
      <c r="AA1271" s="147" t="s">
        <v>2986</v>
      </c>
    </row>
    <row r="1272" spans="1:27" ht="18.600000000000001" customHeight="1">
      <c r="A1272" s="140" t="str">
        <f>IF(priority(Main[[#This Row],[Comments]])&lt;&gt;0, priority(Main[[#This Row],[Comments]]),"")</f>
        <v/>
      </c>
      <c r="B1272" s="90" t="s">
        <v>2857</v>
      </c>
      <c r="C1272" s="72" t="s">
        <v>4</v>
      </c>
      <c r="D1272" s="73" t="s">
        <v>2858</v>
      </c>
      <c r="E1272" s="74">
        <v>40913.323819444442</v>
      </c>
      <c r="F1272" s="74"/>
      <c r="G1272" s="75" t="str">
        <f>IF(stdProdLT(Main[[#This Row],[Comments]])=0.1,"N/A",IF(stdProdLT(Main[[#This Row],[Comments]])=0,"",stdProdLT(Main[[#This Row],[Comments]])))</f>
        <v/>
      </c>
      <c r="H1272" s="76" t="str">
        <f>IF(AND(Main[[#This Row],[In Stock Date]]&lt;&gt;"",Main[[#This Row],[Revised Due Date]]&lt;&gt;""),Main[[#This Row],[In Stock Date]]-Main[[#This Row],[Revised Due Date]],"")</f>
        <v/>
      </c>
      <c r="I1272" s="72" t="s">
        <v>4</v>
      </c>
      <c r="J1272" s="72" t="s">
        <v>4</v>
      </c>
      <c r="K1272" s="72" t="s">
        <v>4</v>
      </c>
      <c r="L1272" s="74"/>
      <c r="M1272" s="77" t="str">
        <f>IF(Main[[#This Row],[Tech Start Date]]&lt;1/1/1990,"",IF(Main[[#This Row],[Class]]="C",WORKDAY(Main[[#This Row],[Tech Start Date]],9),IF(Main[[#This Row],[Class]]="B", WORKDAY(Main[[#This Row],[Tech Start Date]],6),IF(Main[[#This Row],[Class]]="A",WORKDAY(Main[[#This Row],[Tech Start Date]],2),""))))</f>
        <v/>
      </c>
      <c r="N1272" s="77" t="str">
        <f>IF(Main[[#This Row],[Tech Start Date]]&lt;1/1/1990,"",IF(Main[[#This Row],[Class]]="C",WORKDAY(Main[[#This Row],[Tech Start Date]],19),IF(Main[[#This Row],[Class]]="B", WORKDAY(Main[[#This Row],[Tech Start Date]],12),IF(Main[[#This Row],[Class]]="A",WORKDAY(Main[[#This Row],[Tech Start Date]],4),""))))</f>
        <v/>
      </c>
      <c r="O1272" s="77" t="str">
        <f>IF(Main[[#This Row],[Tech Start Date]]&lt;1/1/1990,"",IF(Main[[#This Row],[Class]]="C",WORKDAY(Main[[#This Row],[Tech Start Date]],23),IF(Main[[#This Row],[Class]]="B", WORKDAY(Main[[#This Row],[Tech Start Date]],15),IF(Main[[#This Row],[Class]]="A",WORKDAY(Main[[#This Row],[Tech Start Date]],5),""))))</f>
        <v/>
      </c>
      <c r="P1272" s="77" t="str">
        <f>IF(Main[[#This Row],[Tech Start Date]]&lt;1/1/1990,"",IF(Main[[#This Row],[Class]]="C",WORKDAY(Main[[#This Row],[Tech Start Date]],28),IF(Main[[#This Row],[Class]]="B", WORKDAY(Main[[#This Row],[Tech Start Date]],19),IF(Main[[#This Row],[Class]]="A",WORKDAY(Main[[#This Row],[Tech Start Date]],9),""))))</f>
        <v/>
      </c>
      <c r="Q1272" s="74">
        <v>40945</v>
      </c>
      <c r="R1272" s="74"/>
      <c r="S1272" s="72" t="s">
        <v>6</v>
      </c>
      <c r="T1272" s="80" t="s">
        <v>4</v>
      </c>
      <c r="U1272" s="72" t="s">
        <v>7</v>
      </c>
      <c r="V1272" s="72" t="s">
        <v>1932</v>
      </c>
      <c r="W1272" s="72" t="s">
        <v>4</v>
      </c>
      <c r="X1272" s="72" t="s">
        <v>2903</v>
      </c>
      <c r="Y1272" s="72" t="s">
        <v>3019</v>
      </c>
      <c r="Z1272" s="72" t="s">
        <v>4</v>
      </c>
      <c r="AA1272" s="147" t="s">
        <v>2903</v>
      </c>
    </row>
    <row r="1273" spans="1:27" ht="18.600000000000001" customHeight="1">
      <c r="A1273" s="140" t="str">
        <f>IF(priority(Main[[#This Row],[Comments]])&lt;&gt;0, priority(Main[[#This Row],[Comments]]),"")</f>
        <v/>
      </c>
      <c r="B1273" s="90" t="s">
        <v>3552</v>
      </c>
      <c r="C1273" s="72" t="s">
        <v>4</v>
      </c>
      <c r="D1273" s="73" t="s">
        <v>3553</v>
      </c>
      <c r="E1273" s="74">
        <v>40940.228032407409</v>
      </c>
      <c r="F1273" s="74"/>
      <c r="G1273" s="75" t="str">
        <f>IF(stdProdLT(Main[[#This Row],[Comments]])=0.1,"N/A",IF(stdProdLT(Main[[#This Row],[Comments]])=0,"",stdProdLT(Main[[#This Row],[Comments]])))</f>
        <v/>
      </c>
      <c r="H1273" s="76" t="str">
        <f>IF(AND(Main[[#This Row],[In Stock Date]]&lt;&gt;"",Main[[#This Row],[Revised Due Date]]&lt;&gt;""),Main[[#This Row],[In Stock Date]]-Main[[#This Row],[Revised Due Date]],"")</f>
        <v/>
      </c>
      <c r="I1273" s="72" t="s">
        <v>4</v>
      </c>
      <c r="J1273" s="72" t="s">
        <v>4</v>
      </c>
      <c r="K1273" s="72" t="s">
        <v>4</v>
      </c>
      <c r="L1273" s="74"/>
      <c r="M1273" s="77" t="str">
        <f>IF(Main[[#This Row],[Tech Start Date]]&lt;1/1/1990,"",IF(Main[[#This Row],[Class]]="C",WORKDAY(Main[[#This Row],[Tech Start Date]],9),IF(Main[[#This Row],[Class]]="B", WORKDAY(Main[[#This Row],[Tech Start Date]],6),IF(Main[[#This Row],[Class]]="A",WORKDAY(Main[[#This Row],[Tech Start Date]],2),""))))</f>
        <v/>
      </c>
      <c r="N1273" s="77" t="str">
        <f>IF(Main[[#This Row],[Tech Start Date]]&lt;1/1/1990,"",IF(Main[[#This Row],[Class]]="C",WORKDAY(Main[[#This Row],[Tech Start Date]],19),IF(Main[[#This Row],[Class]]="B", WORKDAY(Main[[#This Row],[Tech Start Date]],12),IF(Main[[#This Row],[Class]]="A",WORKDAY(Main[[#This Row],[Tech Start Date]],4),""))))</f>
        <v/>
      </c>
      <c r="O1273" s="77" t="str">
        <f>IF(Main[[#This Row],[Tech Start Date]]&lt;1/1/1990,"",IF(Main[[#This Row],[Class]]="C",WORKDAY(Main[[#This Row],[Tech Start Date]],23),IF(Main[[#This Row],[Class]]="B", WORKDAY(Main[[#This Row],[Tech Start Date]],15),IF(Main[[#This Row],[Class]]="A",WORKDAY(Main[[#This Row],[Tech Start Date]],5),""))))</f>
        <v/>
      </c>
      <c r="P1273" s="77" t="str">
        <f>IF(Main[[#This Row],[Tech Start Date]]&lt;1/1/1990,"",IF(Main[[#This Row],[Class]]="C",WORKDAY(Main[[#This Row],[Tech Start Date]],28),IF(Main[[#This Row],[Class]]="B", WORKDAY(Main[[#This Row],[Tech Start Date]],19),IF(Main[[#This Row],[Class]]="A",WORKDAY(Main[[#This Row],[Tech Start Date]],9),""))))</f>
        <v/>
      </c>
      <c r="Q1273" s="74">
        <v>40969</v>
      </c>
      <c r="R1273" s="74"/>
      <c r="S1273" s="72" t="s">
        <v>6</v>
      </c>
      <c r="T1273" s="80" t="s">
        <v>4</v>
      </c>
      <c r="U1273" s="72" t="s">
        <v>7</v>
      </c>
      <c r="V1273" s="72" t="s">
        <v>1935</v>
      </c>
      <c r="W1273" s="72" t="s">
        <v>4</v>
      </c>
      <c r="X1273" s="72" t="s">
        <v>2906</v>
      </c>
      <c r="Y1273" s="72" t="s">
        <v>3025</v>
      </c>
      <c r="Z1273" s="72" t="s">
        <v>4</v>
      </c>
      <c r="AA1273" s="147" t="s">
        <v>2906</v>
      </c>
    </row>
    <row r="1274" spans="1:27" ht="18.600000000000001" customHeight="1">
      <c r="A1274" s="140" t="str">
        <f>IF(priority(Main[[#This Row],[Comments]])&lt;&gt;0, priority(Main[[#This Row],[Comments]]),"")</f>
        <v/>
      </c>
      <c r="B1274" s="90" t="s">
        <v>3802</v>
      </c>
      <c r="C1274" s="72" t="s">
        <v>4</v>
      </c>
      <c r="D1274" s="73" t="s">
        <v>3803</v>
      </c>
      <c r="E1274" s="74">
        <v>40949.616782407407</v>
      </c>
      <c r="F1274" s="74"/>
      <c r="G1274" s="75" t="str">
        <f>IF(stdProdLT(Main[[#This Row],[Comments]])=0.1,"N/A",IF(stdProdLT(Main[[#This Row],[Comments]])=0,"",stdProdLT(Main[[#This Row],[Comments]])))</f>
        <v/>
      </c>
      <c r="H1274" s="76" t="str">
        <f>IF(AND(Main[[#This Row],[In Stock Date]]&lt;&gt;"",Main[[#This Row],[Revised Due Date]]&lt;&gt;""),Main[[#This Row],[In Stock Date]]-Main[[#This Row],[Revised Due Date]],"")</f>
        <v/>
      </c>
      <c r="I1274" s="72" t="s">
        <v>4</v>
      </c>
      <c r="J1274" s="72" t="s">
        <v>4</v>
      </c>
      <c r="K1274" s="72" t="s">
        <v>4</v>
      </c>
      <c r="L1274" s="74"/>
      <c r="M1274" s="77" t="str">
        <f>IF(Main[[#This Row],[Tech Start Date]]&lt;1/1/1990,"",IF(Main[[#This Row],[Class]]="C",WORKDAY(Main[[#This Row],[Tech Start Date]],9),IF(Main[[#This Row],[Class]]="B", WORKDAY(Main[[#This Row],[Tech Start Date]],6),IF(Main[[#This Row],[Class]]="A",WORKDAY(Main[[#This Row],[Tech Start Date]],2),""))))</f>
        <v/>
      </c>
      <c r="N1274" s="77" t="str">
        <f>IF(Main[[#This Row],[Tech Start Date]]&lt;1/1/1990,"",IF(Main[[#This Row],[Class]]="C",WORKDAY(Main[[#This Row],[Tech Start Date]],19),IF(Main[[#This Row],[Class]]="B", WORKDAY(Main[[#This Row],[Tech Start Date]],12),IF(Main[[#This Row],[Class]]="A",WORKDAY(Main[[#This Row],[Tech Start Date]],4),""))))</f>
        <v/>
      </c>
      <c r="O1274" s="77" t="str">
        <f>IF(Main[[#This Row],[Tech Start Date]]&lt;1/1/1990,"",IF(Main[[#This Row],[Class]]="C",WORKDAY(Main[[#This Row],[Tech Start Date]],23),IF(Main[[#This Row],[Class]]="B", WORKDAY(Main[[#This Row],[Tech Start Date]],15),IF(Main[[#This Row],[Class]]="A",WORKDAY(Main[[#This Row],[Tech Start Date]],5),""))))</f>
        <v/>
      </c>
      <c r="P1274" s="77" t="str">
        <f>IF(Main[[#This Row],[Tech Start Date]]&lt;1/1/1990,"",IF(Main[[#This Row],[Class]]="C",WORKDAY(Main[[#This Row],[Tech Start Date]],28),IF(Main[[#This Row],[Class]]="B", WORKDAY(Main[[#This Row],[Tech Start Date]],19),IF(Main[[#This Row],[Class]]="A",WORKDAY(Main[[#This Row],[Tech Start Date]],9),""))))</f>
        <v/>
      </c>
      <c r="Q1274" s="74"/>
      <c r="R1274" s="74"/>
      <c r="S1274" s="72" t="s">
        <v>11</v>
      </c>
      <c r="T1274" s="82" t="s">
        <v>4</v>
      </c>
      <c r="U1274" s="72" t="s">
        <v>7</v>
      </c>
      <c r="V1274" s="72" t="s">
        <v>1932</v>
      </c>
      <c r="W1274" s="72" t="s">
        <v>1940</v>
      </c>
      <c r="X1274" s="72" t="s">
        <v>3660</v>
      </c>
      <c r="Y1274" s="72" t="s">
        <v>3686</v>
      </c>
      <c r="Z1274" s="72" t="s">
        <v>4</v>
      </c>
      <c r="AA1274" s="147" t="s">
        <v>3660</v>
      </c>
    </row>
    <row r="1275" spans="1:27" ht="18.600000000000001" customHeight="1">
      <c r="A1275" s="140" t="str">
        <f>IF(priority(Main[[#This Row],[Comments]])&lt;&gt;0, priority(Main[[#This Row],[Comments]]),"")</f>
        <v/>
      </c>
      <c r="B1275" s="90" t="s">
        <v>2343</v>
      </c>
      <c r="C1275" s="72" t="s">
        <v>2331</v>
      </c>
      <c r="D1275" s="73" t="s">
        <v>2332</v>
      </c>
      <c r="E1275" s="74"/>
      <c r="F1275" s="74">
        <v>40544</v>
      </c>
      <c r="G1275" s="75" t="str">
        <f>IF(stdProdLT(Main[[#This Row],[Comments]])=0.1,"N/A",IF(stdProdLT(Main[[#This Row],[Comments]])=0,"",stdProdLT(Main[[#This Row],[Comments]])))</f>
        <v/>
      </c>
      <c r="H1275" s="76" t="str">
        <f>IF(AND(Main[[#This Row],[In Stock Date]]&lt;&gt;"",Main[[#This Row],[Revised Due Date]]&lt;&gt;""),Main[[#This Row],[In Stock Date]]-Main[[#This Row],[Revised Due Date]],"")</f>
        <v/>
      </c>
      <c r="I1275" s="72" t="s">
        <v>4</v>
      </c>
      <c r="J1275" s="72" t="s">
        <v>4</v>
      </c>
      <c r="K1275" s="72" t="s">
        <v>4</v>
      </c>
      <c r="L1275" s="74"/>
      <c r="M1275" s="77" t="str">
        <f>IF(Main[[#This Row],[Tech Start Date]]&lt;1/1/1990,"",IF(Main[[#This Row],[Class]]="C",WORKDAY(Main[[#This Row],[Tech Start Date]],9),IF(Main[[#This Row],[Class]]="B", WORKDAY(Main[[#This Row],[Tech Start Date]],6),IF(Main[[#This Row],[Class]]="A",WORKDAY(Main[[#This Row],[Tech Start Date]],2),""))))</f>
        <v/>
      </c>
      <c r="N1275" s="77" t="str">
        <f>IF(Main[[#This Row],[Tech Start Date]]&lt;1/1/1990,"",IF(Main[[#This Row],[Class]]="C",WORKDAY(Main[[#This Row],[Tech Start Date]],19),IF(Main[[#This Row],[Class]]="B", WORKDAY(Main[[#This Row],[Tech Start Date]],12),IF(Main[[#This Row],[Class]]="A",WORKDAY(Main[[#This Row],[Tech Start Date]],4),""))))</f>
        <v/>
      </c>
      <c r="O1275" s="77" t="str">
        <f>IF(Main[[#This Row],[Tech Start Date]]&lt;1/1/1990,"",IF(Main[[#This Row],[Class]]="C",WORKDAY(Main[[#This Row],[Tech Start Date]],23),IF(Main[[#This Row],[Class]]="B", WORKDAY(Main[[#This Row],[Tech Start Date]],15),IF(Main[[#This Row],[Class]]="A",WORKDAY(Main[[#This Row],[Tech Start Date]],5),""))))</f>
        <v/>
      </c>
      <c r="P1275" s="77" t="str">
        <f>IF(Main[[#This Row],[Tech Start Date]]&lt;1/1/1990,"",IF(Main[[#This Row],[Class]]="C",WORKDAY(Main[[#This Row],[Tech Start Date]],28),IF(Main[[#This Row],[Class]]="B", WORKDAY(Main[[#This Row],[Tech Start Date]],19),IF(Main[[#This Row],[Class]]="A",WORKDAY(Main[[#This Row],[Tech Start Date]],9),""))))</f>
        <v/>
      </c>
      <c r="Q1275" s="74"/>
      <c r="R1275" s="74"/>
      <c r="S1275" s="72" t="s">
        <v>11</v>
      </c>
      <c r="T1275" s="80" t="s">
        <v>4</v>
      </c>
      <c r="U1275" s="72" t="s">
        <v>12</v>
      </c>
      <c r="V1275" s="72" t="s">
        <v>1935</v>
      </c>
      <c r="W1275" s="72" t="s">
        <v>1940</v>
      </c>
      <c r="X1275" s="72" t="s">
        <v>2996</v>
      </c>
      <c r="Y1275" s="72" t="s">
        <v>3224</v>
      </c>
      <c r="Z1275" s="72" t="s">
        <v>4</v>
      </c>
      <c r="AA1275" s="147" t="s">
        <v>3654</v>
      </c>
    </row>
    <row r="1276" spans="1:27" ht="18.600000000000001" customHeight="1">
      <c r="A1276" s="140" t="str">
        <f>IF(priority(Main[[#This Row],[Comments]])&lt;&gt;0, priority(Main[[#This Row],[Comments]]),"")</f>
        <v/>
      </c>
      <c r="B1276" s="90" t="s">
        <v>2495</v>
      </c>
      <c r="C1276" s="72" t="s">
        <v>4</v>
      </c>
      <c r="D1276" s="73" t="s">
        <v>2496</v>
      </c>
      <c r="E1276" s="74">
        <v>40855.432083333333</v>
      </c>
      <c r="F1276" s="74">
        <v>40877</v>
      </c>
      <c r="G1276" s="75" t="str">
        <f>IF(stdProdLT(Main[[#This Row],[Comments]])=0.1,"N/A",IF(stdProdLT(Main[[#This Row],[Comments]])=0,"",stdProdLT(Main[[#This Row],[Comments]])))</f>
        <v/>
      </c>
      <c r="H1276" s="76" t="str">
        <f>IF(AND(Main[[#This Row],[In Stock Date]]&lt;&gt;"",Main[[#This Row],[Revised Due Date]]&lt;&gt;""),Main[[#This Row],[In Stock Date]]-Main[[#This Row],[Revised Due Date]],"")</f>
        <v/>
      </c>
      <c r="I1276" s="72" t="s">
        <v>4</v>
      </c>
      <c r="J1276" s="72" t="s">
        <v>4</v>
      </c>
      <c r="K1276" s="81" t="s">
        <v>4</v>
      </c>
      <c r="L1276" s="74"/>
      <c r="M1276" s="77" t="str">
        <f>IF(Main[[#This Row],[Tech Start Date]]&lt;1/1/1990,"",IF(Main[[#This Row],[Class]]="C",WORKDAY(Main[[#This Row],[Tech Start Date]],9),IF(Main[[#This Row],[Class]]="B", WORKDAY(Main[[#This Row],[Tech Start Date]],6),IF(Main[[#This Row],[Class]]="A",WORKDAY(Main[[#This Row],[Tech Start Date]],2),""))))</f>
        <v/>
      </c>
      <c r="N1276" s="77" t="str">
        <f>IF(Main[[#This Row],[Tech Start Date]]&lt;1/1/1990,"",IF(Main[[#This Row],[Class]]="C",WORKDAY(Main[[#This Row],[Tech Start Date]],19),IF(Main[[#This Row],[Class]]="B", WORKDAY(Main[[#This Row],[Tech Start Date]],12),IF(Main[[#This Row],[Class]]="A",WORKDAY(Main[[#This Row],[Tech Start Date]],4),""))))</f>
        <v/>
      </c>
      <c r="O1276" s="77" t="str">
        <f>IF(Main[[#This Row],[Tech Start Date]]&lt;1/1/1990,"",IF(Main[[#This Row],[Class]]="C",WORKDAY(Main[[#This Row],[Tech Start Date]],23),IF(Main[[#This Row],[Class]]="B", WORKDAY(Main[[#This Row],[Tech Start Date]],15),IF(Main[[#This Row],[Class]]="A",WORKDAY(Main[[#This Row],[Tech Start Date]],5),""))))</f>
        <v/>
      </c>
      <c r="P1276" s="77" t="str">
        <f>IF(Main[[#This Row],[Tech Start Date]]&lt;1/1/1990,"",IF(Main[[#This Row],[Class]]="C",WORKDAY(Main[[#This Row],[Tech Start Date]],28),IF(Main[[#This Row],[Class]]="B", WORKDAY(Main[[#This Row],[Tech Start Date]],19),IF(Main[[#This Row],[Class]]="A",WORKDAY(Main[[#This Row],[Tech Start Date]],9),""))))</f>
        <v/>
      </c>
      <c r="Q1276" s="74">
        <v>40865</v>
      </c>
      <c r="R1276" s="74"/>
      <c r="S1276" s="72" t="s">
        <v>11</v>
      </c>
      <c r="T1276" s="80" t="s">
        <v>4</v>
      </c>
      <c r="U1276" s="72" t="s">
        <v>7</v>
      </c>
      <c r="V1276" s="72" t="s">
        <v>2312</v>
      </c>
      <c r="W1276" s="72" t="s">
        <v>1940</v>
      </c>
      <c r="X1276" s="72" t="s">
        <v>2997</v>
      </c>
      <c r="Y1276" s="72" t="s">
        <v>3225</v>
      </c>
      <c r="Z1276" s="72" t="s">
        <v>4</v>
      </c>
      <c r="AA1276" s="147" t="s">
        <v>3655</v>
      </c>
    </row>
    <row r="1277" spans="1:27" ht="18.600000000000001" customHeight="1">
      <c r="A1277" s="140" t="str">
        <f>IF(priority(Main[[#This Row],[Comments]])&lt;&gt;0, priority(Main[[#This Row],[Comments]]),"")</f>
        <v/>
      </c>
      <c r="B1277" s="90" t="s">
        <v>2522</v>
      </c>
      <c r="C1277" s="72" t="s">
        <v>4</v>
      </c>
      <c r="D1277" s="73" t="s">
        <v>2523</v>
      </c>
      <c r="E1277" s="74">
        <v>40864.625219907408</v>
      </c>
      <c r="F1277" s="74"/>
      <c r="G1277" s="75" t="str">
        <f>IF(stdProdLT(Main[[#This Row],[Comments]])=0.1,"N/A",IF(stdProdLT(Main[[#This Row],[Comments]])=0,"",stdProdLT(Main[[#This Row],[Comments]])))</f>
        <v/>
      </c>
      <c r="H1277" s="76" t="str">
        <f>IF(AND(Main[[#This Row],[In Stock Date]]&lt;&gt;"",Main[[#This Row],[Revised Due Date]]&lt;&gt;""),Main[[#This Row],[In Stock Date]]-Main[[#This Row],[Revised Due Date]],"")</f>
        <v/>
      </c>
      <c r="I1277" s="72" t="s">
        <v>4</v>
      </c>
      <c r="J1277" s="72" t="s">
        <v>4</v>
      </c>
      <c r="K1277" s="72" t="s">
        <v>4</v>
      </c>
      <c r="L1277" s="74"/>
      <c r="M1277" s="77" t="str">
        <f>IF(Main[[#This Row],[Tech Start Date]]&lt;1/1/1990,"",IF(Main[[#This Row],[Class]]="C",WORKDAY(Main[[#This Row],[Tech Start Date]],9),IF(Main[[#This Row],[Class]]="B", WORKDAY(Main[[#This Row],[Tech Start Date]],6),IF(Main[[#This Row],[Class]]="A",WORKDAY(Main[[#This Row],[Tech Start Date]],2),""))))</f>
        <v/>
      </c>
      <c r="N1277" s="77" t="str">
        <f>IF(Main[[#This Row],[Tech Start Date]]&lt;1/1/1990,"",IF(Main[[#This Row],[Class]]="C",WORKDAY(Main[[#This Row],[Tech Start Date]],19),IF(Main[[#This Row],[Class]]="B", WORKDAY(Main[[#This Row],[Tech Start Date]],12),IF(Main[[#This Row],[Class]]="A",WORKDAY(Main[[#This Row],[Tech Start Date]],4),""))))</f>
        <v/>
      </c>
      <c r="O1277" s="77" t="str">
        <f>IF(Main[[#This Row],[Tech Start Date]]&lt;1/1/1990,"",IF(Main[[#This Row],[Class]]="C",WORKDAY(Main[[#This Row],[Tech Start Date]],23),IF(Main[[#This Row],[Class]]="B", WORKDAY(Main[[#This Row],[Tech Start Date]],15),IF(Main[[#This Row],[Class]]="A",WORKDAY(Main[[#This Row],[Tech Start Date]],5),""))))</f>
        <v/>
      </c>
      <c r="P1277" s="77" t="str">
        <f>IF(Main[[#This Row],[Tech Start Date]]&lt;1/1/1990,"",IF(Main[[#This Row],[Class]]="C",WORKDAY(Main[[#This Row],[Tech Start Date]],28),IF(Main[[#This Row],[Class]]="B", WORKDAY(Main[[#This Row],[Tech Start Date]],19),IF(Main[[#This Row],[Class]]="A",WORKDAY(Main[[#This Row],[Tech Start Date]],9),""))))</f>
        <v/>
      </c>
      <c r="Q1277" s="74"/>
      <c r="R1277" s="74"/>
      <c r="S1277" s="72" t="s">
        <v>17</v>
      </c>
      <c r="T1277" s="80" t="s">
        <v>4</v>
      </c>
      <c r="U1277" s="72" t="s">
        <v>7</v>
      </c>
      <c r="V1277" s="72" t="s">
        <v>1933</v>
      </c>
      <c r="W1277" s="72" t="s">
        <v>1936</v>
      </c>
      <c r="X1277" s="72" t="s">
        <v>2950</v>
      </c>
      <c r="Y1277" s="72" t="s">
        <v>3087</v>
      </c>
      <c r="Z1277" s="72" t="s">
        <v>4</v>
      </c>
      <c r="AA1277" s="147" t="s">
        <v>2950</v>
      </c>
    </row>
    <row r="1278" spans="1:27" ht="18.600000000000001" customHeight="1">
      <c r="A1278" s="140" t="str">
        <f>IF(priority(Main[[#This Row],[Comments]])&lt;&gt;0, priority(Main[[#This Row],[Comments]]),"")</f>
        <v/>
      </c>
      <c r="B1278" s="90" t="s">
        <v>2260</v>
      </c>
      <c r="C1278" s="72" t="s">
        <v>4</v>
      </c>
      <c r="D1278" s="73" t="s">
        <v>2613</v>
      </c>
      <c r="E1278" s="74">
        <v>40798.47016203704</v>
      </c>
      <c r="F1278" s="74"/>
      <c r="G1278" s="75" t="str">
        <f>IF(stdProdLT(Main[[#This Row],[Comments]])=0.1,"N/A",IF(stdProdLT(Main[[#This Row],[Comments]])=0,"",stdProdLT(Main[[#This Row],[Comments]])))</f>
        <v/>
      </c>
      <c r="H1278" s="76" t="str">
        <f>IF(AND(Main[[#This Row],[In Stock Date]]&lt;&gt;"",Main[[#This Row],[Revised Due Date]]&lt;&gt;""),Main[[#This Row],[In Stock Date]]-Main[[#This Row],[Revised Due Date]],"")</f>
        <v/>
      </c>
      <c r="I1278" s="72" t="s">
        <v>131</v>
      </c>
      <c r="J1278" s="72" t="s">
        <v>28</v>
      </c>
      <c r="K1278" s="72" t="s">
        <v>1941</v>
      </c>
      <c r="L1278" s="74"/>
      <c r="M1278" s="77" t="str">
        <f>IF(Main[[#This Row],[Tech Start Date]]&lt;1/1/1990,"",IF(Main[[#This Row],[Class]]="C",WORKDAY(Main[[#This Row],[Tech Start Date]],9),IF(Main[[#This Row],[Class]]="B", WORKDAY(Main[[#This Row],[Tech Start Date]],6),IF(Main[[#This Row],[Class]]="A",WORKDAY(Main[[#This Row],[Tech Start Date]],2),""))))</f>
        <v/>
      </c>
      <c r="N1278" s="77" t="str">
        <f>IF(Main[[#This Row],[Tech Start Date]]&lt;1/1/1990,"",IF(Main[[#This Row],[Class]]="C",WORKDAY(Main[[#This Row],[Tech Start Date]],19),IF(Main[[#This Row],[Class]]="B", WORKDAY(Main[[#This Row],[Tech Start Date]],12),IF(Main[[#This Row],[Class]]="A",WORKDAY(Main[[#This Row],[Tech Start Date]],4),""))))</f>
        <v/>
      </c>
      <c r="O1278" s="77" t="str">
        <f>IF(Main[[#This Row],[Tech Start Date]]&lt;1/1/1990,"",IF(Main[[#This Row],[Class]]="C",WORKDAY(Main[[#This Row],[Tech Start Date]],23),IF(Main[[#This Row],[Class]]="B", WORKDAY(Main[[#This Row],[Tech Start Date]],15),IF(Main[[#This Row],[Class]]="A",WORKDAY(Main[[#This Row],[Tech Start Date]],5),""))))</f>
        <v/>
      </c>
      <c r="P1278" s="77" t="str">
        <f>IF(Main[[#This Row],[Tech Start Date]]&lt;1/1/1990,"",IF(Main[[#This Row],[Class]]="C",WORKDAY(Main[[#This Row],[Tech Start Date]],28),IF(Main[[#This Row],[Class]]="B", WORKDAY(Main[[#This Row],[Tech Start Date]],19),IF(Main[[#This Row],[Class]]="A",WORKDAY(Main[[#This Row],[Tech Start Date]],9),""))))</f>
        <v/>
      </c>
      <c r="Q1278" s="74">
        <v>40847</v>
      </c>
      <c r="R1278" s="74"/>
      <c r="S1278" s="72" t="s">
        <v>6</v>
      </c>
      <c r="T1278" s="80" t="s">
        <v>4</v>
      </c>
      <c r="U1278" s="72" t="s">
        <v>29</v>
      </c>
      <c r="V1278" s="72" t="s">
        <v>1935</v>
      </c>
      <c r="W1278" s="72" t="s">
        <v>1936</v>
      </c>
      <c r="X1278" s="72" t="s">
        <v>30</v>
      </c>
      <c r="Y1278" s="72" t="s">
        <v>3226</v>
      </c>
      <c r="Z1278" s="72" t="s">
        <v>30</v>
      </c>
      <c r="AA1278" s="147" t="s">
        <v>3656</v>
      </c>
    </row>
    <row r="1279" spans="1:27" ht="18.600000000000001" customHeight="1">
      <c r="A1279" s="140" t="str">
        <f>IF(priority(Main[[#This Row],[Comments]])&lt;&gt;0, priority(Main[[#This Row],[Comments]]),"")</f>
        <v/>
      </c>
      <c r="B1279" s="90" t="s">
        <v>1618</v>
      </c>
      <c r="C1279" s="72" t="s">
        <v>279</v>
      </c>
      <c r="D1279" s="73" t="s">
        <v>684</v>
      </c>
      <c r="E1279" s="74">
        <v>40500.611724537041</v>
      </c>
      <c r="F1279" s="74">
        <v>40444</v>
      </c>
      <c r="G1279" s="75" t="str">
        <f>IF(stdProdLT(Main[[#This Row],[Comments]])=0.1,"N/A",IF(stdProdLT(Main[[#This Row],[Comments]])=0,"",stdProdLT(Main[[#This Row],[Comments]])))</f>
        <v/>
      </c>
      <c r="H1279" s="76">
        <f>IF(AND(Main[[#This Row],[In Stock Date]]&lt;&gt;"",Main[[#This Row],[Revised Due Date]]&lt;&gt;""),Main[[#This Row],[In Stock Date]]-Main[[#This Row],[Revised Due Date]],"")</f>
        <v>-349</v>
      </c>
      <c r="I1279" s="72" t="s">
        <v>4</v>
      </c>
      <c r="J1279" s="72" t="s">
        <v>4</v>
      </c>
      <c r="K1279" s="72" t="s">
        <v>4</v>
      </c>
      <c r="L1279" s="74"/>
      <c r="M1279" s="77" t="str">
        <f>IF(Main[[#This Row],[Tech Start Date]]&lt;1/1/1990,"",IF(Main[[#This Row],[Class]]="C",WORKDAY(Main[[#This Row],[Tech Start Date]],9),IF(Main[[#This Row],[Class]]="B", WORKDAY(Main[[#This Row],[Tech Start Date]],6),IF(Main[[#This Row],[Class]]="A",WORKDAY(Main[[#This Row],[Tech Start Date]],2),""))))</f>
        <v/>
      </c>
      <c r="N1279" s="77" t="str">
        <f>IF(Main[[#This Row],[Tech Start Date]]&lt;1/1/1990,"",IF(Main[[#This Row],[Class]]="C",WORKDAY(Main[[#This Row],[Tech Start Date]],19),IF(Main[[#This Row],[Class]]="B", WORKDAY(Main[[#This Row],[Tech Start Date]],12),IF(Main[[#This Row],[Class]]="A",WORKDAY(Main[[#This Row],[Tech Start Date]],4),""))))</f>
        <v/>
      </c>
      <c r="O1279" s="77" t="str">
        <f>IF(Main[[#This Row],[Tech Start Date]]&lt;1/1/1990,"",IF(Main[[#This Row],[Class]]="C",WORKDAY(Main[[#This Row],[Tech Start Date]],23),IF(Main[[#This Row],[Class]]="B", WORKDAY(Main[[#This Row],[Tech Start Date]],15),IF(Main[[#This Row],[Class]]="A",WORKDAY(Main[[#This Row],[Tech Start Date]],5),""))))</f>
        <v/>
      </c>
      <c r="P1279" s="77" t="str">
        <f>IF(Main[[#This Row],[Tech Start Date]]&lt;1/1/1990,"",IF(Main[[#This Row],[Class]]="C",WORKDAY(Main[[#This Row],[Tech Start Date]],28),IF(Main[[#This Row],[Class]]="B", WORKDAY(Main[[#This Row],[Tech Start Date]],19),IF(Main[[#This Row],[Class]]="A",WORKDAY(Main[[#This Row],[Tech Start Date]],9),""))))</f>
        <v/>
      </c>
      <c r="Q1279" s="74">
        <v>40262</v>
      </c>
      <c r="R1279" s="74">
        <v>40793</v>
      </c>
      <c r="S1279" s="72" t="s">
        <v>17</v>
      </c>
      <c r="T1279" s="80" t="s">
        <v>4</v>
      </c>
      <c r="U1279" s="72" t="s">
        <v>29</v>
      </c>
      <c r="V1279" s="72" t="s">
        <v>1935</v>
      </c>
      <c r="W1279" s="72" t="s">
        <v>1937</v>
      </c>
      <c r="X1279" s="72" t="s">
        <v>310</v>
      </c>
      <c r="Y1279" s="72" t="s">
        <v>4</v>
      </c>
      <c r="Z1279" s="72" t="s">
        <v>4</v>
      </c>
      <c r="AA1279" s="147" t="s">
        <v>65</v>
      </c>
    </row>
    <row r="1280" spans="1:27" ht="18.600000000000001" customHeight="1">
      <c r="A1280" s="140" t="str">
        <f>IF(priority(Main[[#This Row],[Comments]])&lt;&gt;0, priority(Main[[#This Row],[Comments]]),"")</f>
        <v/>
      </c>
      <c r="B1280" s="90" t="s">
        <v>2385</v>
      </c>
      <c r="C1280" s="72" t="s">
        <v>2386</v>
      </c>
      <c r="D1280" s="73" t="s">
        <v>2387</v>
      </c>
      <c r="E1280" s="74"/>
      <c r="F1280" s="74">
        <v>41008</v>
      </c>
      <c r="G1280" s="75" t="str">
        <f>IF(stdProdLT(Main[[#This Row],[Comments]])=0.1,"N/A",IF(stdProdLT(Main[[#This Row],[Comments]])=0,"",stdProdLT(Main[[#This Row],[Comments]])))</f>
        <v/>
      </c>
      <c r="H1280" s="76" t="str">
        <f>IF(AND(Main[[#This Row],[In Stock Date]]&lt;&gt;"",Main[[#This Row],[Revised Due Date]]&lt;&gt;""),Main[[#This Row],[In Stock Date]]-Main[[#This Row],[Revised Due Date]],"")</f>
        <v/>
      </c>
      <c r="I1280" s="72" t="s">
        <v>4</v>
      </c>
      <c r="J1280" s="72" t="s">
        <v>4</v>
      </c>
      <c r="K1280" s="72" t="s">
        <v>4</v>
      </c>
      <c r="L1280" s="74"/>
      <c r="M1280" s="77" t="str">
        <f>IF(Main[[#This Row],[Tech Start Date]]&lt;1/1/1990,"",IF(Main[[#This Row],[Class]]="C",WORKDAY(Main[[#This Row],[Tech Start Date]],9),IF(Main[[#This Row],[Class]]="B", WORKDAY(Main[[#This Row],[Tech Start Date]],6),IF(Main[[#This Row],[Class]]="A",WORKDAY(Main[[#This Row],[Tech Start Date]],2),""))))</f>
        <v/>
      </c>
      <c r="N1280" s="77" t="str">
        <f>IF(Main[[#This Row],[Tech Start Date]]&lt;1/1/1990,"",IF(Main[[#This Row],[Class]]="C",WORKDAY(Main[[#This Row],[Tech Start Date]],19),IF(Main[[#This Row],[Class]]="B", WORKDAY(Main[[#This Row],[Tech Start Date]],12),IF(Main[[#This Row],[Class]]="A",WORKDAY(Main[[#This Row],[Tech Start Date]],4),""))))</f>
        <v/>
      </c>
      <c r="O1280" s="77" t="str">
        <f>IF(Main[[#This Row],[Tech Start Date]]&lt;1/1/1990,"",IF(Main[[#This Row],[Class]]="C",WORKDAY(Main[[#This Row],[Tech Start Date]],23),IF(Main[[#This Row],[Class]]="B", WORKDAY(Main[[#This Row],[Tech Start Date]],15),IF(Main[[#This Row],[Class]]="A",WORKDAY(Main[[#This Row],[Tech Start Date]],5),""))))</f>
        <v/>
      </c>
      <c r="P1280" s="77" t="str">
        <f>IF(Main[[#This Row],[Tech Start Date]]&lt;1/1/1990,"",IF(Main[[#This Row],[Class]]="C",WORKDAY(Main[[#This Row],[Tech Start Date]],28),IF(Main[[#This Row],[Class]]="B", WORKDAY(Main[[#This Row],[Tech Start Date]],19),IF(Main[[#This Row],[Class]]="A",WORKDAY(Main[[#This Row],[Tech Start Date]],9),""))))</f>
        <v/>
      </c>
      <c r="Q1280" s="74">
        <v>40826</v>
      </c>
      <c r="R1280" s="74"/>
      <c r="S1280" s="72" t="s">
        <v>11</v>
      </c>
      <c r="T1280" s="80" t="s">
        <v>4</v>
      </c>
      <c r="U1280" s="72" t="s">
        <v>12</v>
      </c>
      <c r="V1280" s="72" t="s">
        <v>1935</v>
      </c>
      <c r="W1280" s="72" t="s">
        <v>1938</v>
      </c>
      <c r="X1280" s="72" t="s">
        <v>2927</v>
      </c>
      <c r="Y1280" s="72" t="s">
        <v>4</v>
      </c>
      <c r="Z1280" s="72" t="s">
        <v>4</v>
      </c>
      <c r="AA1280" s="147" t="s">
        <v>2927</v>
      </c>
    </row>
    <row r="1281" spans="1:27" ht="18.600000000000001" customHeight="1">
      <c r="A1281" s="140" t="str">
        <f>IF(priority(Main[[#This Row],[Comments]])&lt;&gt;0, priority(Main[[#This Row],[Comments]]),"")</f>
        <v/>
      </c>
      <c r="B1281" s="90" t="s">
        <v>2630</v>
      </c>
      <c r="C1281" s="72" t="s">
        <v>4</v>
      </c>
      <c r="D1281" s="73" t="s">
        <v>2631</v>
      </c>
      <c r="E1281" s="74">
        <v>40843.713865740741</v>
      </c>
      <c r="F1281" s="74"/>
      <c r="G1281" s="75" t="str">
        <f>IF(stdProdLT(Main[[#This Row],[Comments]])=0.1,"N/A",IF(stdProdLT(Main[[#This Row],[Comments]])=0,"",stdProdLT(Main[[#This Row],[Comments]])))</f>
        <v/>
      </c>
      <c r="H1281" s="76" t="str">
        <f>IF(AND(Main[[#This Row],[In Stock Date]]&lt;&gt;"",Main[[#This Row],[Revised Due Date]]&lt;&gt;""),Main[[#This Row],[In Stock Date]]-Main[[#This Row],[Revised Due Date]],"")</f>
        <v/>
      </c>
      <c r="I1281" s="72" t="s">
        <v>4</v>
      </c>
      <c r="J1281" s="72" t="s">
        <v>51</v>
      </c>
      <c r="K1281" s="72" t="s">
        <v>4</v>
      </c>
      <c r="L1281" s="74"/>
      <c r="M1281" s="77" t="str">
        <f>IF(Main[[#This Row],[Tech Start Date]]&lt;1/1/1990,"",IF(Main[[#This Row],[Class]]="C",WORKDAY(Main[[#This Row],[Tech Start Date]],9),IF(Main[[#This Row],[Class]]="B", WORKDAY(Main[[#This Row],[Tech Start Date]],6),IF(Main[[#This Row],[Class]]="A",WORKDAY(Main[[#This Row],[Tech Start Date]],2),""))))</f>
        <v/>
      </c>
      <c r="N1281" s="77" t="str">
        <f>IF(Main[[#This Row],[Tech Start Date]]&lt;1/1/1990,"",IF(Main[[#This Row],[Class]]="C",WORKDAY(Main[[#This Row],[Tech Start Date]],19),IF(Main[[#This Row],[Class]]="B", WORKDAY(Main[[#This Row],[Tech Start Date]],12),IF(Main[[#This Row],[Class]]="A",WORKDAY(Main[[#This Row],[Tech Start Date]],4),""))))</f>
        <v/>
      </c>
      <c r="O1281" s="77" t="str">
        <f>IF(Main[[#This Row],[Tech Start Date]]&lt;1/1/1990,"",IF(Main[[#This Row],[Class]]="C",WORKDAY(Main[[#This Row],[Tech Start Date]],23),IF(Main[[#This Row],[Class]]="B", WORKDAY(Main[[#This Row],[Tech Start Date]],15),IF(Main[[#This Row],[Class]]="A",WORKDAY(Main[[#This Row],[Tech Start Date]],5),""))))</f>
        <v/>
      </c>
      <c r="P1281" s="77" t="str">
        <f>IF(Main[[#This Row],[Tech Start Date]]&lt;1/1/1990,"",IF(Main[[#This Row],[Class]]="C",WORKDAY(Main[[#This Row],[Tech Start Date]],28),IF(Main[[#This Row],[Class]]="B", WORKDAY(Main[[#This Row],[Tech Start Date]],19),IF(Main[[#This Row],[Class]]="A",WORKDAY(Main[[#This Row],[Tech Start Date]],9),""))))</f>
        <v/>
      </c>
      <c r="Q1281" s="74"/>
      <c r="R1281" s="74"/>
      <c r="S1281" s="72" t="s">
        <v>6</v>
      </c>
      <c r="T1281" s="80" t="s">
        <v>2446</v>
      </c>
      <c r="U1281" s="72" t="s">
        <v>539</v>
      </c>
      <c r="V1281" s="72" t="s">
        <v>1932</v>
      </c>
      <c r="W1281" s="72" t="s">
        <v>1938</v>
      </c>
      <c r="X1281" s="72" t="s">
        <v>310</v>
      </c>
      <c r="Y1281" s="72" t="s">
        <v>4</v>
      </c>
      <c r="Z1281" s="72" t="s">
        <v>4</v>
      </c>
      <c r="AA1281" s="147" t="s">
        <v>2923</v>
      </c>
    </row>
    <row r="1282" spans="1:27" ht="18.600000000000001" customHeight="1">
      <c r="A1282" s="140" t="str">
        <f>IF(priority(Main[[#This Row],[Comments]])&lt;&gt;0, priority(Main[[#This Row],[Comments]]),"")</f>
        <v/>
      </c>
      <c r="B1282" s="90" t="s">
        <v>2324</v>
      </c>
      <c r="C1282" s="72" t="s">
        <v>4</v>
      </c>
      <c r="D1282" s="73" t="s">
        <v>2325</v>
      </c>
      <c r="E1282" s="74">
        <v>40815.373611111114</v>
      </c>
      <c r="F1282" s="74"/>
      <c r="G1282" s="75" t="str">
        <f>IF(stdProdLT(Main[[#This Row],[Comments]])=0.1,"N/A",IF(stdProdLT(Main[[#This Row],[Comments]])=0,"",stdProdLT(Main[[#This Row],[Comments]])))</f>
        <v/>
      </c>
      <c r="H1282" s="76" t="str">
        <f>IF(AND(Main[[#This Row],[In Stock Date]]&lt;&gt;"",Main[[#This Row],[Revised Due Date]]&lt;&gt;""),Main[[#This Row],[In Stock Date]]-Main[[#This Row],[Revised Due Date]],"")</f>
        <v/>
      </c>
      <c r="I1282" s="72" t="s">
        <v>4</v>
      </c>
      <c r="J1282" s="72" t="s">
        <v>4</v>
      </c>
      <c r="K1282" s="72" t="s">
        <v>4</v>
      </c>
      <c r="L1282" s="74"/>
      <c r="M1282" s="77" t="str">
        <f>IF(Main[[#This Row],[Tech Start Date]]&lt;1/1/1990,"",IF(Main[[#This Row],[Class]]="C",WORKDAY(Main[[#This Row],[Tech Start Date]],9),IF(Main[[#This Row],[Class]]="B", WORKDAY(Main[[#This Row],[Tech Start Date]],6),IF(Main[[#This Row],[Class]]="A",WORKDAY(Main[[#This Row],[Tech Start Date]],2),""))))</f>
        <v/>
      </c>
      <c r="N1282" s="77" t="str">
        <f>IF(Main[[#This Row],[Tech Start Date]]&lt;1/1/1990,"",IF(Main[[#This Row],[Class]]="C",WORKDAY(Main[[#This Row],[Tech Start Date]],19),IF(Main[[#This Row],[Class]]="B", WORKDAY(Main[[#This Row],[Tech Start Date]],12),IF(Main[[#This Row],[Class]]="A",WORKDAY(Main[[#This Row],[Tech Start Date]],4),""))))</f>
        <v/>
      </c>
      <c r="O1282" s="77" t="str">
        <f>IF(Main[[#This Row],[Tech Start Date]]&lt;1/1/1990,"",IF(Main[[#This Row],[Class]]="C",WORKDAY(Main[[#This Row],[Tech Start Date]],23),IF(Main[[#This Row],[Class]]="B", WORKDAY(Main[[#This Row],[Tech Start Date]],15),IF(Main[[#This Row],[Class]]="A",WORKDAY(Main[[#This Row],[Tech Start Date]],5),""))))</f>
        <v/>
      </c>
      <c r="P1282" s="77" t="str">
        <f>IF(Main[[#This Row],[Tech Start Date]]&lt;1/1/1990,"",IF(Main[[#This Row],[Class]]="C",WORKDAY(Main[[#This Row],[Tech Start Date]],28),IF(Main[[#This Row],[Class]]="B", WORKDAY(Main[[#This Row],[Tech Start Date]],19),IF(Main[[#This Row],[Class]]="A",WORKDAY(Main[[#This Row],[Tech Start Date]],9),""))))</f>
        <v/>
      </c>
      <c r="Q1282" s="74"/>
      <c r="R1282" s="74"/>
      <c r="S1282" s="72" t="s">
        <v>6</v>
      </c>
      <c r="T1282" s="80" t="s">
        <v>4</v>
      </c>
      <c r="U1282" s="72" t="s">
        <v>29</v>
      </c>
      <c r="V1282" s="72" t="s">
        <v>1935</v>
      </c>
      <c r="W1282" s="72" t="s">
        <v>1936</v>
      </c>
      <c r="X1282" s="72" t="s">
        <v>102</v>
      </c>
      <c r="Y1282" s="72" t="s">
        <v>3227</v>
      </c>
      <c r="Z1282" s="72" t="s">
        <v>4</v>
      </c>
      <c r="AA1282" s="147" t="s">
        <v>3602</v>
      </c>
    </row>
    <row r="1283" spans="1:27" ht="18.600000000000001" customHeight="1">
      <c r="A1283" s="140" t="str">
        <f>IF(priority(Main[[#This Row],[Comments]])&lt;&gt;0, priority(Main[[#This Row],[Comments]]),"")</f>
        <v/>
      </c>
      <c r="B1283" s="90" t="s">
        <v>2632</v>
      </c>
      <c r="C1283" s="72" t="s">
        <v>4</v>
      </c>
      <c r="D1283" s="73" t="s">
        <v>2633</v>
      </c>
      <c r="E1283" s="74"/>
      <c r="F1283" s="74"/>
      <c r="G1283" s="75" t="str">
        <f>IF(stdProdLT(Main[[#This Row],[Comments]])=0.1,"N/A",IF(stdProdLT(Main[[#This Row],[Comments]])=0,"",stdProdLT(Main[[#This Row],[Comments]])))</f>
        <v/>
      </c>
      <c r="H1283" s="76" t="str">
        <f>IF(AND(Main[[#This Row],[In Stock Date]]&lt;&gt;"",Main[[#This Row],[Revised Due Date]]&lt;&gt;""),Main[[#This Row],[In Stock Date]]-Main[[#This Row],[Revised Due Date]],"")</f>
        <v/>
      </c>
      <c r="I1283" s="72" t="s">
        <v>4</v>
      </c>
      <c r="J1283" s="72" t="s">
        <v>4</v>
      </c>
      <c r="K1283" s="72" t="s">
        <v>4</v>
      </c>
      <c r="L1283" s="74"/>
      <c r="M1283" s="77" t="str">
        <f>IF(Main[[#This Row],[Tech Start Date]]&lt;1/1/1990,"",IF(Main[[#This Row],[Class]]="C",WORKDAY(Main[[#This Row],[Tech Start Date]],9),IF(Main[[#This Row],[Class]]="B", WORKDAY(Main[[#This Row],[Tech Start Date]],6),IF(Main[[#This Row],[Class]]="A",WORKDAY(Main[[#This Row],[Tech Start Date]],2),""))))</f>
        <v/>
      </c>
      <c r="N1283" s="77" t="str">
        <f>IF(Main[[#This Row],[Tech Start Date]]&lt;1/1/1990,"",IF(Main[[#This Row],[Class]]="C",WORKDAY(Main[[#This Row],[Tech Start Date]],19),IF(Main[[#This Row],[Class]]="B", WORKDAY(Main[[#This Row],[Tech Start Date]],12),IF(Main[[#This Row],[Class]]="A",WORKDAY(Main[[#This Row],[Tech Start Date]],4),""))))</f>
        <v/>
      </c>
      <c r="O1283" s="77" t="str">
        <f>IF(Main[[#This Row],[Tech Start Date]]&lt;1/1/1990,"",IF(Main[[#This Row],[Class]]="C",WORKDAY(Main[[#This Row],[Tech Start Date]],23),IF(Main[[#This Row],[Class]]="B", WORKDAY(Main[[#This Row],[Tech Start Date]],15),IF(Main[[#This Row],[Class]]="A",WORKDAY(Main[[#This Row],[Tech Start Date]],5),""))))</f>
        <v/>
      </c>
      <c r="P1283" s="77" t="str">
        <f>IF(Main[[#This Row],[Tech Start Date]]&lt;1/1/1990,"",IF(Main[[#This Row],[Class]]="C",WORKDAY(Main[[#This Row],[Tech Start Date]],28),IF(Main[[#This Row],[Class]]="B", WORKDAY(Main[[#This Row],[Tech Start Date]],19),IF(Main[[#This Row],[Class]]="A",WORKDAY(Main[[#This Row],[Tech Start Date]],9),""))))</f>
        <v/>
      </c>
      <c r="Q1283" s="74"/>
      <c r="R1283" s="74"/>
      <c r="S1283" s="72" t="s">
        <v>11</v>
      </c>
      <c r="T1283" s="80" t="s">
        <v>4</v>
      </c>
      <c r="U1283" s="72" t="s">
        <v>14</v>
      </c>
      <c r="V1283" s="72" t="s">
        <v>1935</v>
      </c>
      <c r="W1283" s="72" t="s">
        <v>1940</v>
      </c>
      <c r="X1283" s="72" t="s">
        <v>310</v>
      </c>
      <c r="Y1283" s="72" t="s">
        <v>4</v>
      </c>
      <c r="Z1283" s="72" t="s">
        <v>4</v>
      </c>
      <c r="AA1283" s="147" t="s">
        <v>4</v>
      </c>
    </row>
    <row r="1284" spans="1:27" ht="18.600000000000001" customHeight="1">
      <c r="A1284" s="140" t="str">
        <f>IF(priority(Main[[#This Row],[Comments]])&lt;&gt;0, priority(Main[[#This Row],[Comments]]),"")</f>
        <v/>
      </c>
      <c r="B1284" s="90" t="s">
        <v>2313</v>
      </c>
      <c r="C1284" s="72" t="s">
        <v>67</v>
      </c>
      <c r="D1284" s="73" t="s">
        <v>2314</v>
      </c>
      <c r="E1284" s="74"/>
      <c r="F1284" s="74">
        <v>41075</v>
      </c>
      <c r="G1284" s="75" t="str">
        <f>IF(stdProdLT(Main[[#This Row],[Comments]])=0.1,"N/A",IF(stdProdLT(Main[[#This Row],[Comments]])=0,"",stdProdLT(Main[[#This Row],[Comments]])))</f>
        <v/>
      </c>
      <c r="H1284" s="76" t="str">
        <f>IF(AND(Main[[#This Row],[In Stock Date]]&lt;&gt;"",Main[[#This Row],[Revised Due Date]]&lt;&gt;""),Main[[#This Row],[In Stock Date]]-Main[[#This Row],[Revised Due Date]],"")</f>
        <v/>
      </c>
      <c r="I1284" s="72" t="s">
        <v>4</v>
      </c>
      <c r="J1284" s="72" t="s">
        <v>4</v>
      </c>
      <c r="K1284" s="72" t="s">
        <v>4</v>
      </c>
      <c r="L1284" s="74"/>
      <c r="M1284" s="77" t="str">
        <f>IF(Main[[#This Row],[Tech Start Date]]&lt;1/1/1990,"",IF(Main[[#This Row],[Class]]="C",WORKDAY(Main[[#This Row],[Tech Start Date]],9),IF(Main[[#This Row],[Class]]="B", WORKDAY(Main[[#This Row],[Tech Start Date]],6),IF(Main[[#This Row],[Class]]="A",WORKDAY(Main[[#This Row],[Tech Start Date]],2),""))))</f>
        <v/>
      </c>
      <c r="N1284" s="77" t="str">
        <f>IF(Main[[#This Row],[Tech Start Date]]&lt;1/1/1990,"",IF(Main[[#This Row],[Class]]="C",WORKDAY(Main[[#This Row],[Tech Start Date]],19),IF(Main[[#This Row],[Class]]="B", WORKDAY(Main[[#This Row],[Tech Start Date]],12),IF(Main[[#This Row],[Class]]="A",WORKDAY(Main[[#This Row],[Tech Start Date]],4),""))))</f>
        <v/>
      </c>
      <c r="O1284" s="77" t="str">
        <f>IF(Main[[#This Row],[Tech Start Date]]&lt;1/1/1990,"",IF(Main[[#This Row],[Class]]="C",WORKDAY(Main[[#This Row],[Tech Start Date]],23),IF(Main[[#This Row],[Class]]="B", WORKDAY(Main[[#This Row],[Tech Start Date]],15),IF(Main[[#This Row],[Class]]="A",WORKDAY(Main[[#This Row],[Tech Start Date]],5),""))))</f>
        <v/>
      </c>
      <c r="P1284" s="77" t="str">
        <f>IF(Main[[#This Row],[Tech Start Date]]&lt;1/1/1990,"",IF(Main[[#This Row],[Class]]="C",WORKDAY(Main[[#This Row],[Tech Start Date]],28),IF(Main[[#This Row],[Class]]="B", WORKDAY(Main[[#This Row],[Tech Start Date]],19),IF(Main[[#This Row],[Class]]="A",WORKDAY(Main[[#This Row],[Tech Start Date]],9),""))))</f>
        <v/>
      </c>
      <c r="Q1284" s="74">
        <v>40908</v>
      </c>
      <c r="R1284" s="74"/>
      <c r="S1284" s="72" t="s">
        <v>17</v>
      </c>
      <c r="T1284" s="80" t="s">
        <v>4</v>
      </c>
      <c r="U1284" s="72" t="s">
        <v>14</v>
      </c>
      <c r="V1284" s="72" t="s">
        <v>1942</v>
      </c>
      <c r="W1284" s="72" t="s">
        <v>1943</v>
      </c>
      <c r="X1284" s="72" t="s">
        <v>559</v>
      </c>
      <c r="Y1284" s="72" t="s">
        <v>3039</v>
      </c>
      <c r="Z1284" s="72" t="s">
        <v>4</v>
      </c>
      <c r="AA1284" s="147" t="s">
        <v>559</v>
      </c>
    </row>
    <row r="1285" spans="1:27" ht="18.600000000000001" customHeight="1">
      <c r="A1285" s="140" t="str">
        <f>IF(priority(Main[[#This Row],[Comments]])&lt;&gt;0, priority(Main[[#This Row],[Comments]]),"")</f>
        <v/>
      </c>
      <c r="B1285" s="90" t="s">
        <v>2643</v>
      </c>
      <c r="C1285" s="72" t="s">
        <v>4</v>
      </c>
      <c r="D1285" s="73" t="s">
        <v>2644</v>
      </c>
      <c r="E1285" s="74">
        <v>40877.273229166669</v>
      </c>
      <c r="F1285" s="74"/>
      <c r="G1285" s="75" t="str">
        <f>IF(stdProdLT(Main[[#This Row],[Comments]])=0.1,"N/A",IF(stdProdLT(Main[[#This Row],[Comments]])=0,"",stdProdLT(Main[[#This Row],[Comments]])))</f>
        <v/>
      </c>
      <c r="H1285" s="76" t="str">
        <f>IF(AND(Main[[#This Row],[In Stock Date]]&lt;&gt;"",Main[[#This Row],[Revised Due Date]]&lt;&gt;""),Main[[#This Row],[In Stock Date]]-Main[[#This Row],[Revised Due Date]],"")</f>
        <v/>
      </c>
      <c r="I1285" s="72" t="s">
        <v>69</v>
      </c>
      <c r="J1285" s="72" t="s">
        <v>70</v>
      </c>
      <c r="K1285" s="72" t="s">
        <v>1941</v>
      </c>
      <c r="L1285" s="74"/>
      <c r="M1285" s="77" t="str">
        <f>IF(Main[[#This Row],[Tech Start Date]]&lt;1/1/1990,"",IF(Main[[#This Row],[Class]]="C",WORKDAY(Main[[#This Row],[Tech Start Date]],9),IF(Main[[#This Row],[Class]]="B", WORKDAY(Main[[#This Row],[Tech Start Date]],6),IF(Main[[#This Row],[Class]]="A",WORKDAY(Main[[#This Row],[Tech Start Date]],2),""))))</f>
        <v/>
      </c>
      <c r="N1285" s="77" t="str">
        <f>IF(Main[[#This Row],[Tech Start Date]]&lt;1/1/1990,"",IF(Main[[#This Row],[Class]]="C",WORKDAY(Main[[#This Row],[Tech Start Date]],19),IF(Main[[#This Row],[Class]]="B", WORKDAY(Main[[#This Row],[Tech Start Date]],12),IF(Main[[#This Row],[Class]]="A",WORKDAY(Main[[#This Row],[Tech Start Date]],4),""))))</f>
        <v/>
      </c>
      <c r="O1285" s="77" t="str">
        <f>IF(Main[[#This Row],[Tech Start Date]]&lt;1/1/1990,"",IF(Main[[#This Row],[Class]]="C",WORKDAY(Main[[#This Row],[Tech Start Date]],23),IF(Main[[#This Row],[Class]]="B", WORKDAY(Main[[#This Row],[Tech Start Date]],15),IF(Main[[#This Row],[Class]]="A",WORKDAY(Main[[#This Row],[Tech Start Date]],5),""))))</f>
        <v/>
      </c>
      <c r="P1285" s="77" t="str">
        <f>IF(Main[[#This Row],[Tech Start Date]]&lt;1/1/1990,"",IF(Main[[#This Row],[Class]]="C",WORKDAY(Main[[#This Row],[Tech Start Date]],28),IF(Main[[#This Row],[Class]]="B", WORKDAY(Main[[#This Row],[Tech Start Date]],19),IF(Main[[#This Row],[Class]]="A",WORKDAY(Main[[#This Row],[Tech Start Date]],9),""))))</f>
        <v/>
      </c>
      <c r="Q1285" s="74">
        <v>40906</v>
      </c>
      <c r="R1285" s="155"/>
      <c r="S1285" s="72" t="s">
        <v>6</v>
      </c>
      <c r="T1285" s="80" t="s">
        <v>4</v>
      </c>
      <c r="U1285" s="72" t="s">
        <v>29</v>
      </c>
      <c r="V1285" s="72" t="s">
        <v>1935</v>
      </c>
      <c r="W1285" s="72" t="s">
        <v>1936</v>
      </c>
      <c r="X1285" s="72" t="s">
        <v>30</v>
      </c>
      <c r="Y1285" s="72" t="s">
        <v>3228</v>
      </c>
      <c r="Z1285" s="72" t="s">
        <v>30</v>
      </c>
      <c r="AA1285" s="147" t="s">
        <v>3657</v>
      </c>
    </row>
    <row r="1286" spans="1:27" ht="18.600000000000001" customHeight="1">
      <c r="A1286" s="140" t="str">
        <f>IF(priority(Main[[#This Row],[Comments]])&lt;&gt;0, priority(Main[[#This Row],[Comments]]),"")</f>
        <v/>
      </c>
      <c r="B1286" s="90" t="s">
        <v>2774</v>
      </c>
      <c r="C1286" s="72" t="s">
        <v>4</v>
      </c>
      <c r="D1286" s="73" t="s">
        <v>3350</v>
      </c>
      <c r="E1286" s="74"/>
      <c r="F1286" s="74"/>
      <c r="G1286" s="75" t="str">
        <f>IF(stdProdLT(Main[[#This Row],[Comments]])=0.1,"N/A",IF(stdProdLT(Main[[#This Row],[Comments]])=0,"",stdProdLT(Main[[#This Row],[Comments]])))</f>
        <v/>
      </c>
      <c r="H1286" s="76" t="str">
        <f>IF(AND(Main[[#This Row],[In Stock Date]]&lt;&gt;"",Main[[#This Row],[Revised Due Date]]&lt;&gt;""),Main[[#This Row],[In Stock Date]]-Main[[#This Row],[Revised Due Date]],"")</f>
        <v/>
      </c>
      <c r="I1286" s="72" t="s">
        <v>2234</v>
      </c>
      <c r="J1286" s="72" t="s">
        <v>75</v>
      </c>
      <c r="K1286" s="72" t="s">
        <v>1941</v>
      </c>
      <c r="L1286" s="74"/>
      <c r="M1286" s="77" t="str">
        <f>IF(Main[[#This Row],[Tech Start Date]]&lt;1/1/1990,"",IF(Main[[#This Row],[Class]]="C",WORKDAY(Main[[#This Row],[Tech Start Date]],9),IF(Main[[#This Row],[Class]]="B", WORKDAY(Main[[#This Row],[Tech Start Date]],6),IF(Main[[#This Row],[Class]]="A",WORKDAY(Main[[#This Row],[Tech Start Date]],2),""))))</f>
        <v/>
      </c>
      <c r="N1286" s="77" t="str">
        <f>IF(Main[[#This Row],[Tech Start Date]]&lt;1/1/1990,"",IF(Main[[#This Row],[Class]]="C",WORKDAY(Main[[#This Row],[Tech Start Date]],19),IF(Main[[#This Row],[Class]]="B", WORKDAY(Main[[#This Row],[Tech Start Date]],12),IF(Main[[#This Row],[Class]]="A",WORKDAY(Main[[#This Row],[Tech Start Date]],4),""))))</f>
        <v/>
      </c>
      <c r="O1286" s="77" t="str">
        <f>IF(Main[[#This Row],[Tech Start Date]]&lt;1/1/1990,"",IF(Main[[#This Row],[Class]]="C",WORKDAY(Main[[#This Row],[Tech Start Date]],23),IF(Main[[#This Row],[Class]]="B", WORKDAY(Main[[#This Row],[Tech Start Date]],15),IF(Main[[#This Row],[Class]]="A",WORKDAY(Main[[#This Row],[Tech Start Date]],5),""))))</f>
        <v/>
      </c>
      <c r="P1286" s="77" t="str">
        <f>IF(Main[[#This Row],[Tech Start Date]]&lt;1/1/1990,"",IF(Main[[#This Row],[Class]]="C",WORKDAY(Main[[#This Row],[Tech Start Date]],28),IF(Main[[#This Row],[Class]]="B", WORKDAY(Main[[#This Row],[Tech Start Date]],19),IF(Main[[#This Row],[Class]]="A",WORKDAY(Main[[#This Row],[Tech Start Date]],9),""))))</f>
        <v/>
      </c>
      <c r="Q1286" s="74">
        <v>40939</v>
      </c>
      <c r="R1286" s="74"/>
      <c r="S1286" s="72" t="s">
        <v>6</v>
      </c>
      <c r="T1286" s="80" t="s">
        <v>4</v>
      </c>
      <c r="U1286" s="72" t="s">
        <v>14</v>
      </c>
      <c r="V1286" s="72" t="s">
        <v>1935</v>
      </c>
      <c r="W1286" s="72" t="s">
        <v>1936</v>
      </c>
      <c r="X1286" s="72" t="s">
        <v>2903</v>
      </c>
      <c r="Y1286" s="72" t="s">
        <v>3019</v>
      </c>
      <c r="Z1286" s="72" t="s">
        <v>30</v>
      </c>
      <c r="AA1286" s="147" t="s">
        <v>2903</v>
      </c>
    </row>
    <row r="1287" spans="1:27" ht="18.600000000000001" customHeight="1">
      <c r="A1287" s="140" t="str">
        <f>IF(priority(Main[[#This Row],[Comments]])&lt;&gt;0, priority(Main[[#This Row],[Comments]]),"")</f>
        <v/>
      </c>
      <c r="B1287" s="90" t="s">
        <v>3424</v>
      </c>
      <c r="C1287" s="72" t="s">
        <v>4</v>
      </c>
      <c r="D1287" s="73" t="s">
        <v>3425</v>
      </c>
      <c r="E1287" s="74"/>
      <c r="F1287" s="74"/>
      <c r="G1287" s="75" t="str">
        <f>IF(stdProdLT(Main[[#This Row],[Comments]])=0.1,"N/A",IF(stdProdLT(Main[[#This Row],[Comments]])=0,"",stdProdLT(Main[[#This Row],[Comments]])))</f>
        <v/>
      </c>
      <c r="H1287" s="76" t="str">
        <f>IF(AND(Main[[#This Row],[In Stock Date]]&lt;&gt;"",Main[[#This Row],[Revised Due Date]]&lt;&gt;""),Main[[#This Row],[In Stock Date]]-Main[[#This Row],[Revised Due Date]],"")</f>
        <v/>
      </c>
      <c r="I1287" s="72" t="s">
        <v>4</v>
      </c>
      <c r="J1287" s="72" t="s">
        <v>4</v>
      </c>
      <c r="K1287" s="72" t="s">
        <v>4</v>
      </c>
      <c r="L1287" s="74"/>
      <c r="M1287" s="77" t="str">
        <f>IF(Main[[#This Row],[Tech Start Date]]&lt;1/1/1990,"",IF(Main[[#This Row],[Class]]="C",WORKDAY(Main[[#This Row],[Tech Start Date]],9),IF(Main[[#This Row],[Class]]="B", WORKDAY(Main[[#This Row],[Tech Start Date]],6),IF(Main[[#This Row],[Class]]="A",WORKDAY(Main[[#This Row],[Tech Start Date]],2),""))))</f>
        <v/>
      </c>
      <c r="N1287" s="77" t="str">
        <f>IF(Main[[#This Row],[Tech Start Date]]&lt;1/1/1990,"",IF(Main[[#This Row],[Class]]="C",WORKDAY(Main[[#This Row],[Tech Start Date]],19),IF(Main[[#This Row],[Class]]="B", WORKDAY(Main[[#This Row],[Tech Start Date]],12),IF(Main[[#This Row],[Class]]="A",WORKDAY(Main[[#This Row],[Tech Start Date]],4),""))))</f>
        <v/>
      </c>
      <c r="O1287" s="77" t="str">
        <f>IF(Main[[#This Row],[Tech Start Date]]&lt;1/1/1990,"",IF(Main[[#This Row],[Class]]="C",WORKDAY(Main[[#This Row],[Tech Start Date]],23),IF(Main[[#This Row],[Class]]="B", WORKDAY(Main[[#This Row],[Tech Start Date]],15),IF(Main[[#This Row],[Class]]="A",WORKDAY(Main[[#This Row],[Tech Start Date]],5),""))))</f>
        <v/>
      </c>
      <c r="P1287" s="77" t="str">
        <f>IF(Main[[#This Row],[Tech Start Date]]&lt;1/1/1990,"",IF(Main[[#This Row],[Class]]="C",WORKDAY(Main[[#This Row],[Tech Start Date]],28),IF(Main[[#This Row],[Class]]="B", WORKDAY(Main[[#This Row],[Tech Start Date]],19),IF(Main[[#This Row],[Class]]="A",WORKDAY(Main[[#This Row],[Tech Start Date]],9),""))))</f>
        <v/>
      </c>
      <c r="Q1287" s="74">
        <v>40969</v>
      </c>
      <c r="R1287" s="74"/>
      <c r="S1287" s="72" t="s">
        <v>11</v>
      </c>
      <c r="T1287" s="80" t="s">
        <v>4</v>
      </c>
      <c r="U1287" s="72" t="s">
        <v>14</v>
      </c>
      <c r="V1287" s="72" t="s">
        <v>1935</v>
      </c>
      <c r="W1287" s="72" t="s">
        <v>1937</v>
      </c>
      <c r="X1287" s="72" t="s">
        <v>559</v>
      </c>
      <c r="Y1287" s="72" t="s">
        <v>3039</v>
      </c>
      <c r="Z1287" s="72" t="s">
        <v>4</v>
      </c>
      <c r="AA1287" s="147" t="s">
        <v>559</v>
      </c>
    </row>
    <row r="1288" spans="1:27" ht="18.600000000000001" customHeight="1">
      <c r="A1288" s="141" t="str">
        <f>IF(priority(Main[[#This Row],[Comments]])&lt;&gt;0, priority(Main[[#This Row],[Comments]]),"")</f>
        <v/>
      </c>
      <c r="B1288" s="90" t="s">
        <v>3427</v>
      </c>
      <c r="C1288" s="83" t="s">
        <v>4</v>
      </c>
      <c r="D1288" s="84" t="s">
        <v>3428</v>
      </c>
      <c r="E1288" s="85">
        <v>40933.494502314818</v>
      </c>
      <c r="F1288" s="85"/>
      <c r="G1288" s="83" t="str">
        <f>IF(stdProdLT(Main[[#This Row],[Comments]])=0.1,"N/A",IF(stdProdLT(Main[[#This Row],[Comments]])=0,"",stdProdLT(Main[[#This Row],[Comments]])))</f>
        <v/>
      </c>
      <c r="H1288" s="86" t="str">
        <f>IF(AND(Main[[#This Row],[In Stock Date]]&lt;&gt;"",Main[[#This Row],[Revised Due Date]]&lt;&gt;""),Main[[#This Row],[In Stock Date]]-Main[[#This Row],[Revised Due Date]],"")</f>
        <v/>
      </c>
      <c r="I1288" s="83" t="s">
        <v>4</v>
      </c>
      <c r="J1288" s="83" t="s">
        <v>4</v>
      </c>
      <c r="K1288" s="83" t="s">
        <v>4</v>
      </c>
      <c r="L1288" s="85"/>
      <c r="M1288" s="87" t="str">
        <f>IF(Main[[#This Row],[Tech Start Date]]&lt;1/1/1990,"",IF(Main[[#This Row],[Class]]="C",WORKDAY(Main[[#This Row],[Tech Start Date]],9),IF(Main[[#This Row],[Class]]="B", WORKDAY(Main[[#This Row],[Tech Start Date]],6),IF(Main[[#This Row],[Class]]="A",WORKDAY(Main[[#This Row],[Tech Start Date]],2),""))))</f>
        <v/>
      </c>
      <c r="N1288" s="87" t="str">
        <f>IF(Main[[#This Row],[Tech Start Date]]&lt;1/1/1990,"",IF(Main[[#This Row],[Class]]="C",WORKDAY(Main[[#This Row],[Tech Start Date]],19),IF(Main[[#This Row],[Class]]="B", WORKDAY(Main[[#This Row],[Tech Start Date]],12),IF(Main[[#This Row],[Class]]="A",WORKDAY(Main[[#This Row],[Tech Start Date]],4),""))))</f>
        <v/>
      </c>
      <c r="O1288" s="87" t="str">
        <f>IF(Main[[#This Row],[Tech Start Date]]&lt;1/1/1990,"",IF(Main[[#This Row],[Class]]="C",WORKDAY(Main[[#This Row],[Tech Start Date]],23),IF(Main[[#This Row],[Class]]="B", WORKDAY(Main[[#This Row],[Tech Start Date]],15),IF(Main[[#This Row],[Class]]="A",WORKDAY(Main[[#This Row],[Tech Start Date]],5),""))))</f>
        <v/>
      </c>
      <c r="P1288" s="87" t="str">
        <f>IF(Main[[#This Row],[Tech Start Date]]&lt;1/1/1990,"",IF(Main[[#This Row],[Class]]="C",WORKDAY(Main[[#This Row],[Tech Start Date]],28),IF(Main[[#This Row],[Class]]="B", WORKDAY(Main[[#This Row],[Tech Start Date]],19),IF(Main[[#This Row],[Class]]="A",WORKDAY(Main[[#This Row],[Tech Start Date]],9),""))))</f>
        <v/>
      </c>
      <c r="Q1288" s="85">
        <v>40968</v>
      </c>
      <c r="R1288" s="85"/>
      <c r="S1288" s="83" t="s">
        <v>6</v>
      </c>
      <c r="T1288" s="88" t="s">
        <v>4</v>
      </c>
      <c r="U1288" s="83" t="s">
        <v>7</v>
      </c>
      <c r="V1288" s="83" t="s">
        <v>1935</v>
      </c>
      <c r="W1288" s="83" t="s">
        <v>4</v>
      </c>
      <c r="X1288" s="83" t="s">
        <v>2902</v>
      </c>
      <c r="Y1288" s="83" t="s">
        <v>3016</v>
      </c>
      <c r="Z1288" s="83" t="s">
        <v>4</v>
      </c>
      <c r="AA1288" s="147" t="s">
        <v>2902</v>
      </c>
    </row>
    <row r="1289" spans="1:27" ht="18.600000000000001" customHeight="1">
      <c r="A1289" s="140" t="str">
        <f>IF(priority(Main[[#This Row],[Comments]])&lt;&gt;0, priority(Main[[#This Row],[Comments]]),"")</f>
        <v/>
      </c>
      <c r="B1289" s="90" t="s">
        <v>3429</v>
      </c>
      <c r="C1289" s="72" t="s">
        <v>4</v>
      </c>
      <c r="D1289" s="73" t="s">
        <v>3430</v>
      </c>
      <c r="E1289" s="74">
        <v>40933.366932870369</v>
      </c>
      <c r="F1289" s="74"/>
      <c r="G1289" s="75" t="str">
        <f>IF(stdProdLT(Main[[#This Row],[Comments]])=0.1,"N/A",IF(stdProdLT(Main[[#This Row],[Comments]])=0,"",stdProdLT(Main[[#This Row],[Comments]])))</f>
        <v/>
      </c>
      <c r="H1289" s="76" t="str">
        <f>IF(AND(Main[[#This Row],[In Stock Date]]&lt;&gt;"",Main[[#This Row],[Revised Due Date]]&lt;&gt;""),Main[[#This Row],[In Stock Date]]-Main[[#This Row],[Revised Due Date]],"")</f>
        <v/>
      </c>
      <c r="I1289" s="72" t="s">
        <v>4</v>
      </c>
      <c r="J1289" s="72" t="s">
        <v>4</v>
      </c>
      <c r="K1289" s="72" t="s">
        <v>4</v>
      </c>
      <c r="L1289" s="74"/>
      <c r="M1289" s="77" t="str">
        <f>IF(Main[[#This Row],[Tech Start Date]]&lt;1/1/1990,"",IF(Main[[#This Row],[Class]]="C",WORKDAY(Main[[#This Row],[Tech Start Date]],9),IF(Main[[#This Row],[Class]]="B", WORKDAY(Main[[#This Row],[Tech Start Date]],6),IF(Main[[#This Row],[Class]]="A",WORKDAY(Main[[#This Row],[Tech Start Date]],2),""))))</f>
        <v/>
      </c>
      <c r="N1289" s="77" t="str">
        <f>IF(Main[[#This Row],[Tech Start Date]]&lt;1/1/1990,"",IF(Main[[#This Row],[Class]]="C",WORKDAY(Main[[#This Row],[Tech Start Date]],19),IF(Main[[#This Row],[Class]]="B", WORKDAY(Main[[#This Row],[Tech Start Date]],12),IF(Main[[#This Row],[Class]]="A",WORKDAY(Main[[#This Row],[Tech Start Date]],4),""))))</f>
        <v/>
      </c>
      <c r="O1289" s="77" t="str">
        <f>IF(Main[[#This Row],[Tech Start Date]]&lt;1/1/1990,"",IF(Main[[#This Row],[Class]]="C",WORKDAY(Main[[#This Row],[Tech Start Date]],23),IF(Main[[#This Row],[Class]]="B", WORKDAY(Main[[#This Row],[Tech Start Date]],15),IF(Main[[#This Row],[Class]]="A",WORKDAY(Main[[#This Row],[Tech Start Date]],5),""))))</f>
        <v/>
      </c>
      <c r="P1289" s="77" t="str">
        <f>IF(Main[[#This Row],[Tech Start Date]]&lt;1/1/1990,"",IF(Main[[#This Row],[Class]]="C",WORKDAY(Main[[#This Row],[Tech Start Date]],28),IF(Main[[#This Row],[Class]]="B", WORKDAY(Main[[#This Row],[Tech Start Date]],19),IF(Main[[#This Row],[Class]]="A",WORKDAY(Main[[#This Row],[Tech Start Date]],9),""))))</f>
        <v/>
      </c>
      <c r="Q1289" s="74"/>
      <c r="R1289" s="74"/>
      <c r="S1289" s="72" t="s">
        <v>6</v>
      </c>
      <c r="T1289" s="80" t="s">
        <v>4</v>
      </c>
      <c r="U1289" s="72" t="s">
        <v>7</v>
      </c>
      <c r="V1289" s="72" t="s">
        <v>1935</v>
      </c>
      <c r="W1289" s="72" t="s">
        <v>1936</v>
      </c>
      <c r="X1289" s="72" t="s">
        <v>2950</v>
      </c>
      <c r="Y1289" s="72" t="s">
        <v>3087</v>
      </c>
      <c r="Z1289" s="72" t="s">
        <v>4</v>
      </c>
      <c r="AA1289" s="147" t="s">
        <v>2950</v>
      </c>
    </row>
    <row r="1290" spans="1:27" ht="18.600000000000001" customHeight="1">
      <c r="A1290" s="140" t="str">
        <f>IF(priority(Main[[#This Row],[Comments]])&lt;&gt;0, priority(Main[[#This Row],[Comments]]),"")</f>
        <v/>
      </c>
      <c r="B1290" s="90" t="s">
        <v>1493</v>
      </c>
      <c r="C1290" s="72" t="s">
        <v>4</v>
      </c>
      <c r="D1290" s="73" t="s">
        <v>362</v>
      </c>
      <c r="E1290" s="74">
        <v>40926.591666666667</v>
      </c>
      <c r="F1290" s="74"/>
      <c r="G1290" s="75" t="str">
        <f>IF(stdProdLT(Main[[#This Row],[Comments]])=0.1,"N/A",IF(stdProdLT(Main[[#This Row],[Comments]])=0,"",stdProdLT(Main[[#This Row],[Comments]])))</f>
        <v/>
      </c>
      <c r="H1290" s="76" t="str">
        <f>IF(AND(Main[[#This Row],[In Stock Date]]&lt;&gt;"",Main[[#This Row],[Revised Due Date]]&lt;&gt;""),Main[[#This Row],[In Stock Date]]-Main[[#This Row],[Revised Due Date]],"")</f>
        <v/>
      </c>
      <c r="I1290" s="72" t="s">
        <v>535</v>
      </c>
      <c r="J1290" s="72" t="s">
        <v>28</v>
      </c>
      <c r="K1290" s="72" t="s">
        <v>1941</v>
      </c>
      <c r="L1290" s="74"/>
      <c r="M1290" s="77" t="str">
        <f>IF(Main[[#This Row],[Tech Start Date]]&lt;1/1/1990,"",IF(Main[[#This Row],[Class]]="C",WORKDAY(Main[[#This Row],[Tech Start Date]],9),IF(Main[[#This Row],[Class]]="B", WORKDAY(Main[[#This Row],[Tech Start Date]],6),IF(Main[[#This Row],[Class]]="A",WORKDAY(Main[[#This Row],[Tech Start Date]],2),""))))</f>
        <v/>
      </c>
      <c r="N1290" s="77" t="str">
        <f>IF(Main[[#This Row],[Tech Start Date]]&lt;1/1/1990,"",IF(Main[[#This Row],[Class]]="C",WORKDAY(Main[[#This Row],[Tech Start Date]],19),IF(Main[[#This Row],[Class]]="B", WORKDAY(Main[[#This Row],[Tech Start Date]],12),IF(Main[[#This Row],[Class]]="A",WORKDAY(Main[[#This Row],[Tech Start Date]],4),""))))</f>
        <v/>
      </c>
      <c r="O1290" s="77" t="str">
        <f>IF(Main[[#This Row],[Tech Start Date]]&lt;1/1/1990,"",IF(Main[[#This Row],[Class]]="C",WORKDAY(Main[[#This Row],[Tech Start Date]],23),IF(Main[[#This Row],[Class]]="B", WORKDAY(Main[[#This Row],[Tech Start Date]],15),IF(Main[[#This Row],[Class]]="A",WORKDAY(Main[[#This Row],[Tech Start Date]],5),""))))</f>
        <v/>
      </c>
      <c r="P1290" s="77" t="str">
        <f>IF(Main[[#This Row],[Tech Start Date]]&lt;1/1/1990,"",IF(Main[[#This Row],[Class]]="C",WORKDAY(Main[[#This Row],[Tech Start Date]],28),IF(Main[[#This Row],[Class]]="B", WORKDAY(Main[[#This Row],[Tech Start Date]],19),IF(Main[[#This Row],[Class]]="A",WORKDAY(Main[[#This Row],[Tech Start Date]],9),""))))</f>
        <v/>
      </c>
      <c r="Q1290" s="74">
        <v>40746</v>
      </c>
      <c r="R1290" s="74"/>
      <c r="S1290" s="72" t="s">
        <v>6</v>
      </c>
      <c r="T1290" s="80" t="s">
        <v>4</v>
      </c>
      <c r="U1290" s="72" t="s">
        <v>29</v>
      </c>
      <c r="V1290" s="72" t="s">
        <v>1935</v>
      </c>
      <c r="W1290" s="72" t="s">
        <v>1936</v>
      </c>
      <c r="X1290" s="72" t="s">
        <v>2903</v>
      </c>
      <c r="Y1290" s="72" t="s">
        <v>3019</v>
      </c>
      <c r="Z1290" s="72" t="s">
        <v>30</v>
      </c>
      <c r="AA1290" s="147" t="s">
        <v>2903</v>
      </c>
    </row>
    <row r="1291" spans="1:27" ht="18.600000000000001" customHeight="1">
      <c r="A1291" s="140" t="str">
        <f>IF(priority(Main[[#This Row],[Comments]])&lt;&gt;0, priority(Main[[#This Row],[Comments]]),"")</f>
        <v/>
      </c>
      <c r="B1291" s="90" t="s">
        <v>3675</v>
      </c>
      <c r="C1291" s="72" t="s">
        <v>31</v>
      </c>
      <c r="D1291" s="73" t="s">
        <v>3804</v>
      </c>
      <c r="E1291" s="74">
        <v>40940.638229166667</v>
      </c>
      <c r="F1291" s="74">
        <v>40990</v>
      </c>
      <c r="G1291" s="75" t="str">
        <f>IF(stdProdLT(Main[[#This Row],[Comments]])=0.1,"N/A",IF(stdProdLT(Main[[#This Row],[Comments]])=0,"",stdProdLT(Main[[#This Row],[Comments]])))</f>
        <v/>
      </c>
      <c r="H1291" s="76" t="str">
        <f>IF(AND(Main[[#This Row],[In Stock Date]]&lt;&gt;"",Main[[#This Row],[Revised Due Date]]&lt;&gt;""),Main[[#This Row],[In Stock Date]]-Main[[#This Row],[Revised Due Date]],"")</f>
        <v/>
      </c>
      <c r="I1291" s="72" t="s">
        <v>2234</v>
      </c>
      <c r="J1291" s="72" t="s">
        <v>75</v>
      </c>
      <c r="K1291" s="81" t="s">
        <v>1939</v>
      </c>
      <c r="L1291" s="74"/>
      <c r="M1291" s="77" t="str">
        <f>IF(Main[[#This Row],[Tech Start Date]]&lt;1/1/1990,"",IF(Main[[#This Row],[Class]]="C",WORKDAY(Main[[#This Row],[Tech Start Date]],9),IF(Main[[#This Row],[Class]]="B", WORKDAY(Main[[#This Row],[Tech Start Date]],6),IF(Main[[#This Row],[Class]]="A",WORKDAY(Main[[#This Row],[Tech Start Date]],2),""))))</f>
        <v/>
      </c>
      <c r="N1291" s="77" t="str">
        <f>IF(Main[[#This Row],[Tech Start Date]]&lt;1/1/1990,"",IF(Main[[#This Row],[Class]]="C",WORKDAY(Main[[#This Row],[Tech Start Date]],19),IF(Main[[#This Row],[Class]]="B", WORKDAY(Main[[#This Row],[Tech Start Date]],12),IF(Main[[#This Row],[Class]]="A",WORKDAY(Main[[#This Row],[Tech Start Date]],4),""))))</f>
        <v/>
      </c>
      <c r="O1291" s="77" t="str">
        <f>IF(Main[[#This Row],[Tech Start Date]]&lt;1/1/1990,"",IF(Main[[#This Row],[Class]]="C",WORKDAY(Main[[#This Row],[Tech Start Date]],23),IF(Main[[#This Row],[Class]]="B", WORKDAY(Main[[#This Row],[Tech Start Date]],15),IF(Main[[#This Row],[Class]]="A",WORKDAY(Main[[#This Row],[Tech Start Date]],5),""))))</f>
        <v/>
      </c>
      <c r="P1291" s="77" t="str">
        <f>IF(Main[[#This Row],[Tech Start Date]]&lt;1/1/1990,"",IF(Main[[#This Row],[Class]]="C",WORKDAY(Main[[#This Row],[Tech Start Date]],28),IF(Main[[#This Row],[Class]]="B", WORKDAY(Main[[#This Row],[Tech Start Date]],19),IF(Main[[#This Row],[Class]]="A",WORKDAY(Main[[#This Row],[Tech Start Date]],9),""))))</f>
        <v/>
      </c>
      <c r="Q1291" s="74">
        <v>40942</v>
      </c>
      <c r="R1291" s="74"/>
      <c r="S1291" s="72" t="s">
        <v>6</v>
      </c>
      <c r="T1291" s="80" t="s">
        <v>4</v>
      </c>
      <c r="U1291" s="72" t="s">
        <v>29</v>
      </c>
      <c r="V1291" s="72" t="s">
        <v>1942</v>
      </c>
      <c r="W1291" s="72" t="s">
        <v>1938</v>
      </c>
      <c r="X1291" s="72" t="s">
        <v>2908</v>
      </c>
      <c r="Y1291" s="72" t="s">
        <v>3030</v>
      </c>
      <c r="Z1291" s="72" t="s">
        <v>310</v>
      </c>
      <c r="AA1291" s="147" t="s">
        <v>2908</v>
      </c>
    </row>
    <row r="1292" spans="1:27" ht="18.600000000000001" customHeight="1">
      <c r="A1292" s="140" t="str">
        <f>IF(priority(Main[[#This Row],[Comments]])&lt;&gt;0, priority(Main[[#This Row],[Comments]]),"")</f>
        <v/>
      </c>
      <c r="B1292" s="90" t="s">
        <v>2892</v>
      </c>
      <c r="C1292" s="72" t="s">
        <v>4</v>
      </c>
      <c r="D1292" s="73" t="s">
        <v>2893</v>
      </c>
      <c r="E1292" s="74">
        <v>40918.365578703706</v>
      </c>
      <c r="F1292" s="74"/>
      <c r="G1292" s="75" t="str">
        <f>IF(stdProdLT(Main[[#This Row],[Comments]])=0.1,"N/A",IF(stdProdLT(Main[[#This Row],[Comments]])=0,"",stdProdLT(Main[[#This Row],[Comments]])))</f>
        <v/>
      </c>
      <c r="H1292" s="76" t="str">
        <f>IF(AND(Main[[#This Row],[In Stock Date]]&lt;&gt;"",Main[[#This Row],[Revised Due Date]]&lt;&gt;""),Main[[#This Row],[In Stock Date]]-Main[[#This Row],[Revised Due Date]],"")</f>
        <v/>
      </c>
      <c r="I1292" s="72" t="s">
        <v>4</v>
      </c>
      <c r="J1292" s="72" t="s">
        <v>4</v>
      </c>
      <c r="K1292" s="72" t="s">
        <v>4</v>
      </c>
      <c r="L1292" s="74"/>
      <c r="M1292" s="77" t="str">
        <f>IF(Main[[#This Row],[Tech Start Date]]&lt;1/1/1990,"",IF(Main[[#This Row],[Class]]="C",WORKDAY(Main[[#This Row],[Tech Start Date]],9),IF(Main[[#This Row],[Class]]="B", WORKDAY(Main[[#This Row],[Tech Start Date]],6),IF(Main[[#This Row],[Class]]="A",WORKDAY(Main[[#This Row],[Tech Start Date]],2),""))))</f>
        <v/>
      </c>
      <c r="N1292" s="77" t="str">
        <f>IF(Main[[#This Row],[Tech Start Date]]&lt;1/1/1990,"",IF(Main[[#This Row],[Class]]="C",WORKDAY(Main[[#This Row],[Tech Start Date]],19),IF(Main[[#This Row],[Class]]="B", WORKDAY(Main[[#This Row],[Tech Start Date]],12),IF(Main[[#This Row],[Class]]="A",WORKDAY(Main[[#This Row],[Tech Start Date]],4),""))))</f>
        <v/>
      </c>
      <c r="O1292" s="77" t="str">
        <f>IF(Main[[#This Row],[Tech Start Date]]&lt;1/1/1990,"",IF(Main[[#This Row],[Class]]="C",WORKDAY(Main[[#This Row],[Tech Start Date]],23),IF(Main[[#This Row],[Class]]="B", WORKDAY(Main[[#This Row],[Tech Start Date]],15),IF(Main[[#This Row],[Class]]="A",WORKDAY(Main[[#This Row],[Tech Start Date]],5),""))))</f>
        <v/>
      </c>
      <c r="P1292" s="77" t="str">
        <f>IF(Main[[#This Row],[Tech Start Date]]&lt;1/1/1990,"",IF(Main[[#This Row],[Class]]="C",WORKDAY(Main[[#This Row],[Tech Start Date]],28),IF(Main[[#This Row],[Class]]="B", WORKDAY(Main[[#This Row],[Tech Start Date]],19),IF(Main[[#This Row],[Class]]="A",WORKDAY(Main[[#This Row],[Tech Start Date]],9),""))))</f>
        <v/>
      </c>
      <c r="Q1292" s="74">
        <v>40925</v>
      </c>
      <c r="R1292" s="74"/>
      <c r="S1292" s="72" t="s">
        <v>6</v>
      </c>
      <c r="T1292" s="80" t="s">
        <v>4</v>
      </c>
      <c r="U1292" s="72" t="s">
        <v>7</v>
      </c>
      <c r="V1292" s="72" t="s">
        <v>1932</v>
      </c>
      <c r="W1292" s="72" t="s">
        <v>4</v>
      </c>
      <c r="X1292" s="72" t="s">
        <v>2903</v>
      </c>
      <c r="Y1292" s="72" t="s">
        <v>3019</v>
      </c>
      <c r="Z1292" s="72" t="s">
        <v>4</v>
      </c>
      <c r="AA1292" s="147" t="s">
        <v>2903</v>
      </c>
    </row>
    <row r="1293" spans="1:27" ht="18.600000000000001" customHeight="1">
      <c r="A1293" s="140" t="str">
        <f>IF(priority(Main[[#This Row],[Comments]])&lt;&gt;0, priority(Main[[#This Row],[Comments]]),"")</f>
        <v/>
      </c>
      <c r="B1293" s="90" t="s">
        <v>3286</v>
      </c>
      <c r="C1293" s="72" t="s">
        <v>31</v>
      </c>
      <c r="D1293" s="73" t="s">
        <v>3287</v>
      </c>
      <c r="E1293" s="74"/>
      <c r="F1293" s="74">
        <v>41122</v>
      </c>
      <c r="G1293" s="75" t="str">
        <f>IF(stdProdLT(Main[[#This Row],[Comments]])=0.1,"N/A",IF(stdProdLT(Main[[#This Row],[Comments]])=0,"",stdProdLT(Main[[#This Row],[Comments]])))</f>
        <v/>
      </c>
      <c r="H1293" s="76" t="str">
        <f>IF(AND(Main[[#This Row],[In Stock Date]]&lt;&gt;"",Main[[#This Row],[Revised Due Date]]&lt;&gt;""),Main[[#This Row],[In Stock Date]]-Main[[#This Row],[Revised Due Date]],"")</f>
        <v/>
      </c>
      <c r="I1293" s="72" t="s">
        <v>4</v>
      </c>
      <c r="J1293" s="72" t="s">
        <v>4</v>
      </c>
      <c r="K1293" s="81" t="s">
        <v>4</v>
      </c>
      <c r="L1293" s="74"/>
      <c r="M1293" s="77" t="str">
        <f>IF(Main[[#This Row],[Tech Start Date]]&lt;1/1/1990,"",IF(Main[[#This Row],[Class]]="C",WORKDAY(Main[[#This Row],[Tech Start Date]],9),IF(Main[[#This Row],[Class]]="B", WORKDAY(Main[[#This Row],[Tech Start Date]],6),IF(Main[[#This Row],[Class]]="A",WORKDAY(Main[[#This Row],[Tech Start Date]],2),""))))</f>
        <v/>
      </c>
      <c r="N1293" s="77" t="str">
        <f>IF(Main[[#This Row],[Tech Start Date]]&lt;1/1/1990,"",IF(Main[[#This Row],[Class]]="C",WORKDAY(Main[[#This Row],[Tech Start Date]],19),IF(Main[[#This Row],[Class]]="B", WORKDAY(Main[[#This Row],[Tech Start Date]],12),IF(Main[[#This Row],[Class]]="A",WORKDAY(Main[[#This Row],[Tech Start Date]],4),""))))</f>
        <v/>
      </c>
      <c r="O1293" s="77" t="str">
        <f>IF(Main[[#This Row],[Tech Start Date]]&lt;1/1/1990,"",IF(Main[[#This Row],[Class]]="C",WORKDAY(Main[[#This Row],[Tech Start Date]],23),IF(Main[[#This Row],[Class]]="B", WORKDAY(Main[[#This Row],[Tech Start Date]],15),IF(Main[[#This Row],[Class]]="A",WORKDAY(Main[[#This Row],[Tech Start Date]],5),""))))</f>
        <v/>
      </c>
      <c r="P1293" s="77" t="str">
        <f>IF(Main[[#This Row],[Tech Start Date]]&lt;1/1/1990,"",IF(Main[[#This Row],[Class]]="C",WORKDAY(Main[[#This Row],[Tech Start Date]],28),IF(Main[[#This Row],[Class]]="B", WORKDAY(Main[[#This Row],[Tech Start Date]],19),IF(Main[[#This Row],[Class]]="A",WORKDAY(Main[[#This Row],[Tech Start Date]],9),""))))</f>
        <v/>
      </c>
      <c r="Q1293" s="74">
        <v>40940</v>
      </c>
      <c r="R1293" s="74"/>
      <c r="S1293" s="72" t="s">
        <v>11</v>
      </c>
      <c r="T1293" s="80" t="s">
        <v>4</v>
      </c>
      <c r="U1293" s="72" t="s">
        <v>12</v>
      </c>
      <c r="V1293" s="72" t="s">
        <v>1935</v>
      </c>
      <c r="W1293" s="72" t="s">
        <v>1943</v>
      </c>
      <c r="X1293" s="72" t="s">
        <v>2930</v>
      </c>
      <c r="Y1293" s="72" t="s">
        <v>4</v>
      </c>
      <c r="Z1293" s="72" t="s">
        <v>4</v>
      </c>
      <c r="AA1293" s="147" t="s">
        <v>2930</v>
      </c>
    </row>
    <row r="1294" spans="1:27" ht="18.600000000000001" customHeight="1">
      <c r="A1294" s="140" t="str">
        <f>IF(priority(Main[[#This Row],[Comments]])&lt;&gt;0, priority(Main[[#This Row],[Comments]]),"")</f>
        <v/>
      </c>
      <c r="B1294" s="90" t="s">
        <v>3310</v>
      </c>
      <c r="C1294" s="72" t="s">
        <v>4</v>
      </c>
      <c r="D1294" s="73" t="s">
        <v>3543</v>
      </c>
      <c r="E1294" s="74">
        <v>40921.54005787037</v>
      </c>
      <c r="F1294" s="74"/>
      <c r="G1294" s="75" t="str">
        <f>IF(stdProdLT(Main[[#This Row],[Comments]])=0.1,"N/A",IF(stdProdLT(Main[[#This Row],[Comments]])=0,"",stdProdLT(Main[[#This Row],[Comments]])))</f>
        <v/>
      </c>
      <c r="H1294" s="76" t="str">
        <f>IF(AND(Main[[#This Row],[In Stock Date]]&lt;&gt;"",Main[[#This Row],[Revised Due Date]]&lt;&gt;""),Main[[#This Row],[In Stock Date]]-Main[[#This Row],[Revised Due Date]],"")</f>
        <v/>
      </c>
      <c r="I1294" s="72" t="s">
        <v>923</v>
      </c>
      <c r="J1294" s="72" t="s">
        <v>52</v>
      </c>
      <c r="K1294" s="72" t="s">
        <v>4</v>
      </c>
      <c r="L1294" s="74"/>
      <c r="M1294" s="77" t="str">
        <f>IF(Main[[#This Row],[Tech Start Date]]&lt;1/1/1990,"",IF(Main[[#This Row],[Class]]="C",WORKDAY(Main[[#This Row],[Tech Start Date]],9),IF(Main[[#This Row],[Class]]="B", WORKDAY(Main[[#This Row],[Tech Start Date]],6),IF(Main[[#This Row],[Class]]="A",WORKDAY(Main[[#This Row],[Tech Start Date]],2),""))))</f>
        <v/>
      </c>
      <c r="N1294" s="77" t="str">
        <f>IF(Main[[#This Row],[Tech Start Date]]&lt;1/1/1990,"",IF(Main[[#This Row],[Class]]="C",WORKDAY(Main[[#This Row],[Tech Start Date]],19),IF(Main[[#This Row],[Class]]="B", WORKDAY(Main[[#This Row],[Tech Start Date]],12),IF(Main[[#This Row],[Class]]="A",WORKDAY(Main[[#This Row],[Tech Start Date]],4),""))))</f>
        <v/>
      </c>
      <c r="O1294" s="77" t="str">
        <f>IF(Main[[#This Row],[Tech Start Date]]&lt;1/1/1990,"",IF(Main[[#This Row],[Class]]="C",WORKDAY(Main[[#This Row],[Tech Start Date]],23),IF(Main[[#This Row],[Class]]="B", WORKDAY(Main[[#This Row],[Tech Start Date]],15),IF(Main[[#This Row],[Class]]="A",WORKDAY(Main[[#This Row],[Tech Start Date]],5),""))))</f>
        <v/>
      </c>
      <c r="P1294" s="77" t="str">
        <f>IF(Main[[#This Row],[Tech Start Date]]&lt;1/1/1990,"",IF(Main[[#This Row],[Class]]="C",WORKDAY(Main[[#This Row],[Tech Start Date]],28),IF(Main[[#This Row],[Class]]="B", WORKDAY(Main[[#This Row],[Tech Start Date]],19),IF(Main[[#This Row],[Class]]="A",WORKDAY(Main[[#This Row],[Tech Start Date]],9),""))))</f>
        <v/>
      </c>
      <c r="Q1294" s="74"/>
      <c r="R1294" s="74"/>
      <c r="S1294" s="72" t="s">
        <v>6</v>
      </c>
      <c r="T1294" s="80" t="s">
        <v>4</v>
      </c>
      <c r="U1294" s="72" t="s">
        <v>29</v>
      </c>
      <c r="V1294" s="72" t="s">
        <v>1932</v>
      </c>
      <c r="W1294" s="72" t="s">
        <v>1936</v>
      </c>
      <c r="X1294" s="72" t="s">
        <v>949</v>
      </c>
      <c r="Y1294" s="72" t="s">
        <v>3071</v>
      </c>
      <c r="Z1294" s="72" t="s">
        <v>4</v>
      </c>
      <c r="AA1294" s="147" t="s">
        <v>949</v>
      </c>
    </row>
    <row r="1295" spans="1:27" ht="18.600000000000001" customHeight="1">
      <c r="A1295" s="140" t="str">
        <f>IF(priority(Main[[#This Row],[Comments]])&lt;&gt;0, priority(Main[[#This Row],[Comments]]),"")</f>
        <v/>
      </c>
      <c r="B1295" s="90" t="s">
        <v>3431</v>
      </c>
      <c r="C1295" s="72" t="s">
        <v>4</v>
      </c>
      <c r="D1295" s="73" t="s">
        <v>3432</v>
      </c>
      <c r="E1295" s="74">
        <v>40934.445497685185</v>
      </c>
      <c r="F1295" s="74"/>
      <c r="G1295" s="75" t="str">
        <f>IF(stdProdLT(Main[[#This Row],[Comments]])=0.1,"N/A",IF(stdProdLT(Main[[#This Row],[Comments]])=0,"",stdProdLT(Main[[#This Row],[Comments]])))</f>
        <v/>
      </c>
      <c r="H1295" s="76" t="str">
        <f>IF(AND(Main[[#This Row],[In Stock Date]]&lt;&gt;"",Main[[#This Row],[Revised Due Date]]&lt;&gt;""),Main[[#This Row],[In Stock Date]]-Main[[#This Row],[Revised Due Date]],"")</f>
        <v/>
      </c>
      <c r="I1295" s="72" t="s">
        <v>4</v>
      </c>
      <c r="J1295" s="72" t="s">
        <v>4</v>
      </c>
      <c r="K1295" s="72" t="s">
        <v>4</v>
      </c>
      <c r="L1295" s="74"/>
      <c r="M1295" s="77" t="str">
        <f>IF(Main[[#This Row],[Tech Start Date]]&lt;1/1/1990,"",IF(Main[[#This Row],[Class]]="C",WORKDAY(Main[[#This Row],[Tech Start Date]],9),IF(Main[[#This Row],[Class]]="B", WORKDAY(Main[[#This Row],[Tech Start Date]],6),IF(Main[[#This Row],[Class]]="A",WORKDAY(Main[[#This Row],[Tech Start Date]],2),""))))</f>
        <v/>
      </c>
      <c r="N1295" s="77" t="str">
        <f>IF(Main[[#This Row],[Tech Start Date]]&lt;1/1/1990,"",IF(Main[[#This Row],[Class]]="C",WORKDAY(Main[[#This Row],[Tech Start Date]],19),IF(Main[[#This Row],[Class]]="B", WORKDAY(Main[[#This Row],[Tech Start Date]],12),IF(Main[[#This Row],[Class]]="A",WORKDAY(Main[[#This Row],[Tech Start Date]],4),""))))</f>
        <v/>
      </c>
      <c r="O1295" s="77" t="str">
        <f>IF(Main[[#This Row],[Tech Start Date]]&lt;1/1/1990,"",IF(Main[[#This Row],[Class]]="C",WORKDAY(Main[[#This Row],[Tech Start Date]],23),IF(Main[[#This Row],[Class]]="B", WORKDAY(Main[[#This Row],[Tech Start Date]],15),IF(Main[[#This Row],[Class]]="A",WORKDAY(Main[[#This Row],[Tech Start Date]],5),""))))</f>
        <v/>
      </c>
      <c r="P1295" s="77" t="str">
        <f>IF(Main[[#This Row],[Tech Start Date]]&lt;1/1/1990,"",IF(Main[[#This Row],[Class]]="C",WORKDAY(Main[[#This Row],[Tech Start Date]],28),IF(Main[[#This Row],[Class]]="B", WORKDAY(Main[[#This Row],[Tech Start Date]],19),IF(Main[[#This Row],[Class]]="A",WORKDAY(Main[[#This Row],[Tech Start Date]],9),""))))</f>
        <v/>
      </c>
      <c r="Q1295" s="74">
        <v>40968</v>
      </c>
      <c r="R1295" s="74"/>
      <c r="S1295" s="72" t="s">
        <v>6</v>
      </c>
      <c r="T1295" s="80" t="s">
        <v>4</v>
      </c>
      <c r="U1295" s="72" t="s">
        <v>7</v>
      </c>
      <c r="V1295" s="72" t="s">
        <v>1935</v>
      </c>
      <c r="W1295" s="72" t="s">
        <v>4</v>
      </c>
      <c r="X1295" s="72" t="s">
        <v>2903</v>
      </c>
      <c r="Y1295" s="72" t="s">
        <v>3019</v>
      </c>
      <c r="Z1295" s="72" t="s">
        <v>4</v>
      </c>
      <c r="AA1295" s="147" t="s">
        <v>2903</v>
      </c>
    </row>
    <row r="1296" spans="1:27" ht="18.600000000000001" customHeight="1">
      <c r="A1296" s="140" t="str">
        <f>IF(priority(Main[[#This Row],[Comments]])&lt;&gt;0, priority(Main[[#This Row],[Comments]]),"")</f>
        <v/>
      </c>
      <c r="B1296" s="90" t="s">
        <v>2329</v>
      </c>
      <c r="C1296" s="72" t="s">
        <v>4</v>
      </c>
      <c r="D1296" s="73" t="s">
        <v>2637</v>
      </c>
      <c r="E1296" s="74">
        <v>40820.42082175926</v>
      </c>
      <c r="F1296" s="74"/>
      <c r="G1296" s="75" t="str">
        <f>IF(stdProdLT(Main[[#This Row],[Comments]])=0.1,"N/A",IF(stdProdLT(Main[[#This Row],[Comments]])=0,"",stdProdLT(Main[[#This Row],[Comments]])))</f>
        <v/>
      </c>
      <c r="H1296" s="76" t="str">
        <f>IF(AND(Main[[#This Row],[In Stock Date]]&lt;&gt;"",Main[[#This Row],[Revised Due Date]]&lt;&gt;""),Main[[#This Row],[In Stock Date]]-Main[[#This Row],[Revised Due Date]],"")</f>
        <v/>
      </c>
      <c r="I1296" s="72" t="s">
        <v>567</v>
      </c>
      <c r="J1296" s="72" t="s">
        <v>21</v>
      </c>
      <c r="K1296" s="72" t="s">
        <v>4</v>
      </c>
      <c r="L1296" s="74"/>
      <c r="M1296" s="77" t="str">
        <f>IF(Main[[#This Row],[Tech Start Date]]&lt;1/1/1990,"",IF(Main[[#This Row],[Class]]="C",WORKDAY(Main[[#This Row],[Tech Start Date]],9),IF(Main[[#This Row],[Class]]="B", WORKDAY(Main[[#This Row],[Tech Start Date]],6),IF(Main[[#This Row],[Class]]="A",WORKDAY(Main[[#This Row],[Tech Start Date]],2),""))))</f>
        <v/>
      </c>
      <c r="N1296" s="77" t="str">
        <f>IF(Main[[#This Row],[Tech Start Date]]&lt;1/1/1990,"",IF(Main[[#This Row],[Class]]="C",WORKDAY(Main[[#This Row],[Tech Start Date]],19),IF(Main[[#This Row],[Class]]="B", WORKDAY(Main[[#This Row],[Tech Start Date]],12),IF(Main[[#This Row],[Class]]="A",WORKDAY(Main[[#This Row],[Tech Start Date]],4),""))))</f>
        <v/>
      </c>
      <c r="O1296" s="77" t="str">
        <f>IF(Main[[#This Row],[Tech Start Date]]&lt;1/1/1990,"",IF(Main[[#This Row],[Class]]="C",WORKDAY(Main[[#This Row],[Tech Start Date]],23),IF(Main[[#This Row],[Class]]="B", WORKDAY(Main[[#This Row],[Tech Start Date]],15),IF(Main[[#This Row],[Class]]="A",WORKDAY(Main[[#This Row],[Tech Start Date]],5),""))))</f>
        <v/>
      </c>
      <c r="P1296" s="77" t="str">
        <f>IF(Main[[#This Row],[Tech Start Date]]&lt;1/1/1990,"",IF(Main[[#This Row],[Class]]="C",WORKDAY(Main[[#This Row],[Tech Start Date]],28),IF(Main[[#This Row],[Class]]="B", WORKDAY(Main[[#This Row],[Tech Start Date]],19),IF(Main[[#This Row],[Class]]="A",WORKDAY(Main[[#This Row],[Tech Start Date]],9),""))))</f>
        <v/>
      </c>
      <c r="Q1296" s="74"/>
      <c r="R1296" s="74">
        <v>40840</v>
      </c>
      <c r="S1296" s="72" t="s">
        <v>6</v>
      </c>
      <c r="T1296" s="80" t="s">
        <v>4</v>
      </c>
      <c r="U1296" s="72" t="s">
        <v>29</v>
      </c>
      <c r="V1296" s="72" t="s">
        <v>1932</v>
      </c>
      <c r="W1296" s="72" t="s">
        <v>1940</v>
      </c>
      <c r="X1296" s="72" t="s">
        <v>50</v>
      </c>
      <c r="Y1296" s="72" t="s">
        <v>3046</v>
      </c>
      <c r="Z1296" s="72" t="s">
        <v>4</v>
      </c>
      <c r="AA1296" s="147" t="s">
        <v>2912</v>
      </c>
    </row>
    <row r="1297" spans="1:27" ht="18.600000000000001" customHeight="1">
      <c r="A1297" s="140" t="str">
        <f>IF(priority(Main[[#This Row],[Comments]])&lt;&gt;0, priority(Main[[#This Row],[Comments]]),"")</f>
        <v/>
      </c>
      <c r="B1297" s="90" t="s">
        <v>3805</v>
      </c>
      <c r="C1297" s="72" t="s">
        <v>4</v>
      </c>
      <c r="D1297" s="73" t="s">
        <v>3806</v>
      </c>
      <c r="E1297" s="74">
        <v>40945.679675925923</v>
      </c>
      <c r="F1297" s="74"/>
      <c r="G1297" s="75" t="str">
        <f>IF(stdProdLT(Main[[#This Row],[Comments]])=0.1,"N/A",IF(stdProdLT(Main[[#This Row],[Comments]])=0,"",stdProdLT(Main[[#This Row],[Comments]])))</f>
        <v/>
      </c>
      <c r="H1297" s="76" t="str">
        <f>IF(AND(Main[[#This Row],[In Stock Date]]&lt;&gt;"",Main[[#This Row],[Revised Due Date]]&lt;&gt;""),Main[[#This Row],[In Stock Date]]-Main[[#This Row],[Revised Due Date]],"")</f>
        <v/>
      </c>
      <c r="I1297" s="72" t="s">
        <v>4</v>
      </c>
      <c r="J1297" s="72" t="s">
        <v>4</v>
      </c>
      <c r="K1297" s="72" t="s">
        <v>4</v>
      </c>
      <c r="L1297" s="74"/>
      <c r="M1297" s="77" t="str">
        <f>IF(Main[[#This Row],[Tech Start Date]]&lt;1/1/1990,"",IF(Main[[#This Row],[Class]]="C",WORKDAY(Main[[#This Row],[Tech Start Date]],9),IF(Main[[#This Row],[Class]]="B", WORKDAY(Main[[#This Row],[Tech Start Date]],6),IF(Main[[#This Row],[Class]]="A",WORKDAY(Main[[#This Row],[Tech Start Date]],2),""))))</f>
        <v/>
      </c>
      <c r="N1297" s="77" t="str">
        <f>IF(Main[[#This Row],[Tech Start Date]]&lt;1/1/1990,"",IF(Main[[#This Row],[Class]]="C",WORKDAY(Main[[#This Row],[Tech Start Date]],19),IF(Main[[#This Row],[Class]]="B", WORKDAY(Main[[#This Row],[Tech Start Date]],12),IF(Main[[#This Row],[Class]]="A",WORKDAY(Main[[#This Row],[Tech Start Date]],4),""))))</f>
        <v/>
      </c>
      <c r="O1297" s="77" t="str">
        <f>IF(Main[[#This Row],[Tech Start Date]]&lt;1/1/1990,"",IF(Main[[#This Row],[Class]]="C",WORKDAY(Main[[#This Row],[Tech Start Date]],23),IF(Main[[#This Row],[Class]]="B", WORKDAY(Main[[#This Row],[Tech Start Date]],15),IF(Main[[#This Row],[Class]]="A",WORKDAY(Main[[#This Row],[Tech Start Date]],5),""))))</f>
        <v/>
      </c>
      <c r="P1297" s="77" t="str">
        <f>IF(Main[[#This Row],[Tech Start Date]]&lt;1/1/1990,"",IF(Main[[#This Row],[Class]]="C",WORKDAY(Main[[#This Row],[Tech Start Date]],28),IF(Main[[#This Row],[Class]]="B", WORKDAY(Main[[#This Row],[Tech Start Date]],19),IF(Main[[#This Row],[Class]]="A",WORKDAY(Main[[#This Row],[Tech Start Date]],9),""))))</f>
        <v/>
      </c>
      <c r="Q1297" s="74"/>
      <c r="R1297" s="74"/>
      <c r="S1297" s="72" t="s">
        <v>4</v>
      </c>
      <c r="T1297" s="80" t="s">
        <v>4</v>
      </c>
      <c r="U1297" s="72" t="s">
        <v>7</v>
      </c>
      <c r="V1297" s="72" t="s">
        <v>1932</v>
      </c>
      <c r="W1297" s="72" t="s">
        <v>4</v>
      </c>
      <c r="X1297" s="72" t="s">
        <v>3807</v>
      </c>
      <c r="Y1297" s="72" t="s">
        <v>3808</v>
      </c>
      <c r="Z1297" s="72" t="s">
        <v>4</v>
      </c>
      <c r="AA1297" s="147" t="s">
        <v>3807</v>
      </c>
    </row>
    <row r="1298" spans="1:27" ht="18.600000000000001" customHeight="1">
      <c r="A1298" s="140" t="str">
        <f>IF(priority(Main[[#This Row],[Comments]])&lt;&gt;0, priority(Main[[#This Row],[Comments]]),"")</f>
        <v/>
      </c>
      <c r="B1298" s="90" t="s">
        <v>1691</v>
      </c>
      <c r="C1298" s="72" t="s">
        <v>37</v>
      </c>
      <c r="D1298" s="73" t="s">
        <v>2642</v>
      </c>
      <c r="E1298" s="74">
        <v>40681.624918981484</v>
      </c>
      <c r="F1298" s="74"/>
      <c r="G1298" s="75" t="str">
        <f>IF(stdProdLT(Main[[#This Row],[Comments]])=0.1,"N/A",IF(stdProdLT(Main[[#This Row],[Comments]])=0,"",stdProdLT(Main[[#This Row],[Comments]])))</f>
        <v/>
      </c>
      <c r="H1298" s="76" t="str">
        <f>IF(AND(Main[[#This Row],[In Stock Date]]&lt;&gt;"",Main[[#This Row],[Revised Due Date]]&lt;&gt;""),Main[[#This Row],[In Stock Date]]-Main[[#This Row],[Revised Due Date]],"")</f>
        <v/>
      </c>
      <c r="I1298" s="72" t="s">
        <v>4</v>
      </c>
      <c r="J1298" s="72" t="s">
        <v>4</v>
      </c>
      <c r="K1298" s="72" t="s">
        <v>4</v>
      </c>
      <c r="L1298" s="74"/>
      <c r="M1298" s="77" t="str">
        <f>IF(Main[[#This Row],[Tech Start Date]]&lt;1/1/1990,"",IF(Main[[#This Row],[Class]]="C",WORKDAY(Main[[#This Row],[Tech Start Date]],9),IF(Main[[#This Row],[Class]]="B", WORKDAY(Main[[#This Row],[Tech Start Date]],6),IF(Main[[#This Row],[Class]]="A",WORKDAY(Main[[#This Row],[Tech Start Date]],2),""))))</f>
        <v/>
      </c>
      <c r="N1298" s="77" t="str">
        <f>IF(Main[[#This Row],[Tech Start Date]]&lt;1/1/1990,"",IF(Main[[#This Row],[Class]]="C",WORKDAY(Main[[#This Row],[Tech Start Date]],19),IF(Main[[#This Row],[Class]]="B", WORKDAY(Main[[#This Row],[Tech Start Date]],12),IF(Main[[#This Row],[Class]]="A",WORKDAY(Main[[#This Row],[Tech Start Date]],4),""))))</f>
        <v/>
      </c>
      <c r="O1298" s="77" t="str">
        <f>IF(Main[[#This Row],[Tech Start Date]]&lt;1/1/1990,"",IF(Main[[#This Row],[Class]]="C",WORKDAY(Main[[#This Row],[Tech Start Date]],23),IF(Main[[#This Row],[Class]]="B", WORKDAY(Main[[#This Row],[Tech Start Date]],15),IF(Main[[#This Row],[Class]]="A",WORKDAY(Main[[#This Row],[Tech Start Date]],5),""))))</f>
        <v/>
      </c>
      <c r="P1298" s="77" t="str">
        <f>IF(Main[[#This Row],[Tech Start Date]]&lt;1/1/1990,"",IF(Main[[#This Row],[Class]]="C",WORKDAY(Main[[#This Row],[Tech Start Date]],28),IF(Main[[#This Row],[Class]]="B", WORKDAY(Main[[#This Row],[Tech Start Date]],19),IF(Main[[#This Row],[Class]]="A",WORKDAY(Main[[#This Row],[Tech Start Date]],9),""))))</f>
        <v/>
      </c>
      <c r="Q1298" s="74"/>
      <c r="R1298" s="74"/>
      <c r="S1298" s="72" t="s">
        <v>6</v>
      </c>
      <c r="T1298" s="80" t="s">
        <v>4</v>
      </c>
      <c r="U1298" s="72" t="s">
        <v>539</v>
      </c>
      <c r="V1298" s="72" t="s">
        <v>1932</v>
      </c>
      <c r="W1298" s="72" t="s">
        <v>1943</v>
      </c>
      <c r="X1298" s="72" t="s">
        <v>982</v>
      </c>
      <c r="Y1298" s="72" t="s">
        <v>3184</v>
      </c>
      <c r="Z1298" s="72" t="s">
        <v>4</v>
      </c>
      <c r="AA1298" s="147" t="s">
        <v>982</v>
      </c>
    </row>
    <row r="1299" spans="1:27" ht="18.600000000000001" customHeight="1">
      <c r="A1299" s="140" t="str">
        <f>IF(priority(Main[[#This Row],[Comments]])&lt;&gt;0, priority(Main[[#This Row],[Comments]]),"")</f>
        <v/>
      </c>
      <c r="B1299" s="90" t="s">
        <v>1679</v>
      </c>
      <c r="C1299" s="72" t="s">
        <v>4</v>
      </c>
      <c r="D1299" s="73" t="s">
        <v>3809</v>
      </c>
      <c r="E1299" s="74">
        <v>40528.434965277775</v>
      </c>
      <c r="F1299" s="74"/>
      <c r="G1299" s="75" t="str">
        <f>IF(stdProdLT(Main[[#This Row],[Comments]])=0.1,"N/A",IF(stdProdLT(Main[[#This Row],[Comments]])=0,"",stdProdLT(Main[[#This Row],[Comments]])))</f>
        <v/>
      </c>
      <c r="H1299" s="76" t="str">
        <f>IF(AND(Main[[#This Row],[In Stock Date]]&lt;&gt;"",Main[[#This Row],[Revised Due Date]]&lt;&gt;""),Main[[#This Row],[In Stock Date]]-Main[[#This Row],[Revised Due Date]],"")</f>
        <v/>
      </c>
      <c r="I1299" s="72" t="s">
        <v>4</v>
      </c>
      <c r="J1299" s="72" t="s">
        <v>28</v>
      </c>
      <c r="K1299" s="72" t="s">
        <v>1944</v>
      </c>
      <c r="L1299" s="74"/>
      <c r="M1299" s="77" t="str">
        <f>IF(Main[[#This Row],[Tech Start Date]]&lt;1/1/1990,"",IF(Main[[#This Row],[Class]]="C",WORKDAY(Main[[#This Row],[Tech Start Date]],9),IF(Main[[#This Row],[Class]]="B", WORKDAY(Main[[#This Row],[Tech Start Date]],6),IF(Main[[#This Row],[Class]]="A",WORKDAY(Main[[#This Row],[Tech Start Date]],2),""))))</f>
        <v/>
      </c>
      <c r="N1299" s="77" t="str">
        <f>IF(Main[[#This Row],[Tech Start Date]]&lt;1/1/1990,"",IF(Main[[#This Row],[Class]]="C",WORKDAY(Main[[#This Row],[Tech Start Date]],19),IF(Main[[#This Row],[Class]]="B", WORKDAY(Main[[#This Row],[Tech Start Date]],12),IF(Main[[#This Row],[Class]]="A",WORKDAY(Main[[#This Row],[Tech Start Date]],4),""))))</f>
        <v/>
      </c>
      <c r="O1299" s="77" t="str">
        <f>IF(Main[[#This Row],[Tech Start Date]]&lt;1/1/1990,"",IF(Main[[#This Row],[Class]]="C",WORKDAY(Main[[#This Row],[Tech Start Date]],23),IF(Main[[#This Row],[Class]]="B", WORKDAY(Main[[#This Row],[Tech Start Date]],15),IF(Main[[#This Row],[Class]]="A",WORKDAY(Main[[#This Row],[Tech Start Date]],5),""))))</f>
        <v/>
      </c>
      <c r="P1299" s="77" t="str">
        <f>IF(Main[[#This Row],[Tech Start Date]]&lt;1/1/1990,"",IF(Main[[#This Row],[Class]]="C",WORKDAY(Main[[#This Row],[Tech Start Date]],28),IF(Main[[#This Row],[Class]]="B", WORKDAY(Main[[#This Row],[Tech Start Date]],19),IF(Main[[#This Row],[Class]]="A",WORKDAY(Main[[#This Row],[Tech Start Date]],9),""))))</f>
        <v/>
      </c>
      <c r="Q1299" s="74">
        <v>41152</v>
      </c>
      <c r="R1299" s="74"/>
      <c r="S1299" s="72" t="s">
        <v>17</v>
      </c>
      <c r="T1299" s="80" t="s">
        <v>4</v>
      </c>
      <c r="U1299" s="72" t="s">
        <v>7</v>
      </c>
      <c r="V1299" s="72" t="s">
        <v>1932</v>
      </c>
      <c r="W1299" s="72" t="s">
        <v>1937</v>
      </c>
      <c r="X1299" s="72" t="s">
        <v>129</v>
      </c>
      <c r="Y1299" s="72" t="s">
        <v>3164</v>
      </c>
      <c r="Z1299" s="72" t="s">
        <v>129</v>
      </c>
      <c r="AA1299" s="147" t="s">
        <v>129</v>
      </c>
    </row>
    <row r="1300" spans="1:27" ht="18.600000000000001" customHeight="1">
      <c r="A1300" s="140" t="str">
        <f>IF(priority(Main[[#This Row],[Comments]])&lt;&gt;0, priority(Main[[#This Row],[Comments]]),"")</f>
        <v/>
      </c>
      <c r="B1300" s="90" t="s">
        <v>2749</v>
      </c>
      <c r="C1300" s="72" t="s">
        <v>4</v>
      </c>
      <c r="D1300" s="73" t="s">
        <v>2750</v>
      </c>
      <c r="E1300" s="74">
        <v>40900.141886574071</v>
      </c>
      <c r="F1300" s="74"/>
      <c r="G1300" s="75" t="str">
        <f>IF(stdProdLT(Main[[#This Row],[Comments]])=0.1,"N/A",IF(stdProdLT(Main[[#This Row],[Comments]])=0,"",stdProdLT(Main[[#This Row],[Comments]])))</f>
        <v/>
      </c>
      <c r="H1300" s="76" t="str">
        <f>IF(AND(Main[[#This Row],[In Stock Date]]&lt;&gt;"",Main[[#This Row],[Revised Due Date]]&lt;&gt;""),Main[[#This Row],[In Stock Date]]-Main[[#This Row],[Revised Due Date]],"")</f>
        <v/>
      </c>
      <c r="I1300" s="72" t="s">
        <v>69</v>
      </c>
      <c r="J1300" s="72" t="s">
        <v>28</v>
      </c>
      <c r="K1300" s="72" t="s">
        <v>1941</v>
      </c>
      <c r="L1300" s="74"/>
      <c r="M1300" s="77" t="str">
        <f>IF(Main[[#This Row],[Tech Start Date]]&lt;1/1/1990,"",IF(Main[[#This Row],[Class]]="C",WORKDAY(Main[[#This Row],[Tech Start Date]],9),IF(Main[[#This Row],[Class]]="B", WORKDAY(Main[[#This Row],[Tech Start Date]],6),IF(Main[[#This Row],[Class]]="A",WORKDAY(Main[[#This Row],[Tech Start Date]],2),""))))</f>
        <v/>
      </c>
      <c r="N1300" s="77" t="str">
        <f>IF(Main[[#This Row],[Tech Start Date]]&lt;1/1/1990,"",IF(Main[[#This Row],[Class]]="C",WORKDAY(Main[[#This Row],[Tech Start Date]],19),IF(Main[[#This Row],[Class]]="B", WORKDAY(Main[[#This Row],[Tech Start Date]],12),IF(Main[[#This Row],[Class]]="A",WORKDAY(Main[[#This Row],[Tech Start Date]],4),""))))</f>
        <v/>
      </c>
      <c r="O1300" s="77" t="str">
        <f>IF(Main[[#This Row],[Tech Start Date]]&lt;1/1/1990,"",IF(Main[[#This Row],[Class]]="C",WORKDAY(Main[[#This Row],[Tech Start Date]],23),IF(Main[[#This Row],[Class]]="B", WORKDAY(Main[[#This Row],[Tech Start Date]],15),IF(Main[[#This Row],[Class]]="A",WORKDAY(Main[[#This Row],[Tech Start Date]],5),""))))</f>
        <v/>
      </c>
      <c r="P1300" s="77" t="str">
        <f>IF(Main[[#This Row],[Tech Start Date]]&lt;1/1/1990,"",IF(Main[[#This Row],[Class]]="C",WORKDAY(Main[[#This Row],[Tech Start Date]],28),IF(Main[[#This Row],[Class]]="B", WORKDAY(Main[[#This Row],[Tech Start Date]],19),IF(Main[[#This Row],[Class]]="A",WORKDAY(Main[[#This Row],[Tech Start Date]],9),""))))</f>
        <v/>
      </c>
      <c r="Q1300" s="74">
        <v>40931</v>
      </c>
      <c r="R1300" s="74"/>
      <c r="S1300" s="72" t="s">
        <v>6</v>
      </c>
      <c r="T1300" s="80" t="s">
        <v>4</v>
      </c>
      <c r="U1300" s="72" t="s">
        <v>29</v>
      </c>
      <c r="V1300" s="72" t="s">
        <v>1935</v>
      </c>
      <c r="W1300" s="72" t="s">
        <v>1936</v>
      </c>
      <c r="X1300" s="72" t="s">
        <v>2906</v>
      </c>
      <c r="Y1300" s="72" t="s">
        <v>3025</v>
      </c>
      <c r="Z1300" s="72" t="s">
        <v>30</v>
      </c>
      <c r="AA1300" s="147" t="s">
        <v>2906</v>
      </c>
    </row>
    <row r="1301" spans="1:27" ht="18.600000000000001" customHeight="1">
      <c r="A1301" s="140" t="str">
        <f>IF(priority(Main[[#This Row],[Comments]])&lt;&gt;0, priority(Main[[#This Row],[Comments]]),"")</f>
        <v/>
      </c>
      <c r="B1301" s="90" t="s">
        <v>3433</v>
      </c>
      <c r="C1301" s="72" t="s">
        <v>4</v>
      </c>
      <c r="D1301" s="73" t="s">
        <v>3434</v>
      </c>
      <c r="E1301" s="74">
        <v>40933.268750000003</v>
      </c>
      <c r="F1301" s="74"/>
      <c r="G1301" s="75" t="str">
        <f>IF(stdProdLT(Main[[#This Row],[Comments]])=0.1,"N/A",IF(stdProdLT(Main[[#This Row],[Comments]])=0,"",stdProdLT(Main[[#This Row],[Comments]])))</f>
        <v/>
      </c>
      <c r="H1301" s="76" t="str">
        <f>IF(AND(Main[[#This Row],[In Stock Date]]&lt;&gt;"",Main[[#This Row],[Revised Due Date]]&lt;&gt;""),Main[[#This Row],[In Stock Date]]-Main[[#This Row],[Revised Due Date]],"")</f>
        <v/>
      </c>
      <c r="I1301" s="72" t="s">
        <v>4</v>
      </c>
      <c r="J1301" s="72" t="s">
        <v>4</v>
      </c>
      <c r="K1301" s="72" t="s">
        <v>4</v>
      </c>
      <c r="L1301" s="74"/>
      <c r="M1301" s="77" t="str">
        <f>IF(Main[[#This Row],[Tech Start Date]]&lt;1/1/1990,"",IF(Main[[#This Row],[Class]]="C",WORKDAY(Main[[#This Row],[Tech Start Date]],9),IF(Main[[#This Row],[Class]]="B", WORKDAY(Main[[#This Row],[Tech Start Date]],6),IF(Main[[#This Row],[Class]]="A",WORKDAY(Main[[#This Row],[Tech Start Date]],2),""))))</f>
        <v/>
      </c>
      <c r="N1301" s="77" t="str">
        <f>IF(Main[[#This Row],[Tech Start Date]]&lt;1/1/1990,"",IF(Main[[#This Row],[Class]]="C",WORKDAY(Main[[#This Row],[Tech Start Date]],19),IF(Main[[#This Row],[Class]]="B", WORKDAY(Main[[#This Row],[Tech Start Date]],12),IF(Main[[#This Row],[Class]]="A",WORKDAY(Main[[#This Row],[Tech Start Date]],4),""))))</f>
        <v/>
      </c>
      <c r="O1301" s="77" t="str">
        <f>IF(Main[[#This Row],[Tech Start Date]]&lt;1/1/1990,"",IF(Main[[#This Row],[Class]]="C",WORKDAY(Main[[#This Row],[Tech Start Date]],23),IF(Main[[#This Row],[Class]]="B", WORKDAY(Main[[#This Row],[Tech Start Date]],15),IF(Main[[#This Row],[Class]]="A",WORKDAY(Main[[#This Row],[Tech Start Date]],5),""))))</f>
        <v/>
      </c>
      <c r="P1301" s="77" t="str">
        <f>IF(Main[[#This Row],[Tech Start Date]]&lt;1/1/1990,"",IF(Main[[#This Row],[Class]]="C",WORKDAY(Main[[#This Row],[Tech Start Date]],28),IF(Main[[#This Row],[Class]]="B", WORKDAY(Main[[#This Row],[Tech Start Date]],19),IF(Main[[#This Row],[Class]]="A",WORKDAY(Main[[#This Row],[Tech Start Date]],9),""))))</f>
        <v/>
      </c>
      <c r="Q1301" s="74">
        <v>40963</v>
      </c>
      <c r="R1301" s="74"/>
      <c r="S1301" s="72" t="s">
        <v>6</v>
      </c>
      <c r="T1301" s="80" t="s">
        <v>4</v>
      </c>
      <c r="U1301" s="72" t="s">
        <v>7</v>
      </c>
      <c r="V1301" s="72" t="s">
        <v>1932</v>
      </c>
      <c r="W1301" s="72" t="s">
        <v>4</v>
      </c>
      <c r="X1301" s="72" t="s">
        <v>2906</v>
      </c>
      <c r="Y1301" s="72" t="s">
        <v>3025</v>
      </c>
      <c r="Z1301" s="72" t="s">
        <v>4</v>
      </c>
      <c r="AA1301" s="147" t="s">
        <v>2906</v>
      </c>
    </row>
    <row r="1302" spans="1:27" ht="18.600000000000001" customHeight="1">
      <c r="A1302" s="140" t="str">
        <f>IF(priority(Main[[#This Row],[Comments]])&lt;&gt;0, priority(Main[[#This Row],[Comments]]),"")</f>
        <v/>
      </c>
      <c r="B1302" s="90" t="s">
        <v>3692</v>
      </c>
      <c r="C1302" s="72" t="s">
        <v>4</v>
      </c>
      <c r="D1302" s="73" t="s">
        <v>3693</v>
      </c>
      <c r="E1302" s="74">
        <v>40941.342557870368</v>
      </c>
      <c r="F1302" s="74"/>
      <c r="G1302" s="75" t="str">
        <f>IF(stdProdLT(Main[[#This Row],[Comments]])=0.1,"N/A",IF(stdProdLT(Main[[#This Row],[Comments]])=0,"",stdProdLT(Main[[#This Row],[Comments]])))</f>
        <v/>
      </c>
      <c r="H1302" s="76" t="str">
        <f>IF(AND(Main[[#This Row],[In Stock Date]]&lt;&gt;"",Main[[#This Row],[Revised Due Date]]&lt;&gt;""),Main[[#This Row],[In Stock Date]]-Main[[#This Row],[Revised Due Date]],"")</f>
        <v/>
      </c>
      <c r="I1302" s="72" t="s">
        <v>4</v>
      </c>
      <c r="J1302" s="72" t="s">
        <v>4</v>
      </c>
      <c r="K1302" s="72" t="s">
        <v>4</v>
      </c>
      <c r="L1302" s="74"/>
      <c r="M1302" s="77" t="str">
        <f>IF(Main[[#This Row],[Tech Start Date]]&lt;1/1/1990,"",IF(Main[[#This Row],[Class]]="C",WORKDAY(Main[[#This Row],[Tech Start Date]],9),IF(Main[[#This Row],[Class]]="B", WORKDAY(Main[[#This Row],[Tech Start Date]],6),IF(Main[[#This Row],[Class]]="A",WORKDAY(Main[[#This Row],[Tech Start Date]],2),""))))</f>
        <v/>
      </c>
      <c r="N1302" s="77" t="str">
        <f>IF(Main[[#This Row],[Tech Start Date]]&lt;1/1/1990,"",IF(Main[[#This Row],[Class]]="C",WORKDAY(Main[[#This Row],[Tech Start Date]],19),IF(Main[[#This Row],[Class]]="B", WORKDAY(Main[[#This Row],[Tech Start Date]],12),IF(Main[[#This Row],[Class]]="A",WORKDAY(Main[[#This Row],[Tech Start Date]],4),""))))</f>
        <v/>
      </c>
      <c r="O1302" s="77" t="str">
        <f>IF(Main[[#This Row],[Tech Start Date]]&lt;1/1/1990,"",IF(Main[[#This Row],[Class]]="C",WORKDAY(Main[[#This Row],[Tech Start Date]],23),IF(Main[[#This Row],[Class]]="B", WORKDAY(Main[[#This Row],[Tech Start Date]],15),IF(Main[[#This Row],[Class]]="A",WORKDAY(Main[[#This Row],[Tech Start Date]],5),""))))</f>
        <v/>
      </c>
      <c r="P1302" s="77" t="str">
        <f>IF(Main[[#This Row],[Tech Start Date]]&lt;1/1/1990,"",IF(Main[[#This Row],[Class]]="C",WORKDAY(Main[[#This Row],[Tech Start Date]],28),IF(Main[[#This Row],[Class]]="B", WORKDAY(Main[[#This Row],[Tech Start Date]],19),IF(Main[[#This Row],[Class]]="A",WORKDAY(Main[[#This Row],[Tech Start Date]],9),""))))</f>
        <v/>
      </c>
      <c r="Q1302" s="74">
        <v>40970</v>
      </c>
      <c r="R1302" s="74"/>
      <c r="S1302" s="72" t="s">
        <v>6</v>
      </c>
      <c r="T1302" s="80" t="s">
        <v>4</v>
      </c>
      <c r="U1302" s="72" t="s">
        <v>7</v>
      </c>
      <c r="V1302" s="72" t="s">
        <v>1935</v>
      </c>
      <c r="W1302" s="72" t="s">
        <v>4</v>
      </c>
      <c r="X1302" s="72" t="s">
        <v>2906</v>
      </c>
      <c r="Y1302" s="72" t="s">
        <v>3025</v>
      </c>
      <c r="Z1302" s="72" t="s">
        <v>4</v>
      </c>
      <c r="AA1302" s="147" t="s">
        <v>2906</v>
      </c>
    </row>
    <row r="1303" spans="1:27" ht="18.600000000000001" customHeight="1">
      <c r="A1303" s="140" t="str">
        <f>IF(priority(Main[[#This Row],[Comments]])&lt;&gt;0, priority(Main[[#This Row],[Comments]]),"")</f>
        <v/>
      </c>
      <c r="B1303" s="90" t="s">
        <v>2533</v>
      </c>
      <c r="C1303" s="72" t="s">
        <v>4</v>
      </c>
      <c r="D1303" s="73" t="s">
        <v>2534</v>
      </c>
      <c r="E1303" s="74">
        <v>40855.421446759261</v>
      </c>
      <c r="F1303" s="74"/>
      <c r="G1303" s="75" t="str">
        <f>IF(stdProdLT(Main[[#This Row],[Comments]])=0.1,"N/A",IF(stdProdLT(Main[[#This Row],[Comments]])=0,"",stdProdLT(Main[[#This Row],[Comments]])))</f>
        <v/>
      </c>
      <c r="H1303" s="76" t="str">
        <f>IF(AND(Main[[#This Row],[In Stock Date]]&lt;&gt;"",Main[[#This Row],[Revised Due Date]]&lt;&gt;""),Main[[#This Row],[In Stock Date]]-Main[[#This Row],[Revised Due Date]],"")</f>
        <v/>
      </c>
      <c r="I1303" s="72" t="s">
        <v>69</v>
      </c>
      <c r="J1303" s="72" t="s">
        <v>70</v>
      </c>
      <c r="K1303" s="81" t="s">
        <v>1944</v>
      </c>
      <c r="L1303" s="74"/>
      <c r="M1303" s="77" t="str">
        <f>IF(Main[[#This Row],[Tech Start Date]]&lt;1/1/1990,"",IF(Main[[#This Row],[Class]]="C",WORKDAY(Main[[#This Row],[Tech Start Date]],9),IF(Main[[#This Row],[Class]]="B", WORKDAY(Main[[#This Row],[Tech Start Date]],6),IF(Main[[#This Row],[Class]]="A",WORKDAY(Main[[#This Row],[Tech Start Date]],2),""))))</f>
        <v/>
      </c>
      <c r="N1303" s="77" t="str">
        <f>IF(Main[[#This Row],[Tech Start Date]]&lt;1/1/1990,"",IF(Main[[#This Row],[Class]]="C",WORKDAY(Main[[#This Row],[Tech Start Date]],19),IF(Main[[#This Row],[Class]]="B", WORKDAY(Main[[#This Row],[Tech Start Date]],12),IF(Main[[#This Row],[Class]]="A",WORKDAY(Main[[#This Row],[Tech Start Date]],4),""))))</f>
        <v/>
      </c>
      <c r="O1303" s="77" t="str">
        <f>IF(Main[[#This Row],[Tech Start Date]]&lt;1/1/1990,"",IF(Main[[#This Row],[Class]]="C",WORKDAY(Main[[#This Row],[Tech Start Date]],23),IF(Main[[#This Row],[Class]]="B", WORKDAY(Main[[#This Row],[Tech Start Date]],15),IF(Main[[#This Row],[Class]]="A",WORKDAY(Main[[#This Row],[Tech Start Date]],5),""))))</f>
        <v/>
      </c>
      <c r="P1303" s="77" t="str">
        <f>IF(Main[[#This Row],[Tech Start Date]]&lt;1/1/1990,"",IF(Main[[#This Row],[Class]]="C",WORKDAY(Main[[#This Row],[Tech Start Date]],28),IF(Main[[#This Row],[Class]]="B", WORKDAY(Main[[#This Row],[Tech Start Date]],19),IF(Main[[#This Row],[Class]]="A",WORKDAY(Main[[#This Row],[Tech Start Date]],9),""))))</f>
        <v/>
      </c>
      <c r="Q1303" s="74">
        <v>40907</v>
      </c>
      <c r="R1303" s="74"/>
      <c r="S1303" s="72" t="s">
        <v>17</v>
      </c>
      <c r="T1303" s="80" t="s">
        <v>4</v>
      </c>
      <c r="U1303" s="72" t="s">
        <v>29</v>
      </c>
      <c r="V1303" s="72" t="s">
        <v>1942</v>
      </c>
      <c r="W1303" s="72" t="s">
        <v>1934</v>
      </c>
      <c r="X1303" s="72" t="s">
        <v>2950</v>
      </c>
      <c r="Y1303" s="72" t="s">
        <v>3087</v>
      </c>
      <c r="Z1303" s="72" t="s">
        <v>30</v>
      </c>
      <c r="AA1303" s="147" t="s">
        <v>2950</v>
      </c>
    </row>
    <row r="1304" spans="1:27" ht="18.600000000000001" customHeight="1">
      <c r="A1304" s="140" t="str">
        <f>IF(priority(Main[[#This Row],[Comments]])&lt;&gt;0, priority(Main[[#This Row],[Comments]]),"")</f>
        <v/>
      </c>
      <c r="B1304" s="90" t="s">
        <v>2639</v>
      </c>
      <c r="C1304" s="72" t="s">
        <v>4</v>
      </c>
      <c r="D1304" s="73" t="s">
        <v>2640</v>
      </c>
      <c r="E1304" s="74">
        <v>40868.429988425924</v>
      </c>
      <c r="F1304" s="74"/>
      <c r="G1304" s="75" t="str">
        <f>IF(stdProdLT(Main[[#This Row],[Comments]])=0.1,"N/A",IF(stdProdLT(Main[[#This Row],[Comments]])=0,"",stdProdLT(Main[[#This Row],[Comments]])))</f>
        <v/>
      </c>
      <c r="H1304" s="76" t="str">
        <f>IF(AND(Main[[#This Row],[In Stock Date]]&lt;&gt;"",Main[[#This Row],[Revised Due Date]]&lt;&gt;""),Main[[#This Row],[In Stock Date]]-Main[[#This Row],[Revised Due Date]],"")</f>
        <v/>
      </c>
      <c r="I1304" s="72" t="s">
        <v>242</v>
      </c>
      <c r="J1304" s="72" t="s">
        <v>21</v>
      </c>
      <c r="K1304" s="72" t="s">
        <v>4</v>
      </c>
      <c r="L1304" s="74"/>
      <c r="M1304" s="77" t="str">
        <f>IF(Main[[#This Row],[Tech Start Date]]&lt;1/1/1990,"",IF(Main[[#This Row],[Class]]="C",WORKDAY(Main[[#This Row],[Tech Start Date]],9),IF(Main[[#This Row],[Class]]="B", WORKDAY(Main[[#This Row],[Tech Start Date]],6),IF(Main[[#This Row],[Class]]="A",WORKDAY(Main[[#This Row],[Tech Start Date]],2),""))))</f>
        <v/>
      </c>
      <c r="N1304" s="77" t="str">
        <f>IF(Main[[#This Row],[Tech Start Date]]&lt;1/1/1990,"",IF(Main[[#This Row],[Class]]="C",WORKDAY(Main[[#This Row],[Tech Start Date]],19),IF(Main[[#This Row],[Class]]="B", WORKDAY(Main[[#This Row],[Tech Start Date]],12),IF(Main[[#This Row],[Class]]="A",WORKDAY(Main[[#This Row],[Tech Start Date]],4),""))))</f>
        <v/>
      </c>
      <c r="O1304" s="77" t="str">
        <f>IF(Main[[#This Row],[Tech Start Date]]&lt;1/1/1990,"",IF(Main[[#This Row],[Class]]="C",WORKDAY(Main[[#This Row],[Tech Start Date]],23),IF(Main[[#This Row],[Class]]="B", WORKDAY(Main[[#This Row],[Tech Start Date]],15),IF(Main[[#This Row],[Class]]="A",WORKDAY(Main[[#This Row],[Tech Start Date]],5),""))))</f>
        <v/>
      </c>
      <c r="P1304" s="77" t="str">
        <f>IF(Main[[#This Row],[Tech Start Date]]&lt;1/1/1990,"",IF(Main[[#This Row],[Class]]="C",WORKDAY(Main[[#This Row],[Tech Start Date]],28),IF(Main[[#This Row],[Class]]="B", WORKDAY(Main[[#This Row],[Tech Start Date]],19),IF(Main[[#This Row],[Class]]="A",WORKDAY(Main[[#This Row],[Tech Start Date]],9),""))))</f>
        <v/>
      </c>
      <c r="Q1304" s="74">
        <v>40877</v>
      </c>
      <c r="R1304" s="74"/>
      <c r="S1304" s="72" t="s">
        <v>6</v>
      </c>
      <c r="T1304" s="80" t="s">
        <v>4</v>
      </c>
      <c r="U1304" s="72" t="s">
        <v>29</v>
      </c>
      <c r="V1304" s="72" t="s">
        <v>1935</v>
      </c>
      <c r="W1304" s="72" t="s">
        <v>1936</v>
      </c>
      <c r="X1304" s="72" t="s">
        <v>242</v>
      </c>
      <c r="Y1304" s="72" t="s">
        <v>3229</v>
      </c>
      <c r="Z1304" s="72" t="s">
        <v>242</v>
      </c>
      <c r="AA1304" s="147" t="s">
        <v>242</v>
      </c>
    </row>
    <row r="1305" spans="1:27" ht="18.600000000000001" customHeight="1">
      <c r="A1305" s="140" t="str">
        <f>IF(priority(Main[[#This Row],[Comments]])&lt;&gt;0, priority(Main[[#This Row],[Comments]]),"")</f>
        <v/>
      </c>
      <c r="B1305" s="90" t="s">
        <v>2641</v>
      </c>
      <c r="C1305" s="72" t="s">
        <v>4</v>
      </c>
      <c r="D1305" s="73" t="s">
        <v>2867</v>
      </c>
      <c r="E1305" s="74">
        <v>40870.471666666665</v>
      </c>
      <c r="F1305" s="74"/>
      <c r="G1305" s="75" t="str">
        <f>IF(stdProdLT(Main[[#This Row],[Comments]])=0.1,"N/A",IF(stdProdLT(Main[[#This Row],[Comments]])=0,"",stdProdLT(Main[[#This Row],[Comments]])))</f>
        <v/>
      </c>
      <c r="H1305" s="76" t="str">
        <f>IF(AND(Main[[#This Row],[In Stock Date]]&lt;&gt;"",Main[[#This Row],[Revised Due Date]]&lt;&gt;""),Main[[#This Row],[In Stock Date]]-Main[[#This Row],[Revised Due Date]],"")</f>
        <v/>
      </c>
      <c r="I1305" s="72" t="s">
        <v>4</v>
      </c>
      <c r="J1305" s="72" t="s">
        <v>28</v>
      </c>
      <c r="K1305" s="72" t="s">
        <v>1941</v>
      </c>
      <c r="L1305" s="74"/>
      <c r="M1305" s="77" t="str">
        <f>IF(Main[[#This Row],[Tech Start Date]]&lt;1/1/1990,"",IF(Main[[#This Row],[Class]]="C",WORKDAY(Main[[#This Row],[Tech Start Date]],9),IF(Main[[#This Row],[Class]]="B", WORKDAY(Main[[#This Row],[Tech Start Date]],6),IF(Main[[#This Row],[Class]]="A",WORKDAY(Main[[#This Row],[Tech Start Date]],2),""))))</f>
        <v/>
      </c>
      <c r="N1305" s="77" t="str">
        <f>IF(Main[[#This Row],[Tech Start Date]]&lt;1/1/1990,"",IF(Main[[#This Row],[Class]]="C",WORKDAY(Main[[#This Row],[Tech Start Date]],19),IF(Main[[#This Row],[Class]]="B", WORKDAY(Main[[#This Row],[Tech Start Date]],12),IF(Main[[#This Row],[Class]]="A",WORKDAY(Main[[#This Row],[Tech Start Date]],4),""))))</f>
        <v/>
      </c>
      <c r="O1305" s="77" t="str">
        <f>IF(Main[[#This Row],[Tech Start Date]]&lt;1/1/1990,"",IF(Main[[#This Row],[Class]]="C",WORKDAY(Main[[#This Row],[Tech Start Date]],23),IF(Main[[#This Row],[Class]]="B", WORKDAY(Main[[#This Row],[Tech Start Date]],15),IF(Main[[#This Row],[Class]]="A",WORKDAY(Main[[#This Row],[Tech Start Date]],5),""))))</f>
        <v/>
      </c>
      <c r="P1305" s="77" t="str">
        <f>IF(Main[[#This Row],[Tech Start Date]]&lt;1/1/1990,"",IF(Main[[#This Row],[Class]]="C",WORKDAY(Main[[#This Row],[Tech Start Date]],28),IF(Main[[#This Row],[Class]]="B", WORKDAY(Main[[#This Row],[Tech Start Date]],19),IF(Main[[#This Row],[Class]]="A",WORKDAY(Main[[#This Row],[Tech Start Date]],9),""))))</f>
        <v/>
      </c>
      <c r="Q1305" s="74">
        <v>40905</v>
      </c>
      <c r="R1305" s="74"/>
      <c r="S1305" s="72" t="s">
        <v>6</v>
      </c>
      <c r="T1305" s="80" t="s">
        <v>4</v>
      </c>
      <c r="U1305" s="72" t="s">
        <v>29</v>
      </c>
      <c r="V1305" s="72" t="s">
        <v>1935</v>
      </c>
      <c r="W1305" s="72" t="s">
        <v>1936</v>
      </c>
      <c r="X1305" s="72" t="s">
        <v>2073</v>
      </c>
      <c r="Y1305" s="72" t="s">
        <v>3147</v>
      </c>
      <c r="Z1305" s="72" t="s">
        <v>30</v>
      </c>
      <c r="AA1305" s="147" t="s">
        <v>2979</v>
      </c>
    </row>
    <row r="1306" spans="1:27" ht="18.600000000000001" customHeight="1">
      <c r="A1306" s="140" t="str">
        <f>IF(priority(Main[[#This Row],[Comments]])&lt;&gt;0, priority(Main[[#This Row],[Comments]]),"")</f>
        <v/>
      </c>
      <c r="B1306" s="90" t="s">
        <v>2765</v>
      </c>
      <c r="C1306" s="72" t="s">
        <v>4</v>
      </c>
      <c r="D1306" s="73" t="s">
        <v>3435</v>
      </c>
      <c r="E1306" s="74">
        <v>40885.332013888888</v>
      </c>
      <c r="F1306" s="74"/>
      <c r="G1306" s="75" t="str">
        <f>IF(stdProdLT(Main[[#This Row],[Comments]])=0.1,"N/A",IF(stdProdLT(Main[[#This Row],[Comments]])=0,"",stdProdLT(Main[[#This Row],[Comments]])))</f>
        <v/>
      </c>
      <c r="H1306" s="76" t="str">
        <f>IF(AND(Main[[#This Row],[In Stock Date]]&lt;&gt;"",Main[[#This Row],[Revised Due Date]]&lt;&gt;""),Main[[#This Row],[In Stock Date]]-Main[[#This Row],[Revised Due Date]],"")</f>
        <v/>
      </c>
      <c r="I1306" s="72" t="s">
        <v>535</v>
      </c>
      <c r="J1306" s="72" t="s">
        <v>52</v>
      </c>
      <c r="K1306" s="72" t="s">
        <v>1941</v>
      </c>
      <c r="L1306" s="74"/>
      <c r="M1306" s="77" t="str">
        <f>IF(Main[[#This Row],[Tech Start Date]]&lt;1/1/1990,"",IF(Main[[#This Row],[Class]]="C",WORKDAY(Main[[#This Row],[Tech Start Date]],9),IF(Main[[#This Row],[Class]]="B", WORKDAY(Main[[#This Row],[Tech Start Date]],6),IF(Main[[#This Row],[Class]]="A",WORKDAY(Main[[#This Row],[Tech Start Date]],2),""))))</f>
        <v/>
      </c>
      <c r="N1306" s="77" t="str">
        <f>IF(Main[[#This Row],[Tech Start Date]]&lt;1/1/1990,"",IF(Main[[#This Row],[Class]]="C",WORKDAY(Main[[#This Row],[Tech Start Date]],19),IF(Main[[#This Row],[Class]]="B", WORKDAY(Main[[#This Row],[Tech Start Date]],12),IF(Main[[#This Row],[Class]]="A",WORKDAY(Main[[#This Row],[Tech Start Date]],4),""))))</f>
        <v/>
      </c>
      <c r="O1306" s="77" t="str">
        <f>IF(Main[[#This Row],[Tech Start Date]]&lt;1/1/1990,"",IF(Main[[#This Row],[Class]]="C",WORKDAY(Main[[#This Row],[Tech Start Date]],23),IF(Main[[#This Row],[Class]]="B", WORKDAY(Main[[#This Row],[Tech Start Date]],15),IF(Main[[#This Row],[Class]]="A",WORKDAY(Main[[#This Row],[Tech Start Date]],5),""))))</f>
        <v/>
      </c>
      <c r="P1306" s="77" t="str">
        <f>IF(Main[[#This Row],[Tech Start Date]]&lt;1/1/1990,"",IF(Main[[#This Row],[Class]]="C",WORKDAY(Main[[#This Row],[Tech Start Date]],28),IF(Main[[#This Row],[Class]]="B", WORKDAY(Main[[#This Row],[Tech Start Date]],19),IF(Main[[#This Row],[Class]]="A",WORKDAY(Main[[#This Row],[Tech Start Date]],9),""))))</f>
        <v/>
      </c>
      <c r="Q1306" s="74">
        <v>40916</v>
      </c>
      <c r="R1306" s="74"/>
      <c r="S1306" s="72" t="s">
        <v>6</v>
      </c>
      <c r="T1306" s="80" t="s">
        <v>4</v>
      </c>
      <c r="U1306" s="72" t="s">
        <v>29</v>
      </c>
      <c r="V1306" s="72" t="s">
        <v>1935</v>
      </c>
      <c r="W1306" s="72" t="s">
        <v>1936</v>
      </c>
      <c r="X1306" s="72" t="s">
        <v>2906</v>
      </c>
      <c r="Y1306" s="72" t="s">
        <v>3025</v>
      </c>
      <c r="Z1306" s="72" t="s">
        <v>30</v>
      </c>
      <c r="AA1306" s="147" t="s">
        <v>2906</v>
      </c>
    </row>
    <row r="1307" spans="1:27" ht="18.600000000000001" customHeight="1">
      <c r="A1307" s="140" t="str">
        <f>IF(priority(Main[[#This Row],[Comments]])&lt;&gt;0, priority(Main[[#This Row],[Comments]]),"")</f>
        <v/>
      </c>
      <c r="B1307" s="90" t="s">
        <v>1751</v>
      </c>
      <c r="C1307" s="72" t="s">
        <v>47</v>
      </c>
      <c r="D1307" s="73" t="s">
        <v>798</v>
      </c>
      <c r="E1307" s="74">
        <v>39937.598969907405</v>
      </c>
      <c r="F1307" s="74"/>
      <c r="G1307" s="75" t="str">
        <f>IF(stdProdLT(Main[[#This Row],[Comments]])=0.1,"N/A",IF(stdProdLT(Main[[#This Row],[Comments]])=0,"",stdProdLT(Main[[#This Row],[Comments]])))</f>
        <v/>
      </c>
      <c r="H1307" s="76" t="str">
        <f>IF(AND(Main[[#This Row],[In Stock Date]]&lt;&gt;"",Main[[#This Row],[Revised Due Date]]&lt;&gt;""),Main[[#This Row],[In Stock Date]]-Main[[#This Row],[Revised Due Date]],"")</f>
        <v/>
      </c>
      <c r="I1307" s="72" t="s">
        <v>4</v>
      </c>
      <c r="J1307" s="72" t="s">
        <v>4</v>
      </c>
      <c r="K1307" s="72" t="s">
        <v>4</v>
      </c>
      <c r="L1307" s="74"/>
      <c r="M1307" s="77" t="str">
        <f>IF(Main[[#This Row],[Tech Start Date]]&lt;1/1/1990,"",IF(Main[[#This Row],[Class]]="C",WORKDAY(Main[[#This Row],[Tech Start Date]],9),IF(Main[[#This Row],[Class]]="B", WORKDAY(Main[[#This Row],[Tech Start Date]],6),IF(Main[[#This Row],[Class]]="A",WORKDAY(Main[[#This Row],[Tech Start Date]],2),""))))</f>
        <v/>
      </c>
      <c r="N1307" s="77" t="str">
        <f>IF(Main[[#This Row],[Tech Start Date]]&lt;1/1/1990,"",IF(Main[[#This Row],[Class]]="C",WORKDAY(Main[[#This Row],[Tech Start Date]],19),IF(Main[[#This Row],[Class]]="B", WORKDAY(Main[[#This Row],[Tech Start Date]],12),IF(Main[[#This Row],[Class]]="A",WORKDAY(Main[[#This Row],[Tech Start Date]],4),""))))</f>
        <v/>
      </c>
      <c r="O1307" s="77" t="str">
        <f>IF(Main[[#This Row],[Tech Start Date]]&lt;1/1/1990,"",IF(Main[[#This Row],[Class]]="C",WORKDAY(Main[[#This Row],[Tech Start Date]],23),IF(Main[[#This Row],[Class]]="B", WORKDAY(Main[[#This Row],[Tech Start Date]],15),IF(Main[[#This Row],[Class]]="A",WORKDAY(Main[[#This Row],[Tech Start Date]],5),""))))</f>
        <v/>
      </c>
      <c r="P1307" s="77" t="str">
        <f>IF(Main[[#This Row],[Tech Start Date]]&lt;1/1/1990,"",IF(Main[[#This Row],[Class]]="C",WORKDAY(Main[[#This Row],[Tech Start Date]],28),IF(Main[[#This Row],[Class]]="B", WORKDAY(Main[[#This Row],[Tech Start Date]],19),IF(Main[[#This Row],[Class]]="A",WORKDAY(Main[[#This Row],[Tech Start Date]],9),""))))</f>
        <v/>
      </c>
      <c r="Q1307" s="74"/>
      <c r="R1307" s="74">
        <v>41172</v>
      </c>
      <c r="S1307" s="72" t="s">
        <v>17</v>
      </c>
      <c r="T1307" s="80" t="s">
        <v>4</v>
      </c>
      <c r="U1307" s="72" t="s">
        <v>29</v>
      </c>
      <c r="V1307" s="72" t="s">
        <v>1935</v>
      </c>
      <c r="W1307" s="72" t="s">
        <v>4</v>
      </c>
      <c r="X1307" s="72" t="s">
        <v>2911</v>
      </c>
      <c r="Y1307" s="72" t="s">
        <v>3035</v>
      </c>
      <c r="Z1307" s="72" t="s">
        <v>4</v>
      </c>
      <c r="AA1307" s="147" t="s">
        <v>2911</v>
      </c>
    </row>
    <row r="1308" spans="1:27" ht="18.600000000000001" customHeight="1">
      <c r="A1308" s="140" t="str">
        <f>IF(priority(Main[[#This Row],[Comments]])&lt;&gt;0, priority(Main[[#This Row],[Comments]]),"")</f>
        <v/>
      </c>
      <c r="B1308" s="90" t="s">
        <v>3723</v>
      </c>
      <c r="C1308" s="72" t="s">
        <v>4</v>
      </c>
      <c r="D1308" s="73" t="s">
        <v>3715</v>
      </c>
      <c r="E1308" s="74">
        <v>40942.690162037034</v>
      </c>
      <c r="F1308" s="74"/>
      <c r="G1308" s="75" t="str">
        <f>IF(stdProdLT(Main[[#This Row],[Comments]])=0.1,"N/A",IF(stdProdLT(Main[[#This Row],[Comments]])=0,"",stdProdLT(Main[[#This Row],[Comments]])))</f>
        <v/>
      </c>
      <c r="H1308" s="76" t="str">
        <f>IF(AND(Main[[#This Row],[In Stock Date]]&lt;&gt;"",Main[[#This Row],[Revised Due Date]]&lt;&gt;""),Main[[#This Row],[In Stock Date]]-Main[[#This Row],[Revised Due Date]],"")</f>
        <v/>
      </c>
      <c r="I1308" s="72" t="s">
        <v>4</v>
      </c>
      <c r="J1308" s="72" t="s">
        <v>4</v>
      </c>
      <c r="K1308" s="72" t="s">
        <v>4</v>
      </c>
      <c r="L1308" s="74"/>
      <c r="M1308" s="77" t="str">
        <f>IF(Main[[#This Row],[Tech Start Date]]&lt;1/1/1990,"",IF(Main[[#This Row],[Class]]="C",WORKDAY(Main[[#This Row],[Tech Start Date]],9),IF(Main[[#This Row],[Class]]="B", WORKDAY(Main[[#This Row],[Tech Start Date]],6),IF(Main[[#This Row],[Class]]="A",WORKDAY(Main[[#This Row],[Tech Start Date]],2),""))))</f>
        <v/>
      </c>
      <c r="N1308" s="77" t="str">
        <f>IF(Main[[#This Row],[Tech Start Date]]&lt;1/1/1990,"",IF(Main[[#This Row],[Class]]="C",WORKDAY(Main[[#This Row],[Tech Start Date]],19),IF(Main[[#This Row],[Class]]="B", WORKDAY(Main[[#This Row],[Tech Start Date]],12),IF(Main[[#This Row],[Class]]="A",WORKDAY(Main[[#This Row],[Tech Start Date]],4),""))))</f>
        <v/>
      </c>
      <c r="O1308" s="77" t="str">
        <f>IF(Main[[#This Row],[Tech Start Date]]&lt;1/1/1990,"",IF(Main[[#This Row],[Class]]="C",WORKDAY(Main[[#This Row],[Tech Start Date]],23),IF(Main[[#This Row],[Class]]="B", WORKDAY(Main[[#This Row],[Tech Start Date]],15),IF(Main[[#This Row],[Class]]="A",WORKDAY(Main[[#This Row],[Tech Start Date]],5),""))))</f>
        <v/>
      </c>
      <c r="P1308" s="77" t="str">
        <f>IF(Main[[#This Row],[Tech Start Date]]&lt;1/1/1990,"",IF(Main[[#This Row],[Class]]="C",WORKDAY(Main[[#This Row],[Tech Start Date]],28),IF(Main[[#This Row],[Class]]="B", WORKDAY(Main[[#This Row],[Tech Start Date]],19),IF(Main[[#This Row],[Class]]="A",WORKDAY(Main[[#This Row],[Tech Start Date]],9),""))))</f>
        <v/>
      </c>
      <c r="Q1308" s="74">
        <v>40970</v>
      </c>
      <c r="R1308" s="74"/>
      <c r="S1308" s="72" t="s">
        <v>6</v>
      </c>
      <c r="T1308" s="80" t="s">
        <v>4</v>
      </c>
      <c r="U1308" s="72" t="s">
        <v>7</v>
      </c>
      <c r="V1308" s="72" t="s">
        <v>1935</v>
      </c>
      <c r="W1308" s="72" t="s">
        <v>4</v>
      </c>
      <c r="X1308" s="72" t="s">
        <v>2903</v>
      </c>
      <c r="Y1308" s="72" t="s">
        <v>3019</v>
      </c>
      <c r="Z1308" s="72" t="s">
        <v>4</v>
      </c>
      <c r="AA1308" s="147" t="s">
        <v>2903</v>
      </c>
    </row>
    <row r="1309" spans="1:27" ht="18.600000000000001" customHeight="1">
      <c r="A1309" s="140" t="str">
        <f>IF(priority(Main[[#This Row],[Comments]])&lt;&gt;0, priority(Main[[#This Row],[Comments]]),"")</f>
        <v/>
      </c>
      <c r="B1309" s="90" t="s">
        <v>1911</v>
      </c>
      <c r="C1309" s="72" t="s">
        <v>4</v>
      </c>
      <c r="D1309" s="73" t="s">
        <v>960</v>
      </c>
      <c r="E1309" s="74">
        <v>40112.566631944443</v>
      </c>
      <c r="F1309" s="74"/>
      <c r="G1309" s="75" t="str">
        <f>IF(stdProdLT(Main[[#This Row],[Comments]])=0.1,"N/A",IF(stdProdLT(Main[[#This Row],[Comments]])=0,"",stdProdLT(Main[[#This Row],[Comments]])))</f>
        <v/>
      </c>
      <c r="H1309" s="76" t="str">
        <f>IF(AND(Main[[#This Row],[In Stock Date]]&lt;&gt;"",Main[[#This Row],[Revised Due Date]]&lt;&gt;""),Main[[#This Row],[In Stock Date]]-Main[[#This Row],[Revised Due Date]],"")</f>
        <v/>
      </c>
      <c r="I1309" s="72" t="s">
        <v>909</v>
      </c>
      <c r="J1309" s="72" t="s">
        <v>4</v>
      </c>
      <c r="K1309" s="72" t="s">
        <v>1944</v>
      </c>
      <c r="L1309" s="74"/>
      <c r="M1309" s="77" t="str">
        <f>IF(Main[[#This Row],[Tech Start Date]]&lt;1/1/1990,"",IF(Main[[#This Row],[Class]]="C",WORKDAY(Main[[#This Row],[Tech Start Date]],9),IF(Main[[#This Row],[Class]]="B", WORKDAY(Main[[#This Row],[Tech Start Date]],6),IF(Main[[#This Row],[Class]]="A",WORKDAY(Main[[#This Row],[Tech Start Date]],2),""))))</f>
        <v/>
      </c>
      <c r="N1309" s="77" t="str">
        <f>IF(Main[[#This Row],[Tech Start Date]]&lt;1/1/1990,"",IF(Main[[#This Row],[Class]]="C",WORKDAY(Main[[#This Row],[Tech Start Date]],19),IF(Main[[#This Row],[Class]]="B", WORKDAY(Main[[#This Row],[Tech Start Date]],12),IF(Main[[#This Row],[Class]]="A",WORKDAY(Main[[#This Row],[Tech Start Date]],4),""))))</f>
        <v/>
      </c>
      <c r="O1309" s="77" t="str">
        <f>IF(Main[[#This Row],[Tech Start Date]]&lt;1/1/1990,"",IF(Main[[#This Row],[Class]]="C",WORKDAY(Main[[#This Row],[Tech Start Date]],23),IF(Main[[#This Row],[Class]]="B", WORKDAY(Main[[#This Row],[Tech Start Date]],15),IF(Main[[#This Row],[Class]]="A",WORKDAY(Main[[#This Row],[Tech Start Date]],5),""))))</f>
        <v/>
      </c>
      <c r="P1309" s="77" t="str">
        <f>IF(Main[[#This Row],[Tech Start Date]]&lt;1/1/1990,"",IF(Main[[#This Row],[Class]]="C",WORKDAY(Main[[#This Row],[Tech Start Date]],28),IF(Main[[#This Row],[Class]]="B", WORKDAY(Main[[#This Row],[Tech Start Date]],19),IF(Main[[#This Row],[Class]]="A",WORKDAY(Main[[#This Row],[Tech Start Date]],9),""))))</f>
        <v/>
      </c>
      <c r="Q1309" s="74">
        <v>40564</v>
      </c>
      <c r="R1309" s="155">
        <v>41264</v>
      </c>
      <c r="S1309" s="72" t="s">
        <v>17</v>
      </c>
      <c r="T1309" s="80" t="s">
        <v>4</v>
      </c>
      <c r="U1309" s="72" t="s">
        <v>29</v>
      </c>
      <c r="V1309" s="72" t="s">
        <v>1935</v>
      </c>
      <c r="W1309" s="72" t="s">
        <v>1937</v>
      </c>
      <c r="X1309" s="72" t="s">
        <v>980</v>
      </c>
      <c r="Y1309" s="72" t="s">
        <v>3204</v>
      </c>
      <c r="Z1309" s="72" t="s">
        <v>420</v>
      </c>
      <c r="AA1309" s="147" t="s">
        <v>980</v>
      </c>
    </row>
    <row r="1310" spans="1:27" ht="18.600000000000001" customHeight="1">
      <c r="A1310" s="140" t="str">
        <f>IF(priority(Main[[#This Row],[Comments]])&lt;&gt;0, priority(Main[[#This Row],[Comments]]),"")</f>
        <v/>
      </c>
      <c r="B1310" s="90" t="s">
        <v>3441</v>
      </c>
      <c r="C1310" s="72" t="s">
        <v>4</v>
      </c>
      <c r="D1310" s="73" t="s">
        <v>3442</v>
      </c>
      <c r="E1310" s="74">
        <v>40933.744606481479</v>
      </c>
      <c r="F1310" s="74"/>
      <c r="G1310" s="75" t="str">
        <f>IF(stdProdLT(Main[[#This Row],[Comments]])=0.1,"N/A",IF(stdProdLT(Main[[#This Row],[Comments]])=0,"",stdProdLT(Main[[#This Row],[Comments]])))</f>
        <v/>
      </c>
      <c r="H1310" s="76" t="str">
        <f>IF(AND(Main[[#This Row],[In Stock Date]]&lt;&gt;"",Main[[#This Row],[Revised Due Date]]&lt;&gt;""),Main[[#This Row],[In Stock Date]]-Main[[#This Row],[Revised Due Date]],"")</f>
        <v/>
      </c>
      <c r="I1310" s="72" t="s">
        <v>4</v>
      </c>
      <c r="J1310" s="72" t="s">
        <v>4</v>
      </c>
      <c r="K1310" s="72" t="s">
        <v>4</v>
      </c>
      <c r="L1310" s="74"/>
      <c r="M1310" s="77" t="str">
        <f>IF(Main[[#This Row],[Tech Start Date]]&lt;1/1/1990,"",IF(Main[[#This Row],[Class]]="C",WORKDAY(Main[[#This Row],[Tech Start Date]],9),IF(Main[[#This Row],[Class]]="B", WORKDAY(Main[[#This Row],[Tech Start Date]],6),IF(Main[[#This Row],[Class]]="A",WORKDAY(Main[[#This Row],[Tech Start Date]],2),""))))</f>
        <v/>
      </c>
      <c r="N1310" s="77" t="str">
        <f>IF(Main[[#This Row],[Tech Start Date]]&lt;1/1/1990,"",IF(Main[[#This Row],[Class]]="C",WORKDAY(Main[[#This Row],[Tech Start Date]],19),IF(Main[[#This Row],[Class]]="B", WORKDAY(Main[[#This Row],[Tech Start Date]],12),IF(Main[[#This Row],[Class]]="A",WORKDAY(Main[[#This Row],[Tech Start Date]],4),""))))</f>
        <v/>
      </c>
      <c r="O1310" s="77" t="str">
        <f>IF(Main[[#This Row],[Tech Start Date]]&lt;1/1/1990,"",IF(Main[[#This Row],[Class]]="C",WORKDAY(Main[[#This Row],[Tech Start Date]],23),IF(Main[[#This Row],[Class]]="B", WORKDAY(Main[[#This Row],[Tech Start Date]],15),IF(Main[[#This Row],[Class]]="A",WORKDAY(Main[[#This Row],[Tech Start Date]],5),""))))</f>
        <v/>
      </c>
      <c r="P1310" s="77" t="str">
        <f>IF(Main[[#This Row],[Tech Start Date]]&lt;1/1/1990,"",IF(Main[[#This Row],[Class]]="C",WORKDAY(Main[[#This Row],[Tech Start Date]],28),IF(Main[[#This Row],[Class]]="B", WORKDAY(Main[[#This Row],[Tech Start Date]],19),IF(Main[[#This Row],[Class]]="A",WORKDAY(Main[[#This Row],[Tech Start Date]],9),""))))</f>
        <v/>
      </c>
      <c r="Q1310" s="74">
        <v>40934</v>
      </c>
      <c r="R1310" s="155"/>
      <c r="S1310" s="72" t="s">
        <v>6</v>
      </c>
      <c r="T1310" s="80" t="s">
        <v>4</v>
      </c>
      <c r="U1310" s="72" t="s">
        <v>7</v>
      </c>
      <c r="V1310" s="72" t="s">
        <v>1935</v>
      </c>
      <c r="W1310" s="72" t="s">
        <v>1936</v>
      </c>
      <c r="X1310" s="72" t="s">
        <v>2979</v>
      </c>
      <c r="Y1310" s="72" t="s">
        <v>3147</v>
      </c>
      <c r="Z1310" s="72" t="s">
        <v>4</v>
      </c>
      <c r="AA1310" s="147" t="s">
        <v>2979</v>
      </c>
    </row>
    <row r="1311" spans="1:27" ht="18.600000000000001" customHeight="1">
      <c r="A1311" s="140" t="str">
        <f>IF(priority(Main[[#This Row],[Comments]])&lt;&gt;0, priority(Main[[#This Row],[Comments]]),"")</f>
        <v/>
      </c>
      <c r="B1311" s="90" t="s">
        <v>2645</v>
      </c>
      <c r="C1311" s="72" t="s">
        <v>31</v>
      </c>
      <c r="D1311" s="73" t="s">
        <v>2646</v>
      </c>
      <c r="E1311" s="74"/>
      <c r="F1311" s="74">
        <v>40969</v>
      </c>
      <c r="G1311" s="75" t="str">
        <f>IF(stdProdLT(Main[[#This Row],[Comments]])=0.1,"N/A",IF(stdProdLT(Main[[#This Row],[Comments]])=0,"",stdProdLT(Main[[#This Row],[Comments]])))</f>
        <v/>
      </c>
      <c r="H1311" s="76" t="str">
        <f>IF(AND(Main[[#This Row],[In Stock Date]]&lt;&gt;"",Main[[#This Row],[Revised Due Date]]&lt;&gt;""),Main[[#This Row],[In Stock Date]]-Main[[#This Row],[Revised Due Date]],"")</f>
        <v/>
      </c>
      <c r="I1311" s="72" t="s">
        <v>4</v>
      </c>
      <c r="J1311" s="72" t="s">
        <v>4</v>
      </c>
      <c r="K1311" s="81" t="s">
        <v>4</v>
      </c>
      <c r="L1311" s="74"/>
      <c r="M1311" s="77" t="str">
        <f>IF(Main[[#This Row],[Tech Start Date]]&lt;1/1/1990,"",IF(Main[[#This Row],[Class]]="C",WORKDAY(Main[[#This Row],[Tech Start Date]],9),IF(Main[[#This Row],[Class]]="B", WORKDAY(Main[[#This Row],[Tech Start Date]],6),IF(Main[[#This Row],[Class]]="A",WORKDAY(Main[[#This Row],[Tech Start Date]],2),""))))</f>
        <v/>
      </c>
      <c r="N1311" s="77" t="str">
        <f>IF(Main[[#This Row],[Tech Start Date]]&lt;1/1/1990,"",IF(Main[[#This Row],[Class]]="C",WORKDAY(Main[[#This Row],[Tech Start Date]],19),IF(Main[[#This Row],[Class]]="B", WORKDAY(Main[[#This Row],[Tech Start Date]],12),IF(Main[[#This Row],[Class]]="A",WORKDAY(Main[[#This Row],[Tech Start Date]],4),""))))</f>
        <v/>
      </c>
      <c r="O1311" s="77" t="str">
        <f>IF(Main[[#This Row],[Tech Start Date]]&lt;1/1/1990,"",IF(Main[[#This Row],[Class]]="C",WORKDAY(Main[[#This Row],[Tech Start Date]],23),IF(Main[[#This Row],[Class]]="B", WORKDAY(Main[[#This Row],[Tech Start Date]],15),IF(Main[[#This Row],[Class]]="A",WORKDAY(Main[[#This Row],[Tech Start Date]],5),""))))</f>
        <v/>
      </c>
      <c r="P1311" s="77" t="str">
        <f>IF(Main[[#This Row],[Tech Start Date]]&lt;1/1/1990,"",IF(Main[[#This Row],[Class]]="C",WORKDAY(Main[[#This Row],[Tech Start Date]],28),IF(Main[[#This Row],[Class]]="B", WORKDAY(Main[[#This Row],[Tech Start Date]],19),IF(Main[[#This Row],[Class]]="A",WORKDAY(Main[[#This Row],[Tech Start Date]],9),""))))</f>
        <v/>
      </c>
      <c r="Q1311" s="74"/>
      <c r="R1311" s="74"/>
      <c r="S1311" s="72" t="s">
        <v>11</v>
      </c>
      <c r="T1311" s="80" t="s">
        <v>4</v>
      </c>
      <c r="U1311" s="72" t="s">
        <v>14</v>
      </c>
      <c r="V1311" s="72" t="s">
        <v>1932</v>
      </c>
      <c r="W1311" s="72" t="s">
        <v>1938</v>
      </c>
      <c r="X1311" s="72" t="s">
        <v>50</v>
      </c>
      <c r="Y1311" s="72" t="s">
        <v>3176</v>
      </c>
      <c r="Z1311" s="72" t="s">
        <v>4</v>
      </c>
      <c r="AA1311" s="147" t="s">
        <v>2924</v>
      </c>
    </row>
    <row r="1312" spans="1:27" ht="18.600000000000001" customHeight="1">
      <c r="A1312" s="140" t="str">
        <f>IF(priority(Main[[#This Row],[Comments]])&lt;&gt;0, priority(Main[[#This Row],[Comments]]),"")</f>
        <v/>
      </c>
      <c r="B1312" s="90" t="s">
        <v>2650</v>
      </c>
      <c r="C1312" s="72" t="s">
        <v>2386</v>
      </c>
      <c r="D1312" s="73" t="s">
        <v>2387</v>
      </c>
      <c r="E1312" s="74"/>
      <c r="F1312" s="74">
        <v>41036</v>
      </c>
      <c r="G1312" s="75" t="str">
        <f>IF(stdProdLT(Main[[#This Row],[Comments]])=0.1,"N/A",IF(stdProdLT(Main[[#This Row],[Comments]])=0,"",stdProdLT(Main[[#This Row],[Comments]])))</f>
        <v/>
      </c>
      <c r="H1312" s="76" t="str">
        <f>IF(AND(Main[[#This Row],[In Stock Date]]&lt;&gt;"",Main[[#This Row],[Revised Due Date]]&lt;&gt;""),Main[[#This Row],[In Stock Date]]-Main[[#This Row],[Revised Due Date]],"")</f>
        <v/>
      </c>
      <c r="I1312" s="72" t="s">
        <v>4</v>
      </c>
      <c r="J1312" s="72" t="s">
        <v>4</v>
      </c>
      <c r="K1312" s="72" t="s">
        <v>4</v>
      </c>
      <c r="L1312" s="74"/>
      <c r="M1312" s="77" t="str">
        <f>IF(Main[[#This Row],[Tech Start Date]]&lt;1/1/1990,"",IF(Main[[#This Row],[Class]]="C",WORKDAY(Main[[#This Row],[Tech Start Date]],9),IF(Main[[#This Row],[Class]]="B", WORKDAY(Main[[#This Row],[Tech Start Date]],6),IF(Main[[#This Row],[Class]]="A",WORKDAY(Main[[#This Row],[Tech Start Date]],2),""))))</f>
        <v/>
      </c>
      <c r="N1312" s="77" t="str">
        <f>IF(Main[[#This Row],[Tech Start Date]]&lt;1/1/1990,"",IF(Main[[#This Row],[Class]]="C",WORKDAY(Main[[#This Row],[Tech Start Date]],19),IF(Main[[#This Row],[Class]]="B", WORKDAY(Main[[#This Row],[Tech Start Date]],12),IF(Main[[#This Row],[Class]]="A",WORKDAY(Main[[#This Row],[Tech Start Date]],4),""))))</f>
        <v/>
      </c>
      <c r="O1312" s="77" t="str">
        <f>IF(Main[[#This Row],[Tech Start Date]]&lt;1/1/1990,"",IF(Main[[#This Row],[Class]]="C",WORKDAY(Main[[#This Row],[Tech Start Date]],23),IF(Main[[#This Row],[Class]]="B", WORKDAY(Main[[#This Row],[Tech Start Date]],15),IF(Main[[#This Row],[Class]]="A",WORKDAY(Main[[#This Row],[Tech Start Date]],5),""))))</f>
        <v/>
      </c>
      <c r="P1312" s="77" t="str">
        <f>IF(Main[[#This Row],[Tech Start Date]]&lt;1/1/1990,"",IF(Main[[#This Row],[Class]]="C",WORKDAY(Main[[#This Row],[Tech Start Date]],28),IF(Main[[#This Row],[Class]]="B", WORKDAY(Main[[#This Row],[Tech Start Date]],19),IF(Main[[#This Row],[Class]]="A",WORKDAY(Main[[#This Row],[Tech Start Date]],9),""))))</f>
        <v/>
      </c>
      <c r="Q1312" s="74">
        <v>40854</v>
      </c>
      <c r="R1312" s="74"/>
      <c r="S1312" s="72" t="s">
        <v>11</v>
      </c>
      <c r="T1312" s="80" t="s">
        <v>4</v>
      </c>
      <c r="U1312" s="72" t="s">
        <v>12</v>
      </c>
      <c r="V1312" s="72" t="s">
        <v>1935</v>
      </c>
      <c r="W1312" s="72" t="s">
        <v>1938</v>
      </c>
      <c r="X1312" s="72" t="s">
        <v>2927</v>
      </c>
      <c r="Y1312" s="72" t="s">
        <v>4</v>
      </c>
      <c r="Z1312" s="72" t="s">
        <v>4</v>
      </c>
      <c r="AA1312" s="147" t="s">
        <v>2927</v>
      </c>
    </row>
    <row r="1313" spans="1:27" ht="18.600000000000001" customHeight="1">
      <c r="A1313" s="140" t="str">
        <f>IF(priority(Main[[#This Row],[Comments]])&lt;&gt;0, priority(Main[[#This Row],[Comments]]),"")</f>
        <v/>
      </c>
      <c r="B1313" s="90" t="s">
        <v>2272</v>
      </c>
      <c r="C1313" s="72" t="s">
        <v>2273</v>
      </c>
      <c r="D1313" s="73" t="s">
        <v>2274</v>
      </c>
      <c r="E1313" s="74"/>
      <c r="F1313" s="74"/>
      <c r="G1313" s="75" t="str">
        <f>IF(stdProdLT(Main[[#This Row],[Comments]])=0.1,"N/A",IF(stdProdLT(Main[[#This Row],[Comments]])=0,"",stdProdLT(Main[[#This Row],[Comments]])))</f>
        <v/>
      </c>
      <c r="H1313" s="76" t="str">
        <f>IF(AND(Main[[#This Row],[In Stock Date]]&lt;&gt;"",Main[[#This Row],[Revised Due Date]]&lt;&gt;""),Main[[#This Row],[In Stock Date]]-Main[[#This Row],[Revised Due Date]],"")</f>
        <v/>
      </c>
      <c r="I1313" s="72" t="s">
        <v>2232</v>
      </c>
      <c r="J1313" s="72" t="s">
        <v>4</v>
      </c>
      <c r="K1313" s="72" t="s">
        <v>1941</v>
      </c>
      <c r="L1313" s="74">
        <v>37622</v>
      </c>
      <c r="M1313" s="77">
        <f>IF(Main[[#This Row],[Tech Start Date]]&lt;1/1/1990,"",IF(Main[[#This Row],[Class]]="C",WORKDAY(Main[[#This Row],[Tech Start Date]],9),IF(Main[[#This Row],[Class]]="B", WORKDAY(Main[[#This Row],[Tech Start Date]],6),IF(Main[[#This Row],[Class]]="A",WORKDAY(Main[[#This Row],[Tech Start Date]],2),""))))</f>
        <v>37624</v>
      </c>
      <c r="N1313" s="77">
        <f>IF(Main[[#This Row],[Tech Start Date]]&lt;1/1/1990,"",IF(Main[[#This Row],[Class]]="C",WORKDAY(Main[[#This Row],[Tech Start Date]],19),IF(Main[[#This Row],[Class]]="B", WORKDAY(Main[[#This Row],[Tech Start Date]],12),IF(Main[[#This Row],[Class]]="A",WORKDAY(Main[[#This Row],[Tech Start Date]],4),""))))</f>
        <v>37628</v>
      </c>
      <c r="O1313" s="77">
        <f>IF(Main[[#This Row],[Tech Start Date]]&lt;1/1/1990,"",IF(Main[[#This Row],[Class]]="C",WORKDAY(Main[[#This Row],[Tech Start Date]],23),IF(Main[[#This Row],[Class]]="B", WORKDAY(Main[[#This Row],[Tech Start Date]],15),IF(Main[[#This Row],[Class]]="A",WORKDAY(Main[[#This Row],[Tech Start Date]],5),""))))</f>
        <v>37629</v>
      </c>
      <c r="P1313" s="77">
        <f>IF(Main[[#This Row],[Tech Start Date]]&lt;1/1/1990,"",IF(Main[[#This Row],[Class]]="C",WORKDAY(Main[[#This Row],[Tech Start Date]],28),IF(Main[[#This Row],[Class]]="B", WORKDAY(Main[[#This Row],[Tech Start Date]],19),IF(Main[[#This Row],[Class]]="A",WORKDAY(Main[[#This Row],[Tech Start Date]],9),""))))</f>
        <v>37635</v>
      </c>
      <c r="Q1313" s="74"/>
      <c r="R1313" s="74">
        <v>37623</v>
      </c>
      <c r="S1313" s="72" t="s">
        <v>11</v>
      </c>
      <c r="T1313" s="80" t="s">
        <v>4</v>
      </c>
      <c r="U1313" s="72" t="s">
        <v>14</v>
      </c>
      <c r="V1313" s="72" t="s">
        <v>1947</v>
      </c>
      <c r="W1313" s="72" t="s">
        <v>1940</v>
      </c>
      <c r="X1313" s="72" t="s">
        <v>2998</v>
      </c>
      <c r="Y1313" s="72" t="s">
        <v>3230</v>
      </c>
      <c r="Z1313" s="72" t="s">
        <v>4</v>
      </c>
      <c r="AA1313" s="147" t="s">
        <v>3658</v>
      </c>
    </row>
    <row r="1314" spans="1:27" ht="18.600000000000001" customHeight="1">
      <c r="A1314" s="140" t="str">
        <f>IF(priority(Main[[#This Row],[Comments]])&lt;&gt;0, priority(Main[[#This Row],[Comments]]),"")</f>
        <v/>
      </c>
      <c r="B1314" s="90" t="s">
        <v>2311</v>
      </c>
      <c r="C1314" s="72" t="s">
        <v>2230</v>
      </c>
      <c r="D1314" s="73" t="s">
        <v>2231</v>
      </c>
      <c r="E1314" s="74">
        <v>40813.570081018515</v>
      </c>
      <c r="F1314" s="74"/>
      <c r="G1314" s="75" t="str">
        <f>IF(stdProdLT(Main[[#This Row],[Comments]])=0.1,"N/A",IF(stdProdLT(Main[[#This Row],[Comments]])=0,"",stdProdLT(Main[[#This Row],[Comments]])))</f>
        <v/>
      </c>
      <c r="H1314" s="76" t="str">
        <f>IF(AND(Main[[#This Row],[In Stock Date]]&lt;&gt;"",Main[[#This Row],[Revised Due Date]]&lt;&gt;""),Main[[#This Row],[In Stock Date]]-Main[[#This Row],[Revised Due Date]],"")</f>
        <v/>
      </c>
      <c r="I1314" s="72" t="s">
        <v>2232</v>
      </c>
      <c r="J1314" s="72" t="s">
        <v>4</v>
      </c>
      <c r="K1314" s="72" t="s">
        <v>1941</v>
      </c>
      <c r="L1314" s="74">
        <v>37622</v>
      </c>
      <c r="M1314" s="77">
        <f>IF(Main[[#This Row],[Tech Start Date]]&lt;1/1/1990,"",IF(Main[[#This Row],[Class]]="C",WORKDAY(Main[[#This Row],[Tech Start Date]],9),IF(Main[[#This Row],[Class]]="B", WORKDAY(Main[[#This Row],[Tech Start Date]],6),IF(Main[[#This Row],[Class]]="A",WORKDAY(Main[[#This Row],[Tech Start Date]],2),""))))</f>
        <v>37624</v>
      </c>
      <c r="N1314" s="77">
        <f>IF(Main[[#This Row],[Tech Start Date]]&lt;1/1/1990,"",IF(Main[[#This Row],[Class]]="C",WORKDAY(Main[[#This Row],[Tech Start Date]],19),IF(Main[[#This Row],[Class]]="B", WORKDAY(Main[[#This Row],[Tech Start Date]],12),IF(Main[[#This Row],[Class]]="A",WORKDAY(Main[[#This Row],[Tech Start Date]],4),""))))</f>
        <v>37628</v>
      </c>
      <c r="O1314" s="77">
        <f>IF(Main[[#This Row],[Tech Start Date]]&lt;1/1/1990,"",IF(Main[[#This Row],[Class]]="C",WORKDAY(Main[[#This Row],[Tech Start Date]],23),IF(Main[[#This Row],[Class]]="B", WORKDAY(Main[[#This Row],[Tech Start Date]],15),IF(Main[[#This Row],[Class]]="A",WORKDAY(Main[[#This Row],[Tech Start Date]],5),""))))</f>
        <v>37629</v>
      </c>
      <c r="P1314" s="77">
        <f>IF(Main[[#This Row],[Tech Start Date]]&lt;1/1/1990,"",IF(Main[[#This Row],[Class]]="C",WORKDAY(Main[[#This Row],[Tech Start Date]],28),IF(Main[[#This Row],[Class]]="B", WORKDAY(Main[[#This Row],[Tech Start Date]],19),IF(Main[[#This Row],[Class]]="A",WORKDAY(Main[[#This Row],[Tech Start Date]],9),""))))</f>
        <v>37635</v>
      </c>
      <c r="Q1314" s="74"/>
      <c r="R1314" s="74">
        <v>37623</v>
      </c>
      <c r="S1314" s="72" t="s">
        <v>11</v>
      </c>
      <c r="T1314" s="80" t="s">
        <v>4</v>
      </c>
      <c r="U1314" s="72" t="s">
        <v>29</v>
      </c>
      <c r="V1314" s="72" t="s">
        <v>2312</v>
      </c>
      <c r="W1314" s="72" t="s">
        <v>1940</v>
      </c>
      <c r="X1314" s="72" t="s">
        <v>2232</v>
      </c>
      <c r="Y1314" s="72" t="s">
        <v>3230</v>
      </c>
      <c r="Z1314" s="72" t="s">
        <v>4</v>
      </c>
      <c r="AA1314" s="147" t="s">
        <v>3658</v>
      </c>
    </row>
    <row r="1315" spans="1:27" ht="18.600000000000001" customHeight="1">
      <c r="A1315" s="140" t="str">
        <f>IF(priority(Main[[#This Row],[Comments]])&lt;&gt;0, priority(Main[[#This Row],[Comments]]),"")</f>
        <v/>
      </c>
      <c r="B1315" s="90" t="s">
        <v>2271</v>
      </c>
      <c r="C1315" s="72" t="s">
        <v>2230</v>
      </c>
      <c r="D1315" s="73" t="s">
        <v>2231</v>
      </c>
      <c r="E1315" s="74"/>
      <c r="F1315" s="74"/>
      <c r="G1315" s="75" t="str">
        <f>IF(stdProdLT(Main[[#This Row],[Comments]])=0.1,"N/A",IF(stdProdLT(Main[[#This Row],[Comments]])=0,"",stdProdLT(Main[[#This Row],[Comments]])))</f>
        <v/>
      </c>
      <c r="H1315" s="76" t="str">
        <f>IF(AND(Main[[#This Row],[In Stock Date]]&lt;&gt;"",Main[[#This Row],[Revised Due Date]]&lt;&gt;""),Main[[#This Row],[In Stock Date]]-Main[[#This Row],[Revised Due Date]],"")</f>
        <v/>
      </c>
      <c r="I1315" s="72" t="s">
        <v>2232</v>
      </c>
      <c r="J1315" s="72" t="s">
        <v>4</v>
      </c>
      <c r="K1315" s="72" t="s">
        <v>1941</v>
      </c>
      <c r="L1315" s="74">
        <v>37622</v>
      </c>
      <c r="M1315" s="77">
        <f>IF(Main[[#This Row],[Tech Start Date]]&lt;1/1/1990,"",IF(Main[[#This Row],[Class]]="C",WORKDAY(Main[[#This Row],[Tech Start Date]],9),IF(Main[[#This Row],[Class]]="B", WORKDAY(Main[[#This Row],[Tech Start Date]],6),IF(Main[[#This Row],[Class]]="A",WORKDAY(Main[[#This Row],[Tech Start Date]],2),""))))</f>
        <v>37624</v>
      </c>
      <c r="N1315" s="77">
        <f>IF(Main[[#This Row],[Tech Start Date]]&lt;1/1/1990,"",IF(Main[[#This Row],[Class]]="C",WORKDAY(Main[[#This Row],[Tech Start Date]],19),IF(Main[[#This Row],[Class]]="B", WORKDAY(Main[[#This Row],[Tech Start Date]],12),IF(Main[[#This Row],[Class]]="A",WORKDAY(Main[[#This Row],[Tech Start Date]],4),""))))</f>
        <v>37628</v>
      </c>
      <c r="O1315" s="77">
        <f>IF(Main[[#This Row],[Tech Start Date]]&lt;1/1/1990,"",IF(Main[[#This Row],[Class]]="C",WORKDAY(Main[[#This Row],[Tech Start Date]],23),IF(Main[[#This Row],[Class]]="B", WORKDAY(Main[[#This Row],[Tech Start Date]],15),IF(Main[[#This Row],[Class]]="A",WORKDAY(Main[[#This Row],[Tech Start Date]],5),""))))</f>
        <v>37629</v>
      </c>
      <c r="P1315" s="77">
        <f>IF(Main[[#This Row],[Tech Start Date]]&lt;1/1/1990,"",IF(Main[[#This Row],[Class]]="C",WORKDAY(Main[[#This Row],[Tech Start Date]],28),IF(Main[[#This Row],[Class]]="B", WORKDAY(Main[[#This Row],[Tech Start Date]],19),IF(Main[[#This Row],[Class]]="A",WORKDAY(Main[[#This Row],[Tech Start Date]],9),""))))</f>
        <v>37635</v>
      </c>
      <c r="Q1315" s="74"/>
      <c r="R1315" s="74">
        <v>37623</v>
      </c>
      <c r="S1315" s="72" t="s">
        <v>11</v>
      </c>
      <c r="T1315" s="80" t="s">
        <v>4</v>
      </c>
      <c r="U1315" s="72" t="s">
        <v>14</v>
      </c>
      <c r="V1315" s="72" t="s">
        <v>1947</v>
      </c>
      <c r="W1315" s="72" t="s">
        <v>1940</v>
      </c>
      <c r="X1315" s="72" t="s">
        <v>2232</v>
      </c>
      <c r="Y1315" s="72" t="s">
        <v>3230</v>
      </c>
      <c r="Z1315" s="72" t="s">
        <v>4</v>
      </c>
      <c r="AA1315" s="147" t="s">
        <v>3658</v>
      </c>
    </row>
    <row r="1316" spans="1:27" ht="18.600000000000001" customHeight="1">
      <c r="A1316" s="140" t="str">
        <f>IF(priority(Main[[#This Row],[Comments]])&lt;&gt;0, priority(Main[[#This Row],[Comments]]),"")</f>
        <v/>
      </c>
      <c r="B1316" s="90" t="s">
        <v>2229</v>
      </c>
      <c r="C1316" s="72" t="s">
        <v>2230</v>
      </c>
      <c r="D1316" s="73" t="s">
        <v>2231</v>
      </c>
      <c r="E1316" s="74"/>
      <c r="F1316" s="74"/>
      <c r="G1316" s="75" t="str">
        <f>IF(stdProdLT(Main[[#This Row],[Comments]])=0.1,"N/A",IF(stdProdLT(Main[[#This Row],[Comments]])=0,"",stdProdLT(Main[[#This Row],[Comments]])))</f>
        <v/>
      </c>
      <c r="H1316" s="76" t="str">
        <f>IF(AND(Main[[#This Row],[In Stock Date]]&lt;&gt;"",Main[[#This Row],[Revised Due Date]]&lt;&gt;""),Main[[#This Row],[In Stock Date]]-Main[[#This Row],[Revised Due Date]],"")</f>
        <v/>
      </c>
      <c r="I1316" s="72" t="s">
        <v>2232</v>
      </c>
      <c r="J1316" s="72" t="s">
        <v>4</v>
      </c>
      <c r="K1316" s="72" t="s">
        <v>1941</v>
      </c>
      <c r="L1316" s="74">
        <v>37622</v>
      </c>
      <c r="M1316" s="77">
        <f>IF(Main[[#This Row],[Tech Start Date]]&lt;1/1/1990,"",IF(Main[[#This Row],[Class]]="C",WORKDAY(Main[[#This Row],[Tech Start Date]],9),IF(Main[[#This Row],[Class]]="B", WORKDAY(Main[[#This Row],[Tech Start Date]],6),IF(Main[[#This Row],[Class]]="A",WORKDAY(Main[[#This Row],[Tech Start Date]],2),""))))</f>
        <v>37624</v>
      </c>
      <c r="N1316" s="77">
        <f>IF(Main[[#This Row],[Tech Start Date]]&lt;1/1/1990,"",IF(Main[[#This Row],[Class]]="C",WORKDAY(Main[[#This Row],[Tech Start Date]],19),IF(Main[[#This Row],[Class]]="B", WORKDAY(Main[[#This Row],[Tech Start Date]],12),IF(Main[[#This Row],[Class]]="A",WORKDAY(Main[[#This Row],[Tech Start Date]],4),""))))</f>
        <v>37628</v>
      </c>
      <c r="O1316" s="77">
        <f>IF(Main[[#This Row],[Tech Start Date]]&lt;1/1/1990,"",IF(Main[[#This Row],[Class]]="C",WORKDAY(Main[[#This Row],[Tech Start Date]],23),IF(Main[[#This Row],[Class]]="B", WORKDAY(Main[[#This Row],[Tech Start Date]],15),IF(Main[[#This Row],[Class]]="A",WORKDAY(Main[[#This Row],[Tech Start Date]],5),""))))</f>
        <v>37629</v>
      </c>
      <c r="P1316" s="77">
        <f>IF(Main[[#This Row],[Tech Start Date]]&lt;1/1/1990,"",IF(Main[[#This Row],[Class]]="C",WORKDAY(Main[[#This Row],[Tech Start Date]],28),IF(Main[[#This Row],[Class]]="B", WORKDAY(Main[[#This Row],[Tech Start Date]],19),IF(Main[[#This Row],[Class]]="A",WORKDAY(Main[[#This Row],[Tech Start Date]],9),""))))</f>
        <v>37635</v>
      </c>
      <c r="Q1316" s="74"/>
      <c r="R1316" s="74">
        <v>37623</v>
      </c>
      <c r="S1316" s="72" t="s">
        <v>11</v>
      </c>
      <c r="T1316" s="80" t="s">
        <v>4</v>
      </c>
      <c r="U1316" s="72" t="s">
        <v>14</v>
      </c>
      <c r="V1316" s="72" t="s">
        <v>1947</v>
      </c>
      <c r="W1316" s="72" t="s">
        <v>1940</v>
      </c>
      <c r="X1316" s="72" t="s">
        <v>2232</v>
      </c>
      <c r="Y1316" s="72" t="s">
        <v>3230</v>
      </c>
      <c r="Z1316" s="72" t="s">
        <v>4</v>
      </c>
      <c r="AA1316" s="147" t="s">
        <v>3658</v>
      </c>
    </row>
    <row r="1317" spans="1:27" ht="18.600000000000001" customHeight="1">
      <c r="A1317" s="140" t="str">
        <f>IF(priority(Main[[#This Row],[Comments]])&lt;&gt;0, priority(Main[[#This Row],[Comments]]),"")</f>
        <v/>
      </c>
      <c r="B1317" s="90" t="s">
        <v>1828</v>
      </c>
      <c r="C1317" s="72" t="s">
        <v>866</v>
      </c>
      <c r="D1317" s="73" t="s">
        <v>870</v>
      </c>
      <c r="E1317" s="74">
        <v>40085.252314814818</v>
      </c>
      <c r="F1317" s="74">
        <v>40421</v>
      </c>
      <c r="G1317" s="75" t="str">
        <f>IF(stdProdLT(Main[[#This Row],[Comments]])=0.1,"N/A",IF(stdProdLT(Main[[#This Row],[Comments]])=0,"",stdProdLT(Main[[#This Row],[Comments]])))</f>
        <v/>
      </c>
      <c r="H1317" s="76">
        <f>IF(AND(Main[[#This Row],[In Stock Date]]&lt;&gt;"",Main[[#This Row],[Revised Due Date]]&lt;&gt;""),Main[[#This Row],[In Stock Date]]-Main[[#This Row],[Revised Due Date]],"")</f>
        <v>193</v>
      </c>
      <c r="I1317" s="72" t="s">
        <v>863</v>
      </c>
      <c r="J1317" s="72" t="s">
        <v>4</v>
      </c>
      <c r="K1317" s="72" t="s">
        <v>1944</v>
      </c>
      <c r="L1317" s="74">
        <v>40091</v>
      </c>
      <c r="M1317" s="77" t="str">
        <f>IF(Main[[#This Row],[Tech Start Date]]&lt;1/1/1990,"",IF(Main[[#This Row],[Class]]="C",WORKDAY(Main[[#This Row],[Tech Start Date]],9),IF(Main[[#This Row],[Class]]="B", WORKDAY(Main[[#This Row],[Tech Start Date]],6),IF(Main[[#This Row],[Class]]="A",WORKDAY(Main[[#This Row],[Tech Start Date]],2),""))))</f>
        <v/>
      </c>
      <c r="N1317" s="77" t="str">
        <f>IF(Main[[#This Row],[Tech Start Date]]&lt;1/1/1990,"",IF(Main[[#This Row],[Class]]="C",WORKDAY(Main[[#This Row],[Tech Start Date]],19),IF(Main[[#This Row],[Class]]="B", WORKDAY(Main[[#This Row],[Tech Start Date]],12),IF(Main[[#This Row],[Class]]="A",WORKDAY(Main[[#This Row],[Tech Start Date]],4),""))))</f>
        <v/>
      </c>
      <c r="O1317" s="77" t="str">
        <f>IF(Main[[#This Row],[Tech Start Date]]&lt;1/1/1990,"",IF(Main[[#This Row],[Class]]="C",WORKDAY(Main[[#This Row],[Tech Start Date]],23),IF(Main[[#This Row],[Class]]="B", WORKDAY(Main[[#This Row],[Tech Start Date]],15),IF(Main[[#This Row],[Class]]="A",WORKDAY(Main[[#This Row],[Tech Start Date]],5),""))))</f>
        <v/>
      </c>
      <c r="P1317" s="77" t="str">
        <f>IF(Main[[#This Row],[Tech Start Date]]&lt;1/1/1990,"",IF(Main[[#This Row],[Class]]="C",WORKDAY(Main[[#This Row],[Tech Start Date]],28),IF(Main[[#This Row],[Class]]="B", WORKDAY(Main[[#This Row],[Tech Start Date]],19),IF(Main[[#This Row],[Class]]="A",WORKDAY(Main[[#This Row],[Tech Start Date]],9),""))))</f>
        <v/>
      </c>
      <c r="Q1317" s="74">
        <v>40239</v>
      </c>
      <c r="R1317" s="74">
        <v>40228</v>
      </c>
      <c r="S1317" s="72" t="s">
        <v>17</v>
      </c>
      <c r="T1317" s="80" t="s">
        <v>4</v>
      </c>
      <c r="U1317" s="72" t="s">
        <v>29</v>
      </c>
      <c r="V1317" s="72" t="s">
        <v>1935</v>
      </c>
      <c r="W1317" s="72" t="s">
        <v>1937</v>
      </c>
      <c r="X1317" s="72" t="s">
        <v>2999</v>
      </c>
      <c r="Y1317" s="72" t="s">
        <v>4</v>
      </c>
      <c r="Z1317" s="72" t="s">
        <v>863</v>
      </c>
      <c r="AA1317" s="147" t="s">
        <v>2999</v>
      </c>
    </row>
    <row r="1318" spans="1:27" ht="18.600000000000001" customHeight="1">
      <c r="A1318" s="140" t="str">
        <f>IF(priority(Main[[#This Row],[Comments]])&lt;&gt;0, priority(Main[[#This Row],[Comments]]),"")</f>
        <v/>
      </c>
      <c r="B1318" s="90" t="s">
        <v>1821</v>
      </c>
      <c r="C1318" s="72" t="s">
        <v>93</v>
      </c>
      <c r="D1318" s="73" t="s">
        <v>861</v>
      </c>
      <c r="E1318" s="74"/>
      <c r="F1318" s="74">
        <v>40238</v>
      </c>
      <c r="G1318" s="75" t="str">
        <f>IF(stdProdLT(Main[[#This Row],[Comments]])=0.1,"N/A",IF(stdProdLT(Main[[#This Row],[Comments]])=0,"",stdProdLT(Main[[#This Row],[Comments]])))</f>
        <v/>
      </c>
      <c r="H1318" s="76">
        <f>IF(AND(Main[[#This Row],[In Stock Date]]&lt;&gt;"",Main[[#This Row],[Revised Due Date]]&lt;&gt;""),Main[[#This Row],[In Stock Date]]-Main[[#This Row],[Revised Due Date]],"")</f>
        <v>81</v>
      </c>
      <c r="I1318" s="72" t="s">
        <v>44</v>
      </c>
      <c r="J1318" s="72" t="s">
        <v>4</v>
      </c>
      <c r="K1318" s="81" t="s">
        <v>4</v>
      </c>
      <c r="L1318" s="74">
        <v>40127</v>
      </c>
      <c r="M1318" s="77" t="str">
        <f>IF(Main[[#This Row],[Tech Start Date]]&lt;1/1/1990,"",IF(Main[[#This Row],[Class]]="C",WORKDAY(Main[[#This Row],[Tech Start Date]],9),IF(Main[[#This Row],[Class]]="B", WORKDAY(Main[[#This Row],[Tech Start Date]],6),IF(Main[[#This Row],[Class]]="A",WORKDAY(Main[[#This Row],[Tech Start Date]],2),""))))</f>
        <v/>
      </c>
      <c r="N1318" s="77" t="str">
        <f>IF(Main[[#This Row],[Tech Start Date]]&lt;1/1/1990,"",IF(Main[[#This Row],[Class]]="C",WORKDAY(Main[[#This Row],[Tech Start Date]],19),IF(Main[[#This Row],[Class]]="B", WORKDAY(Main[[#This Row],[Tech Start Date]],12),IF(Main[[#This Row],[Class]]="A",WORKDAY(Main[[#This Row],[Tech Start Date]],4),""))))</f>
        <v/>
      </c>
      <c r="O1318" s="77" t="str">
        <f>IF(Main[[#This Row],[Tech Start Date]]&lt;1/1/1990,"",IF(Main[[#This Row],[Class]]="C",WORKDAY(Main[[#This Row],[Tech Start Date]],23),IF(Main[[#This Row],[Class]]="B", WORKDAY(Main[[#This Row],[Tech Start Date]],15),IF(Main[[#This Row],[Class]]="A",WORKDAY(Main[[#This Row],[Tech Start Date]],5),""))))</f>
        <v/>
      </c>
      <c r="P1318" s="77" t="str">
        <f>IF(Main[[#This Row],[Tech Start Date]]&lt;1/1/1990,"",IF(Main[[#This Row],[Class]]="C",WORKDAY(Main[[#This Row],[Tech Start Date]],28),IF(Main[[#This Row],[Class]]="B", WORKDAY(Main[[#This Row],[Tech Start Date]],19),IF(Main[[#This Row],[Class]]="A",WORKDAY(Main[[#This Row],[Tech Start Date]],9),""))))</f>
        <v/>
      </c>
      <c r="Q1318" s="74">
        <v>40223</v>
      </c>
      <c r="R1318" s="74">
        <v>40157</v>
      </c>
      <c r="S1318" s="72" t="s">
        <v>11</v>
      </c>
      <c r="T1318" s="80" t="s">
        <v>4</v>
      </c>
      <c r="U1318" s="72" t="s">
        <v>14</v>
      </c>
      <c r="V1318" s="72" t="s">
        <v>1942</v>
      </c>
      <c r="W1318" s="72" t="s">
        <v>1943</v>
      </c>
      <c r="X1318" s="72" t="s">
        <v>2929</v>
      </c>
      <c r="Y1318" s="72" t="s">
        <v>4</v>
      </c>
      <c r="Z1318" s="72" t="s">
        <v>4</v>
      </c>
      <c r="AA1318" s="147" t="s">
        <v>2929</v>
      </c>
    </row>
    <row r="1319" spans="1:27" ht="18.600000000000001" customHeight="1">
      <c r="A1319" s="140" t="str">
        <f>IF(priority(Main[[#This Row],[Comments]])&lt;&gt;0, priority(Main[[#This Row],[Comments]]),"")</f>
        <v/>
      </c>
      <c r="B1319" s="90" t="s">
        <v>1195</v>
      </c>
      <c r="C1319" s="72" t="s">
        <v>4</v>
      </c>
      <c r="D1319" s="73" t="s">
        <v>241</v>
      </c>
      <c r="E1319" s="74"/>
      <c r="F1319" s="74"/>
      <c r="G1319" s="75" t="str">
        <f>IF(stdProdLT(Main[[#This Row],[Comments]])=0.1,"N/A",IF(stdProdLT(Main[[#This Row],[Comments]])=0,"",stdProdLT(Main[[#This Row],[Comments]])))</f>
        <v/>
      </c>
      <c r="H1319" s="76" t="str">
        <f>IF(AND(Main[[#This Row],[In Stock Date]]&lt;&gt;"",Main[[#This Row],[Revised Due Date]]&lt;&gt;""),Main[[#This Row],[In Stock Date]]-Main[[#This Row],[Revised Due Date]],"")</f>
        <v/>
      </c>
      <c r="I1319" s="72" t="s">
        <v>242</v>
      </c>
      <c r="J1319" s="72" t="s">
        <v>4</v>
      </c>
      <c r="K1319" s="81" t="s">
        <v>4</v>
      </c>
      <c r="L1319" s="74">
        <v>40134</v>
      </c>
      <c r="M1319" s="77" t="str">
        <f>IF(Main[[#This Row],[Tech Start Date]]&lt;1/1/1990,"",IF(Main[[#This Row],[Class]]="C",WORKDAY(Main[[#This Row],[Tech Start Date]],9),IF(Main[[#This Row],[Class]]="B", WORKDAY(Main[[#This Row],[Tech Start Date]],6),IF(Main[[#This Row],[Class]]="A",WORKDAY(Main[[#This Row],[Tech Start Date]],2),""))))</f>
        <v/>
      </c>
      <c r="N1319" s="77" t="str">
        <f>IF(Main[[#This Row],[Tech Start Date]]&lt;1/1/1990,"",IF(Main[[#This Row],[Class]]="C",WORKDAY(Main[[#This Row],[Tech Start Date]],19),IF(Main[[#This Row],[Class]]="B", WORKDAY(Main[[#This Row],[Tech Start Date]],12),IF(Main[[#This Row],[Class]]="A",WORKDAY(Main[[#This Row],[Tech Start Date]],4),""))))</f>
        <v/>
      </c>
      <c r="O1319" s="77" t="str">
        <f>IF(Main[[#This Row],[Tech Start Date]]&lt;1/1/1990,"",IF(Main[[#This Row],[Class]]="C",WORKDAY(Main[[#This Row],[Tech Start Date]],23),IF(Main[[#This Row],[Class]]="B", WORKDAY(Main[[#This Row],[Tech Start Date]],15),IF(Main[[#This Row],[Class]]="A",WORKDAY(Main[[#This Row],[Tech Start Date]],5),""))))</f>
        <v/>
      </c>
      <c r="P1319" s="77" t="str">
        <f>IF(Main[[#This Row],[Tech Start Date]]&lt;1/1/1990,"",IF(Main[[#This Row],[Class]]="C",WORKDAY(Main[[#This Row],[Tech Start Date]],28),IF(Main[[#This Row],[Class]]="B", WORKDAY(Main[[#This Row],[Tech Start Date]],19),IF(Main[[#This Row],[Class]]="A",WORKDAY(Main[[#This Row],[Tech Start Date]],9),""))))</f>
        <v/>
      </c>
      <c r="Q1319" s="74"/>
      <c r="R1319" s="74"/>
      <c r="S1319" s="72" t="s">
        <v>6</v>
      </c>
      <c r="T1319" s="80" t="s">
        <v>4</v>
      </c>
      <c r="U1319" s="72" t="s">
        <v>14</v>
      </c>
      <c r="V1319" s="72" t="s">
        <v>1935</v>
      </c>
      <c r="W1319" s="72" t="s">
        <v>4</v>
      </c>
      <c r="X1319" s="72" t="s">
        <v>2906</v>
      </c>
      <c r="Y1319" s="72" t="s">
        <v>3231</v>
      </c>
      <c r="Z1319" s="72" t="s">
        <v>4</v>
      </c>
      <c r="AA1319" s="147" t="s">
        <v>2906</v>
      </c>
    </row>
    <row r="1320" spans="1:27" ht="18.600000000000001" customHeight="1">
      <c r="A1320" s="140" t="str">
        <f>IF(priority(Main[[#This Row],[Comments]])&lt;&gt;0, priority(Main[[#This Row],[Comments]]),"")</f>
        <v/>
      </c>
      <c r="B1320" s="90" t="s">
        <v>1867</v>
      </c>
      <c r="C1320" s="72" t="s">
        <v>868</v>
      </c>
      <c r="D1320" s="73" t="s">
        <v>916</v>
      </c>
      <c r="E1320" s="74"/>
      <c r="F1320" s="74">
        <v>40305</v>
      </c>
      <c r="G1320" s="75" t="str">
        <f>IF(stdProdLT(Main[[#This Row],[Comments]])=0.1,"N/A",IF(stdProdLT(Main[[#This Row],[Comments]])=0,"",stdProdLT(Main[[#This Row],[Comments]])))</f>
        <v/>
      </c>
      <c r="H1320" s="76">
        <f>IF(AND(Main[[#This Row],[In Stock Date]]&lt;&gt;"",Main[[#This Row],[Revised Due Date]]&lt;&gt;""),Main[[#This Row],[In Stock Date]]-Main[[#This Row],[Revised Due Date]],"")</f>
        <v>-226</v>
      </c>
      <c r="I1320" s="72" t="s">
        <v>436</v>
      </c>
      <c r="J1320" s="72" t="s">
        <v>4</v>
      </c>
      <c r="K1320" s="72" t="s">
        <v>1939</v>
      </c>
      <c r="L1320" s="74">
        <v>40162</v>
      </c>
      <c r="M1320" s="77">
        <f>IF(Main[[#This Row],[Tech Start Date]]&lt;1/1/1990,"",IF(Main[[#This Row],[Class]]="C",WORKDAY(Main[[#This Row],[Tech Start Date]],9),IF(Main[[#This Row],[Class]]="B", WORKDAY(Main[[#This Row],[Tech Start Date]],6),IF(Main[[#This Row],[Class]]="A",WORKDAY(Main[[#This Row],[Tech Start Date]],2),""))))</f>
        <v>40170</v>
      </c>
      <c r="N1320" s="77">
        <f>IF(Main[[#This Row],[Tech Start Date]]&lt;1/1/1990,"",IF(Main[[#This Row],[Class]]="C",WORKDAY(Main[[#This Row],[Tech Start Date]],19),IF(Main[[#This Row],[Class]]="B", WORKDAY(Main[[#This Row],[Tech Start Date]],12),IF(Main[[#This Row],[Class]]="A",WORKDAY(Main[[#This Row],[Tech Start Date]],4),""))))</f>
        <v>40178</v>
      </c>
      <c r="O1320" s="77">
        <f>IF(Main[[#This Row],[Tech Start Date]]&lt;1/1/1990,"",IF(Main[[#This Row],[Class]]="C",WORKDAY(Main[[#This Row],[Tech Start Date]],23),IF(Main[[#This Row],[Class]]="B", WORKDAY(Main[[#This Row],[Tech Start Date]],15),IF(Main[[#This Row],[Class]]="A",WORKDAY(Main[[#This Row],[Tech Start Date]],5),""))))</f>
        <v>40183</v>
      </c>
      <c r="P1320" s="77">
        <f>IF(Main[[#This Row],[Tech Start Date]]&lt;1/1/1990,"",IF(Main[[#This Row],[Class]]="C",WORKDAY(Main[[#This Row],[Tech Start Date]],28),IF(Main[[#This Row],[Class]]="B", WORKDAY(Main[[#This Row],[Tech Start Date]],19),IF(Main[[#This Row],[Class]]="A",WORKDAY(Main[[#This Row],[Tech Start Date]],9),""))))</f>
        <v>40189</v>
      </c>
      <c r="Q1320" s="74">
        <v>40531</v>
      </c>
      <c r="R1320" s="74">
        <v>40531</v>
      </c>
      <c r="S1320" s="72" t="s">
        <v>11</v>
      </c>
      <c r="T1320" s="80" t="s">
        <v>4</v>
      </c>
      <c r="U1320" s="72" t="s">
        <v>14</v>
      </c>
      <c r="V1320" s="72" t="s">
        <v>1935</v>
      </c>
      <c r="W1320" s="72" t="s">
        <v>1940</v>
      </c>
      <c r="X1320" s="72" t="s">
        <v>3000</v>
      </c>
      <c r="Y1320" s="72" t="s">
        <v>4</v>
      </c>
      <c r="Z1320" s="72" t="s">
        <v>4</v>
      </c>
      <c r="AA1320" s="147" t="s">
        <v>3000</v>
      </c>
    </row>
    <row r="1321" spans="1:27" ht="18.600000000000001" customHeight="1">
      <c r="A1321" s="140" t="str">
        <f>IF(priority(Main[[#This Row],[Comments]])&lt;&gt;0, priority(Main[[#This Row],[Comments]]),"")</f>
        <v/>
      </c>
      <c r="B1321" s="90" t="s">
        <v>1825</v>
      </c>
      <c r="C1321" s="72" t="s">
        <v>31</v>
      </c>
      <c r="D1321" s="73" t="s">
        <v>865</v>
      </c>
      <c r="E1321" s="74"/>
      <c r="F1321" s="74">
        <v>40192</v>
      </c>
      <c r="G1321" s="75" t="str">
        <f>IF(stdProdLT(Main[[#This Row],[Comments]])=0.1,"N/A",IF(stdProdLT(Main[[#This Row],[Comments]])=0,"",stdProdLT(Main[[#This Row],[Comments]])))</f>
        <v/>
      </c>
      <c r="H1321" s="76">
        <f>IF(AND(Main[[#This Row],[In Stock Date]]&lt;&gt;"",Main[[#This Row],[Revised Due Date]]&lt;&gt;""),Main[[#This Row],[In Stock Date]]-Main[[#This Row],[Revised Due Date]],"")</f>
        <v>0</v>
      </c>
      <c r="I1321" s="72" t="s">
        <v>775</v>
      </c>
      <c r="J1321" s="72" t="s">
        <v>4</v>
      </c>
      <c r="K1321" s="72" t="s">
        <v>4</v>
      </c>
      <c r="L1321" s="74">
        <v>40163</v>
      </c>
      <c r="M1321" s="77" t="str">
        <f>IF(Main[[#This Row],[Tech Start Date]]&lt;1/1/1990,"",IF(Main[[#This Row],[Class]]="C",WORKDAY(Main[[#This Row],[Tech Start Date]],9),IF(Main[[#This Row],[Class]]="B", WORKDAY(Main[[#This Row],[Tech Start Date]],6),IF(Main[[#This Row],[Class]]="A",WORKDAY(Main[[#This Row],[Tech Start Date]],2),""))))</f>
        <v/>
      </c>
      <c r="N1321" s="77" t="str">
        <f>IF(Main[[#This Row],[Tech Start Date]]&lt;1/1/1990,"",IF(Main[[#This Row],[Class]]="C",WORKDAY(Main[[#This Row],[Tech Start Date]],19),IF(Main[[#This Row],[Class]]="B", WORKDAY(Main[[#This Row],[Tech Start Date]],12),IF(Main[[#This Row],[Class]]="A",WORKDAY(Main[[#This Row],[Tech Start Date]],4),""))))</f>
        <v/>
      </c>
      <c r="O1321" s="77" t="str">
        <f>IF(Main[[#This Row],[Tech Start Date]]&lt;1/1/1990,"",IF(Main[[#This Row],[Class]]="C",WORKDAY(Main[[#This Row],[Tech Start Date]],23),IF(Main[[#This Row],[Class]]="B", WORKDAY(Main[[#This Row],[Tech Start Date]],15),IF(Main[[#This Row],[Class]]="A",WORKDAY(Main[[#This Row],[Tech Start Date]],5),""))))</f>
        <v/>
      </c>
      <c r="P1321" s="77" t="str">
        <f>IF(Main[[#This Row],[Tech Start Date]]&lt;1/1/1990,"",IF(Main[[#This Row],[Class]]="C",WORKDAY(Main[[#This Row],[Tech Start Date]],28),IF(Main[[#This Row],[Class]]="B", WORKDAY(Main[[#This Row],[Tech Start Date]],19),IF(Main[[#This Row],[Class]]="A",WORKDAY(Main[[#This Row],[Tech Start Date]],9),""))))</f>
        <v/>
      </c>
      <c r="Q1321" s="74">
        <v>40226</v>
      </c>
      <c r="R1321" s="74">
        <v>40192</v>
      </c>
      <c r="S1321" s="72" t="s">
        <v>11</v>
      </c>
      <c r="T1321" s="80" t="s">
        <v>4</v>
      </c>
      <c r="U1321" s="72" t="s">
        <v>14</v>
      </c>
      <c r="V1321" s="72" t="s">
        <v>1942</v>
      </c>
      <c r="W1321" s="72" t="s">
        <v>1938</v>
      </c>
      <c r="X1321" s="72" t="s">
        <v>2955</v>
      </c>
      <c r="Y1321" s="72" t="s">
        <v>4</v>
      </c>
      <c r="Z1321" s="72" t="s">
        <v>4</v>
      </c>
      <c r="AA1321" s="147" t="s">
        <v>2955</v>
      </c>
    </row>
    <row r="1322" spans="1:27" ht="18.600000000000001" customHeight="1">
      <c r="A1322" s="140" t="str">
        <f>IF(priority(Main[[#This Row],[Comments]])&lt;&gt;0, priority(Main[[#This Row],[Comments]]),"")</f>
        <v/>
      </c>
      <c r="B1322" s="90" t="s">
        <v>1824</v>
      </c>
      <c r="C1322" s="72" t="s">
        <v>31</v>
      </c>
      <c r="D1322" s="73" t="s">
        <v>864</v>
      </c>
      <c r="E1322" s="74"/>
      <c r="F1322" s="74">
        <v>40192</v>
      </c>
      <c r="G1322" s="75" t="str">
        <f>IF(stdProdLT(Main[[#This Row],[Comments]])=0.1,"N/A",IF(stdProdLT(Main[[#This Row],[Comments]])=0,"",stdProdLT(Main[[#This Row],[Comments]])))</f>
        <v/>
      </c>
      <c r="H1322" s="76">
        <f>IF(AND(Main[[#This Row],[In Stock Date]]&lt;&gt;"",Main[[#This Row],[Revised Due Date]]&lt;&gt;""),Main[[#This Row],[In Stock Date]]-Main[[#This Row],[Revised Due Date]],"")</f>
        <v>0</v>
      </c>
      <c r="I1322" s="72" t="s">
        <v>775</v>
      </c>
      <c r="J1322" s="72" t="s">
        <v>4</v>
      </c>
      <c r="K1322" s="81" t="s">
        <v>4</v>
      </c>
      <c r="L1322" s="74">
        <v>40163</v>
      </c>
      <c r="M1322" s="77" t="str">
        <f>IF(Main[[#This Row],[Tech Start Date]]&lt;1/1/1990,"",IF(Main[[#This Row],[Class]]="C",WORKDAY(Main[[#This Row],[Tech Start Date]],9),IF(Main[[#This Row],[Class]]="B", WORKDAY(Main[[#This Row],[Tech Start Date]],6),IF(Main[[#This Row],[Class]]="A",WORKDAY(Main[[#This Row],[Tech Start Date]],2),""))))</f>
        <v/>
      </c>
      <c r="N1322" s="77" t="str">
        <f>IF(Main[[#This Row],[Tech Start Date]]&lt;1/1/1990,"",IF(Main[[#This Row],[Class]]="C",WORKDAY(Main[[#This Row],[Tech Start Date]],19),IF(Main[[#This Row],[Class]]="B", WORKDAY(Main[[#This Row],[Tech Start Date]],12),IF(Main[[#This Row],[Class]]="A",WORKDAY(Main[[#This Row],[Tech Start Date]],4),""))))</f>
        <v/>
      </c>
      <c r="O1322" s="77" t="str">
        <f>IF(Main[[#This Row],[Tech Start Date]]&lt;1/1/1990,"",IF(Main[[#This Row],[Class]]="C",WORKDAY(Main[[#This Row],[Tech Start Date]],23),IF(Main[[#This Row],[Class]]="B", WORKDAY(Main[[#This Row],[Tech Start Date]],15),IF(Main[[#This Row],[Class]]="A",WORKDAY(Main[[#This Row],[Tech Start Date]],5),""))))</f>
        <v/>
      </c>
      <c r="P1322" s="77" t="str">
        <f>IF(Main[[#This Row],[Tech Start Date]]&lt;1/1/1990,"",IF(Main[[#This Row],[Class]]="C",WORKDAY(Main[[#This Row],[Tech Start Date]],28),IF(Main[[#This Row],[Class]]="B", WORKDAY(Main[[#This Row],[Tech Start Date]],19),IF(Main[[#This Row],[Class]]="A",WORKDAY(Main[[#This Row],[Tech Start Date]],9),""))))</f>
        <v/>
      </c>
      <c r="Q1322" s="74">
        <v>40226</v>
      </c>
      <c r="R1322" s="74">
        <v>40192</v>
      </c>
      <c r="S1322" s="72" t="s">
        <v>11</v>
      </c>
      <c r="T1322" s="80" t="s">
        <v>4</v>
      </c>
      <c r="U1322" s="72" t="s">
        <v>14</v>
      </c>
      <c r="V1322" s="72" t="s">
        <v>1942</v>
      </c>
      <c r="W1322" s="72" t="s">
        <v>1938</v>
      </c>
      <c r="X1322" s="72" t="s">
        <v>2955</v>
      </c>
      <c r="Y1322" s="72" t="s">
        <v>4</v>
      </c>
      <c r="Z1322" s="72" t="s">
        <v>4</v>
      </c>
      <c r="AA1322" s="147" t="s">
        <v>2955</v>
      </c>
    </row>
    <row r="1323" spans="1:27" ht="18.600000000000001" customHeight="1">
      <c r="A1323" s="140" t="str">
        <f>IF(priority(Main[[#This Row],[Comments]])&lt;&gt;0, priority(Main[[#This Row],[Comments]]),"")</f>
        <v/>
      </c>
      <c r="B1323" s="90" t="s">
        <v>1827</v>
      </c>
      <c r="C1323" s="72" t="s">
        <v>868</v>
      </c>
      <c r="D1323" s="73" t="s">
        <v>869</v>
      </c>
      <c r="E1323" s="74"/>
      <c r="F1323" s="74">
        <v>40305</v>
      </c>
      <c r="G1323" s="75" t="str">
        <f>IF(stdProdLT(Main[[#This Row],[Comments]])=0.1,"N/A",IF(stdProdLT(Main[[#This Row],[Comments]])=0,"",stdProdLT(Main[[#This Row],[Comments]])))</f>
        <v/>
      </c>
      <c r="H1323" s="76">
        <f>IF(AND(Main[[#This Row],[In Stock Date]]&lt;&gt;"",Main[[#This Row],[Revised Due Date]]&lt;&gt;""),Main[[#This Row],[In Stock Date]]-Main[[#This Row],[Revised Due Date]],"")</f>
        <v>80</v>
      </c>
      <c r="I1323" s="72" t="s">
        <v>775</v>
      </c>
      <c r="J1323" s="72" t="s">
        <v>4</v>
      </c>
      <c r="K1323" s="72" t="s">
        <v>4</v>
      </c>
      <c r="L1323" s="74">
        <v>40192</v>
      </c>
      <c r="M1323" s="77" t="str">
        <f>IF(Main[[#This Row],[Tech Start Date]]&lt;1/1/1990,"",IF(Main[[#This Row],[Class]]="C",WORKDAY(Main[[#This Row],[Tech Start Date]],9),IF(Main[[#This Row],[Class]]="B", WORKDAY(Main[[#This Row],[Tech Start Date]],6),IF(Main[[#This Row],[Class]]="A",WORKDAY(Main[[#This Row],[Tech Start Date]],2),""))))</f>
        <v/>
      </c>
      <c r="N1323" s="77" t="str">
        <f>IF(Main[[#This Row],[Tech Start Date]]&lt;1/1/1990,"",IF(Main[[#This Row],[Class]]="C",WORKDAY(Main[[#This Row],[Tech Start Date]],19),IF(Main[[#This Row],[Class]]="B", WORKDAY(Main[[#This Row],[Tech Start Date]],12),IF(Main[[#This Row],[Class]]="A",WORKDAY(Main[[#This Row],[Tech Start Date]],4),""))))</f>
        <v/>
      </c>
      <c r="O1323" s="77" t="str">
        <f>IF(Main[[#This Row],[Tech Start Date]]&lt;1/1/1990,"",IF(Main[[#This Row],[Class]]="C",WORKDAY(Main[[#This Row],[Tech Start Date]],23),IF(Main[[#This Row],[Class]]="B", WORKDAY(Main[[#This Row],[Tech Start Date]],15),IF(Main[[#This Row],[Class]]="A",WORKDAY(Main[[#This Row],[Tech Start Date]],5),""))))</f>
        <v/>
      </c>
      <c r="P1323" s="77" t="str">
        <f>IF(Main[[#This Row],[Tech Start Date]]&lt;1/1/1990,"",IF(Main[[#This Row],[Class]]="C",WORKDAY(Main[[#This Row],[Tech Start Date]],28),IF(Main[[#This Row],[Class]]="B", WORKDAY(Main[[#This Row],[Tech Start Date]],19),IF(Main[[#This Row],[Class]]="A",WORKDAY(Main[[#This Row],[Tech Start Date]],9),""))))</f>
        <v/>
      </c>
      <c r="Q1323" s="74">
        <v>40178</v>
      </c>
      <c r="R1323" s="74">
        <v>40225</v>
      </c>
      <c r="S1323" s="72" t="s">
        <v>11</v>
      </c>
      <c r="T1323" s="80" t="s">
        <v>4</v>
      </c>
      <c r="U1323" s="72" t="s">
        <v>14</v>
      </c>
      <c r="V1323" s="72" t="s">
        <v>1935</v>
      </c>
      <c r="W1323" s="72" t="s">
        <v>1940</v>
      </c>
      <c r="X1323" s="72" t="s">
        <v>2938</v>
      </c>
      <c r="Y1323" s="72" t="s">
        <v>4</v>
      </c>
      <c r="Z1323" s="72" t="s">
        <v>4</v>
      </c>
      <c r="AA1323" s="147" t="s">
        <v>2938</v>
      </c>
    </row>
    <row r="1324" spans="1:27" ht="18.600000000000001" customHeight="1">
      <c r="A1324" s="140" t="str">
        <f>IF(priority(Main[[#This Row],[Comments]])&lt;&gt;0, priority(Main[[#This Row],[Comments]]),"")</f>
        <v/>
      </c>
      <c r="B1324" s="90" t="s">
        <v>1826</v>
      </c>
      <c r="C1324" s="72" t="s">
        <v>866</v>
      </c>
      <c r="D1324" s="73" t="s">
        <v>867</v>
      </c>
      <c r="E1324" s="74"/>
      <c r="F1324" s="74">
        <v>40305</v>
      </c>
      <c r="G1324" s="75" t="str">
        <f>IF(stdProdLT(Main[[#This Row],[Comments]])=0.1,"N/A",IF(stdProdLT(Main[[#This Row],[Comments]])=0,"",stdProdLT(Main[[#This Row],[Comments]])))</f>
        <v/>
      </c>
      <c r="H1324" s="76">
        <f>IF(AND(Main[[#This Row],[In Stock Date]]&lt;&gt;"",Main[[#This Row],[Revised Due Date]]&lt;&gt;""),Main[[#This Row],[In Stock Date]]-Main[[#This Row],[Revised Due Date]],"")</f>
        <v>81</v>
      </c>
      <c r="I1324" s="72" t="s">
        <v>44</v>
      </c>
      <c r="J1324" s="72" t="s">
        <v>4</v>
      </c>
      <c r="K1324" s="72" t="s">
        <v>4</v>
      </c>
      <c r="L1324" s="74">
        <v>40192</v>
      </c>
      <c r="M1324" s="77" t="str">
        <f>IF(Main[[#This Row],[Tech Start Date]]&lt;1/1/1990,"",IF(Main[[#This Row],[Class]]="C",WORKDAY(Main[[#This Row],[Tech Start Date]],9),IF(Main[[#This Row],[Class]]="B", WORKDAY(Main[[#This Row],[Tech Start Date]],6),IF(Main[[#This Row],[Class]]="A",WORKDAY(Main[[#This Row],[Tech Start Date]],2),""))))</f>
        <v/>
      </c>
      <c r="N1324" s="77" t="str">
        <f>IF(Main[[#This Row],[Tech Start Date]]&lt;1/1/1990,"",IF(Main[[#This Row],[Class]]="C",WORKDAY(Main[[#This Row],[Tech Start Date]],19),IF(Main[[#This Row],[Class]]="B", WORKDAY(Main[[#This Row],[Tech Start Date]],12),IF(Main[[#This Row],[Class]]="A",WORKDAY(Main[[#This Row],[Tech Start Date]],4),""))))</f>
        <v/>
      </c>
      <c r="O1324" s="77" t="str">
        <f>IF(Main[[#This Row],[Tech Start Date]]&lt;1/1/1990,"",IF(Main[[#This Row],[Class]]="C",WORKDAY(Main[[#This Row],[Tech Start Date]],23),IF(Main[[#This Row],[Class]]="B", WORKDAY(Main[[#This Row],[Tech Start Date]],15),IF(Main[[#This Row],[Class]]="A",WORKDAY(Main[[#This Row],[Tech Start Date]],5),""))))</f>
        <v/>
      </c>
      <c r="P1324" s="77" t="str">
        <f>IF(Main[[#This Row],[Tech Start Date]]&lt;1/1/1990,"",IF(Main[[#This Row],[Class]]="C",WORKDAY(Main[[#This Row],[Tech Start Date]],28),IF(Main[[#This Row],[Class]]="B", WORKDAY(Main[[#This Row],[Tech Start Date]],19),IF(Main[[#This Row],[Class]]="A",WORKDAY(Main[[#This Row],[Tech Start Date]],9),""))))</f>
        <v/>
      </c>
      <c r="Q1324" s="74">
        <v>40178</v>
      </c>
      <c r="R1324" s="74">
        <v>40224</v>
      </c>
      <c r="S1324" s="72" t="s">
        <v>11</v>
      </c>
      <c r="T1324" s="80" t="s">
        <v>4</v>
      </c>
      <c r="U1324" s="72" t="s">
        <v>14</v>
      </c>
      <c r="V1324" s="72" t="s">
        <v>1935</v>
      </c>
      <c r="W1324" s="72" t="s">
        <v>1940</v>
      </c>
      <c r="X1324" s="72" t="s">
        <v>2938</v>
      </c>
      <c r="Y1324" s="72" t="s">
        <v>4</v>
      </c>
      <c r="Z1324" s="72" t="s">
        <v>4</v>
      </c>
      <c r="AA1324" s="147" t="s">
        <v>2938</v>
      </c>
    </row>
    <row r="1325" spans="1:27" ht="18.600000000000001" customHeight="1">
      <c r="A1325" s="140" t="str">
        <f>IF(priority(Main[[#This Row],[Comments]])&lt;&gt;0, priority(Main[[#This Row],[Comments]]),"")</f>
        <v/>
      </c>
      <c r="B1325" s="90" t="s">
        <v>1829</v>
      </c>
      <c r="C1325" s="72" t="s">
        <v>4</v>
      </c>
      <c r="D1325" s="73" t="s">
        <v>871</v>
      </c>
      <c r="E1325" s="74"/>
      <c r="F1325" s="74"/>
      <c r="G1325" s="75" t="str">
        <f>IF(stdProdLT(Main[[#This Row],[Comments]])=0.1,"N/A",IF(stdProdLT(Main[[#This Row],[Comments]])=0,"",stdProdLT(Main[[#This Row],[Comments]])))</f>
        <v/>
      </c>
      <c r="H1325" s="76" t="str">
        <f>IF(AND(Main[[#This Row],[In Stock Date]]&lt;&gt;"",Main[[#This Row],[Revised Due Date]]&lt;&gt;""),Main[[#This Row],[In Stock Date]]-Main[[#This Row],[Revised Due Date]],"")</f>
        <v/>
      </c>
      <c r="I1325" s="72" t="s">
        <v>30</v>
      </c>
      <c r="J1325" s="72" t="s">
        <v>28</v>
      </c>
      <c r="K1325" s="72" t="s">
        <v>1939</v>
      </c>
      <c r="L1325" s="74">
        <v>40231</v>
      </c>
      <c r="M1325" s="77">
        <f>IF(Main[[#This Row],[Tech Start Date]]&lt;1/1/1990,"",IF(Main[[#This Row],[Class]]="C",WORKDAY(Main[[#This Row],[Tech Start Date]],9),IF(Main[[#This Row],[Class]]="B", WORKDAY(Main[[#This Row],[Tech Start Date]],6),IF(Main[[#This Row],[Class]]="A",WORKDAY(Main[[#This Row],[Tech Start Date]],2),""))))</f>
        <v>40239</v>
      </c>
      <c r="N1325" s="77">
        <f>IF(Main[[#This Row],[Tech Start Date]]&lt;1/1/1990,"",IF(Main[[#This Row],[Class]]="C",WORKDAY(Main[[#This Row],[Tech Start Date]],19),IF(Main[[#This Row],[Class]]="B", WORKDAY(Main[[#This Row],[Tech Start Date]],12),IF(Main[[#This Row],[Class]]="A",WORKDAY(Main[[#This Row],[Tech Start Date]],4),""))))</f>
        <v>40247</v>
      </c>
      <c r="O1325" s="77">
        <f>IF(Main[[#This Row],[Tech Start Date]]&lt;1/1/1990,"",IF(Main[[#This Row],[Class]]="C",WORKDAY(Main[[#This Row],[Tech Start Date]],23),IF(Main[[#This Row],[Class]]="B", WORKDAY(Main[[#This Row],[Tech Start Date]],15),IF(Main[[#This Row],[Class]]="A",WORKDAY(Main[[#This Row],[Tech Start Date]],5),""))))</f>
        <v>40252</v>
      </c>
      <c r="P1325" s="77">
        <f>IF(Main[[#This Row],[Tech Start Date]]&lt;1/1/1990,"",IF(Main[[#This Row],[Class]]="C",WORKDAY(Main[[#This Row],[Tech Start Date]],28),IF(Main[[#This Row],[Class]]="B", WORKDAY(Main[[#This Row],[Tech Start Date]],19),IF(Main[[#This Row],[Class]]="A",WORKDAY(Main[[#This Row],[Tech Start Date]],9),""))))</f>
        <v>40256</v>
      </c>
      <c r="Q1325" s="74">
        <v>40269</v>
      </c>
      <c r="R1325" s="74">
        <v>40246</v>
      </c>
      <c r="S1325" s="72" t="s">
        <v>6</v>
      </c>
      <c r="T1325" s="80" t="s">
        <v>4</v>
      </c>
      <c r="U1325" s="72" t="s">
        <v>14</v>
      </c>
      <c r="V1325" s="72" t="s">
        <v>1935</v>
      </c>
      <c r="W1325" s="72" t="s">
        <v>1934</v>
      </c>
      <c r="X1325" s="72" t="s">
        <v>2971</v>
      </c>
      <c r="Y1325" s="72" t="s">
        <v>3130</v>
      </c>
      <c r="Z1325" s="72" t="s">
        <v>4</v>
      </c>
      <c r="AA1325" s="147" t="s">
        <v>2971</v>
      </c>
    </row>
    <row r="1326" spans="1:27" ht="18.600000000000001" customHeight="1">
      <c r="A1326" s="140" t="str">
        <f>IF(priority(Main[[#This Row],[Comments]])&lt;&gt;0, priority(Main[[#This Row],[Comments]]),"")</f>
        <v/>
      </c>
      <c r="B1326" s="90" t="s">
        <v>1965</v>
      </c>
      <c r="C1326" s="72" t="s">
        <v>873</v>
      </c>
      <c r="D1326" s="73" t="s">
        <v>874</v>
      </c>
      <c r="E1326" s="74"/>
      <c r="F1326" s="74"/>
      <c r="G1326" s="75" t="str">
        <f>IF(stdProdLT(Main[[#This Row],[Comments]])=0.1,"N/A",IF(stdProdLT(Main[[#This Row],[Comments]])=0,"",stdProdLT(Main[[#This Row],[Comments]])))</f>
        <v/>
      </c>
      <c r="H1326" s="76" t="str">
        <f>IF(AND(Main[[#This Row],[In Stock Date]]&lt;&gt;"",Main[[#This Row],[Revised Due Date]]&lt;&gt;""),Main[[#This Row],[In Stock Date]]-Main[[#This Row],[Revised Due Date]],"")</f>
        <v/>
      </c>
      <c r="I1326" s="72" t="s">
        <v>775</v>
      </c>
      <c r="J1326" s="72" t="s">
        <v>4</v>
      </c>
      <c r="K1326" s="72" t="s">
        <v>1944</v>
      </c>
      <c r="L1326" s="74">
        <v>40231</v>
      </c>
      <c r="M1326" s="77" t="str">
        <f>IF(Main[[#This Row],[Tech Start Date]]&lt;1/1/1990,"",IF(Main[[#This Row],[Class]]="C",WORKDAY(Main[[#This Row],[Tech Start Date]],9),IF(Main[[#This Row],[Class]]="B", WORKDAY(Main[[#This Row],[Tech Start Date]],6),IF(Main[[#This Row],[Class]]="A",WORKDAY(Main[[#This Row],[Tech Start Date]],2),""))))</f>
        <v/>
      </c>
      <c r="N1326" s="77" t="str">
        <f>IF(Main[[#This Row],[Tech Start Date]]&lt;1/1/1990,"",IF(Main[[#This Row],[Class]]="C",WORKDAY(Main[[#This Row],[Tech Start Date]],19),IF(Main[[#This Row],[Class]]="B", WORKDAY(Main[[#This Row],[Tech Start Date]],12),IF(Main[[#This Row],[Class]]="A",WORKDAY(Main[[#This Row],[Tech Start Date]],4),""))))</f>
        <v/>
      </c>
      <c r="O1326" s="77" t="str">
        <f>IF(Main[[#This Row],[Tech Start Date]]&lt;1/1/1990,"",IF(Main[[#This Row],[Class]]="C",WORKDAY(Main[[#This Row],[Tech Start Date]],23),IF(Main[[#This Row],[Class]]="B", WORKDAY(Main[[#This Row],[Tech Start Date]],15),IF(Main[[#This Row],[Class]]="A",WORKDAY(Main[[#This Row],[Tech Start Date]],5),""))))</f>
        <v/>
      </c>
      <c r="P1326" s="77" t="str">
        <f>IF(Main[[#This Row],[Tech Start Date]]&lt;1/1/1990,"",IF(Main[[#This Row],[Class]]="C",WORKDAY(Main[[#This Row],[Tech Start Date]],28),IF(Main[[#This Row],[Class]]="B", WORKDAY(Main[[#This Row],[Tech Start Date]],19),IF(Main[[#This Row],[Class]]="A",WORKDAY(Main[[#This Row],[Tech Start Date]],9),""))))</f>
        <v/>
      </c>
      <c r="Q1326" s="74">
        <v>40268</v>
      </c>
      <c r="R1326" s="74">
        <v>40268</v>
      </c>
      <c r="S1326" s="72" t="s">
        <v>17</v>
      </c>
      <c r="T1326" s="80" t="s">
        <v>4</v>
      </c>
      <c r="U1326" s="72" t="s">
        <v>14</v>
      </c>
      <c r="V1326" s="72" t="s">
        <v>1935</v>
      </c>
      <c r="W1326" s="72" t="s">
        <v>1937</v>
      </c>
      <c r="X1326" s="72" t="s">
        <v>3001</v>
      </c>
      <c r="Y1326" s="72" t="s">
        <v>3232</v>
      </c>
      <c r="Z1326" s="72" t="s">
        <v>4</v>
      </c>
      <c r="AA1326" s="147" t="s">
        <v>559</v>
      </c>
    </row>
    <row r="1327" spans="1:27" ht="18.600000000000001" customHeight="1">
      <c r="A1327" s="140" t="str">
        <f>IF(priority(Main[[#This Row],[Comments]])&lt;&gt;0, priority(Main[[#This Row],[Comments]]),"")</f>
        <v/>
      </c>
      <c r="B1327" s="90" t="s">
        <v>1837</v>
      </c>
      <c r="C1327" s="72" t="s">
        <v>47</v>
      </c>
      <c r="D1327" s="73" t="s">
        <v>882</v>
      </c>
      <c r="E1327" s="74">
        <v>40220.456550925926</v>
      </c>
      <c r="F1327" s="74"/>
      <c r="G1327" s="75" t="str">
        <f>IF(stdProdLT(Main[[#This Row],[Comments]])=0.1,"N/A",IF(stdProdLT(Main[[#This Row],[Comments]])=0,"",stdProdLT(Main[[#This Row],[Comments]])))</f>
        <v/>
      </c>
      <c r="H1327" s="76" t="str">
        <f>IF(AND(Main[[#This Row],[In Stock Date]]&lt;&gt;"",Main[[#This Row],[Revised Due Date]]&lt;&gt;""),Main[[#This Row],[In Stock Date]]-Main[[#This Row],[Revised Due Date]],"")</f>
        <v/>
      </c>
      <c r="I1327" s="72" t="s">
        <v>81</v>
      </c>
      <c r="J1327" s="72" t="s">
        <v>52</v>
      </c>
      <c r="K1327" s="72" t="s">
        <v>1944</v>
      </c>
      <c r="L1327" s="74">
        <v>40231</v>
      </c>
      <c r="M1327" s="77" t="str">
        <f>IF(Main[[#This Row],[Tech Start Date]]&lt;1/1/1990,"",IF(Main[[#This Row],[Class]]="C",WORKDAY(Main[[#This Row],[Tech Start Date]],9),IF(Main[[#This Row],[Class]]="B", WORKDAY(Main[[#This Row],[Tech Start Date]],6),IF(Main[[#This Row],[Class]]="A",WORKDAY(Main[[#This Row],[Tech Start Date]],2),""))))</f>
        <v/>
      </c>
      <c r="N1327" s="77" t="str">
        <f>IF(Main[[#This Row],[Tech Start Date]]&lt;1/1/1990,"",IF(Main[[#This Row],[Class]]="C",WORKDAY(Main[[#This Row],[Tech Start Date]],19),IF(Main[[#This Row],[Class]]="B", WORKDAY(Main[[#This Row],[Tech Start Date]],12),IF(Main[[#This Row],[Class]]="A",WORKDAY(Main[[#This Row],[Tech Start Date]],4),""))))</f>
        <v/>
      </c>
      <c r="O1327" s="77" t="str">
        <f>IF(Main[[#This Row],[Tech Start Date]]&lt;1/1/1990,"",IF(Main[[#This Row],[Class]]="C",WORKDAY(Main[[#This Row],[Tech Start Date]],23),IF(Main[[#This Row],[Class]]="B", WORKDAY(Main[[#This Row],[Tech Start Date]],15),IF(Main[[#This Row],[Class]]="A",WORKDAY(Main[[#This Row],[Tech Start Date]],5),""))))</f>
        <v/>
      </c>
      <c r="P1327" s="77" t="str">
        <f>IF(Main[[#This Row],[Tech Start Date]]&lt;1/1/1990,"",IF(Main[[#This Row],[Class]]="C",WORKDAY(Main[[#This Row],[Tech Start Date]],28),IF(Main[[#This Row],[Class]]="B", WORKDAY(Main[[#This Row],[Tech Start Date]],19),IF(Main[[#This Row],[Class]]="A",WORKDAY(Main[[#This Row],[Tech Start Date]],9),""))))</f>
        <v/>
      </c>
      <c r="Q1327" s="74">
        <v>40255</v>
      </c>
      <c r="R1327" s="74">
        <v>40310</v>
      </c>
      <c r="S1327" s="72" t="s">
        <v>17</v>
      </c>
      <c r="T1327" s="80" t="s">
        <v>4</v>
      </c>
      <c r="U1327" s="72" t="s">
        <v>29</v>
      </c>
      <c r="V1327" s="72" t="s">
        <v>1942</v>
      </c>
      <c r="W1327" s="72" t="s">
        <v>1934</v>
      </c>
      <c r="X1327" s="72" t="s">
        <v>2901</v>
      </c>
      <c r="Y1327" s="72" t="s">
        <v>4</v>
      </c>
      <c r="Z1327" s="72" t="s">
        <v>44</v>
      </c>
      <c r="AA1327" s="147" t="s">
        <v>2901</v>
      </c>
    </row>
    <row r="1328" spans="1:27" ht="18.600000000000001" customHeight="1">
      <c r="A1328" s="140" t="str">
        <f>IF(priority(Main[[#This Row],[Comments]])&lt;&gt;0, priority(Main[[#This Row],[Comments]]),"")</f>
        <v/>
      </c>
      <c r="B1328" s="90" t="s">
        <v>1832</v>
      </c>
      <c r="C1328" s="72" t="s">
        <v>47</v>
      </c>
      <c r="D1328" s="73" t="s">
        <v>876</v>
      </c>
      <c r="E1328" s="74"/>
      <c r="F1328" s="74"/>
      <c r="G1328" s="75" t="str">
        <f>IF(stdProdLT(Main[[#This Row],[Comments]])=0.1,"N/A",IF(stdProdLT(Main[[#This Row],[Comments]])=0,"",stdProdLT(Main[[#This Row],[Comments]])))</f>
        <v/>
      </c>
      <c r="H1328" s="76" t="str">
        <f>IF(AND(Main[[#This Row],[In Stock Date]]&lt;&gt;"",Main[[#This Row],[Revised Due Date]]&lt;&gt;""),Main[[#This Row],[In Stock Date]]-Main[[#This Row],[Revised Due Date]],"")</f>
        <v/>
      </c>
      <c r="I1328" s="72" t="s">
        <v>436</v>
      </c>
      <c r="J1328" s="72" t="s">
        <v>4</v>
      </c>
      <c r="K1328" s="72" t="s">
        <v>1944</v>
      </c>
      <c r="L1328" s="74">
        <v>40248</v>
      </c>
      <c r="M1328" s="77" t="str">
        <f>IF(Main[[#This Row],[Tech Start Date]]&lt;1/1/1990,"",IF(Main[[#This Row],[Class]]="C",WORKDAY(Main[[#This Row],[Tech Start Date]],9),IF(Main[[#This Row],[Class]]="B", WORKDAY(Main[[#This Row],[Tech Start Date]],6),IF(Main[[#This Row],[Class]]="A",WORKDAY(Main[[#This Row],[Tech Start Date]],2),""))))</f>
        <v/>
      </c>
      <c r="N1328" s="77" t="str">
        <f>IF(Main[[#This Row],[Tech Start Date]]&lt;1/1/1990,"",IF(Main[[#This Row],[Class]]="C",WORKDAY(Main[[#This Row],[Tech Start Date]],19),IF(Main[[#This Row],[Class]]="B", WORKDAY(Main[[#This Row],[Tech Start Date]],12),IF(Main[[#This Row],[Class]]="A",WORKDAY(Main[[#This Row],[Tech Start Date]],4),""))))</f>
        <v/>
      </c>
      <c r="O1328" s="77" t="str">
        <f>IF(Main[[#This Row],[Tech Start Date]]&lt;1/1/1990,"",IF(Main[[#This Row],[Class]]="C",WORKDAY(Main[[#This Row],[Tech Start Date]],23),IF(Main[[#This Row],[Class]]="B", WORKDAY(Main[[#This Row],[Tech Start Date]],15),IF(Main[[#This Row],[Class]]="A",WORKDAY(Main[[#This Row],[Tech Start Date]],5),""))))</f>
        <v/>
      </c>
      <c r="P1328" s="77" t="str">
        <f>IF(Main[[#This Row],[Tech Start Date]]&lt;1/1/1990,"",IF(Main[[#This Row],[Class]]="C",WORKDAY(Main[[#This Row],[Tech Start Date]],28),IF(Main[[#This Row],[Class]]="B", WORKDAY(Main[[#This Row],[Tech Start Date]],19),IF(Main[[#This Row],[Class]]="A",WORKDAY(Main[[#This Row],[Tech Start Date]],9),""))))</f>
        <v/>
      </c>
      <c r="Q1328" s="74">
        <v>40289</v>
      </c>
      <c r="R1328" s="74">
        <v>40289</v>
      </c>
      <c r="S1328" s="72" t="s">
        <v>17</v>
      </c>
      <c r="T1328" s="80" t="s">
        <v>4</v>
      </c>
      <c r="U1328" s="72" t="s">
        <v>14</v>
      </c>
      <c r="V1328" s="72" t="s">
        <v>1935</v>
      </c>
      <c r="W1328" s="72" t="s">
        <v>1938</v>
      </c>
      <c r="X1328" s="72" t="s">
        <v>535</v>
      </c>
      <c r="Y1328" s="72" t="s">
        <v>3233</v>
      </c>
      <c r="Z1328" s="72" t="s">
        <v>4</v>
      </c>
      <c r="AA1328" s="147" t="s">
        <v>535</v>
      </c>
    </row>
    <row r="1329" spans="1:27" ht="18.600000000000001" customHeight="1">
      <c r="A1329" s="140" t="str">
        <f>IF(priority(Main[[#This Row],[Comments]])&lt;&gt;0, priority(Main[[#This Row],[Comments]]),"")</f>
        <v/>
      </c>
      <c r="B1329" s="90" t="s">
        <v>1833</v>
      </c>
      <c r="C1329" s="72" t="s">
        <v>878</v>
      </c>
      <c r="D1329" s="73" t="s">
        <v>879</v>
      </c>
      <c r="E1329" s="74"/>
      <c r="F1329" s="74">
        <v>40299</v>
      </c>
      <c r="G1329" s="75" t="str">
        <f>IF(stdProdLT(Main[[#This Row],[Comments]])=0.1,"N/A",IF(stdProdLT(Main[[#This Row],[Comments]])=0,"",stdProdLT(Main[[#This Row],[Comments]])))</f>
        <v/>
      </c>
      <c r="H1329" s="76">
        <f>IF(AND(Main[[#This Row],[In Stock Date]]&lt;&gt;"",Main[[#This Row],[Revised Due Date]]&lt;&gt;""),Main[[#This Row],[In Stock Date]]-Main[[#This Row],[Revised Due Date]],"")</f>
        <v>8</v>
      </c>
      <c r="I1329" s="72" t="s">
        <v>659</v>
      </c>
      <c r="J1329" s="72" t="s">
        <v>28</v>
      </c>
      <c r="K1329" s="81" t="s">
        <v>1944</v>
      </c>
      <c r="L1329" s="74">
        <v>40266</v>
      </c>
      <c r="M1329" s="77" t="str">
        <f>IF(Main[[#This Row],[Tech Start Date]]&lt;1/1/1990,"",IF(Main[[#This Row],[Class]]="C",WORKDAY(Main[[#This Row],[Tech Start Date]],9),IF(Main[[#This Row],[Class]]="B", WORKDAY(Main[[#This Row],[Tech Start Date]],6),IF(Main[[#This Row],[Class]]="A",WORKDAY(Main[[#This Row],[Tech Start Date]],2),""))))</f>
        <v/>
      </c>
      <c r="N1329" s="77" t="str">
        <f>IF(Main[[#This Row],[Tech Start Date]]&lt;1/1/1990,"",IF(Main[[#This Row],[Class]]="C",WORKDAY(Main[[#This Row],[Tech Start Date]],19),IF(Main[[#This Row],[Class]]="B", WORKDAY(Main[[#This Row],[Tech Start Date]],12),IF(Main[[#This Row],[Class]]="A",WORKDAY(Main[[#This Row],[Tech Start Date]],4),""))))</f>
        <v/>
      </c>
      <c r="O1329" s="77" t="str">
        <f>IF(Main[[#This Row],[Tech Start Date]]&lt;1/1/1990,"",IF(Main[[#This Row],[Class]]="C",WORKDAY(Main[[#This Row],[Tech Start Date]],23),IF(Main[[#This Row],[Class]]="B", WORKDAY(Main[[#This Row],[Tech Start Date]],15),IF(Main[[#This Row],[Class]]="A",WORKDAY(Main[[#This Row],[Tech Start Date]],5),""))))</f>
        <v/>
      </c>
      <c r="P1329" s="77" t="str">
        <f>IF(Main[[#This Row],[Tech Start Date]]&lt;1/1/1990,"",IF(Main[[#This Row],[Class]]="C",WORKDAY(Main[[#This Row],[Tech Start Date]],28),IF(Main[[#This Row],[Class]]="B", WORKDAY(Main[[#This Row],[Tech Start Date]],19),IF(Main[[#This Row],[Class]]="A",WORKDAY(Main[[#This Row],[Tech Start Date]],9),""))))</f>
        <v/>
      </c>
      <c r="Q1329" s="74">
        <v>40299</v>
      </c>
      <c r="R1329" s="74">
        <v>40291</v>
      </c>
      <c r="S1329" s="72" t="s">
        <v>17</v>
      </c>
      <c r="T1329" s="80" t="s">
        <v>4</v>
      </c>
      <c r="U1329" s="72" t="s">
        <v>14</v>
      </c>
      <c r="V1329" s="72" t="s">
        <v>1942</v>
      </c>
      <c r="W1329" s="72" t="s">
        <v>1937</v>
      </c>
      <c r="X1329" s="72" t="s">
        <v>535</v>
      </c>
      <c r="Y1329" s="72" t="s">
        <v>3233</v>
      </c>
      <c r="Z1329" s="72" t="s">
        <v>659</v>
      </c>
      <c r="AA1329" s="147" t="s">
        <v>535</v>
      </c>
    </row>
    <row r="1330" spans="1:27" ht="18.600000000000001" customHeight="1">
      <c r="A1330" s="140" t="str">
        <f>IF(priority(Main[[#This Row],[Comments]])&lt;&gt;0, priority(Main[[#This Row],[Comments]]),"")</f>
        <v/>
      </c>
      <c r="B1330" s="90" t="s">
        <v>1836</v>
      </c>
      <c r="C1330" s="72" t="s">
        <v>4</v>
      </c>
      <c r="D1330" s="73" t="s">
        <v>881</v>
      </c>
      <c r="E1330" s="74"/>
      <c r="F1330" s="74"/>
      <c r="G1330" s="75" t="str">
        <f>IF(stdProdLT(Main[[#This Row],[Comments]])=0.1,"N/A",IF(stdProdLT(Main[[#This Row],[Comments]])=0,"",stdProdLT(Main[[#This Row],[Comments]])))</f>
        <v/>
      </c>
      <c r="H1330" s="76" t="str">
        <f>IF(AND(Main[[#This Row],[In Stock Date]]&lt;&gt;"",Main[[#This Row],[Revised Due Date]]&lt;&gt;""),Main[[#This Row],[In Stock Date]]-Main[[#This Row],[Revised Due Date]],"")</f>
        <v/>
      </c>
      <c r="I1330" s="72" t="s">
        <v>403</v>
      </c>
      <c r="J1330" s="72" t="s">
        <v>75</v>
      </c>
      <c r="K1330" s="81" t="s">
        <v>1941</v>
      </c>
      <c r="L1330" s="74">
        <v>40288</v>
      </c>
      <c r="M1330" s="77">
        <f>IF(Main[[#This Row],[Tech Start Date]]&lt;1/1/1990,"",IF(Main[[#This Row],[Class]]="C",WORKDAY(Main[[#This Row],[Tech Start Date]],9),IF(Main[[#This Row],[Class]]="B", WORKDAY(Main[[#This Row],[Tech Start Date]],6),IF(Main[[#This Row],[Class]]="A",WORKDAY(Main[[#This Row],[Tech Start Date]],2),""))))</f>
        <v>40290</v>
      </c>
      <c r="N1330" s="77">
        <f>IF(Main[[#This Row],[Tech Start Date]]&lt;1/1/1990,"",IF(Main[[#This Row],[Class]]="C",WORKDAY(Main[[#This Row],[Tech Start Date]],19),IF(Main[[#This Row],[Class]]="B", WORKDAY(Main[[#This Row],[Tech Start Date]],12),IF(Main[[#This Row],[Class]]="A",WORKDAY(Main[[#This Row],[Tech Start Date]],4),""))))</f>
        <v>40294</v>
      </c>
      <c r="O1330" s="77">
        <f>IF(Main[[#This Row],[Tech Start Date]]&lt;1/1/1990,"",IF(Main[[#This Row],[Class]]="C",WORKDAY(Main[[#This Row],[Tech Start Date]],23),IF(Main[[#This Row],[Class]]="B", WORKDAY(Main[[#This Row],[Tech Start Date]],15),IF(Main[[#This Row],[Class]]="A",WORKDAY(Main[[#This Row],[Tech Start Date]],5),""))))</f>
        <v>40295</v>
      </c>
      <c r="P1330" s="77">
        <f>IF(Main[[#This Row],[Tech Start Date]]&lt;1/1/1990,"",IF(Main[[#This Row],[Class]]="C",WORKDAY(Main[[#This Row],[Tech Start Date]],28),IF(Main[[#This Row],[Class]]="B", WORKDAY(Main[[#This Row],[Tech Start Date]],19),IF(Main[[#This Row],[Class]]="A",WORKDAY(Main[[#This Row],[Tech Start Date]],9),""))))</f>
        <v>40301</v>
      </c>
      <c r="Q1330" s="74"/>
      <c r="R1330" s="74">
        <v>40309</v>
      </c>
      <c r="S1330" s="72" t="s">
        <v>6</v>
      </c>
      <c r="T1330" s="80" t="s">
        <v>4</v>
      </c>
      <c r="U1330" s="72" t="s">
        <v>14</v>
      </c>
      <c r="V1330" s="72" t="s">
        <v>1935</v>
      </c>
      <c r="W1330" s="72" t="s">
        <v>4</v>
      </c>
      <c r="X1330" s="72" t="s">
        <v>2920</v>
      </c>
      <c r="Y1330" s="72" t="s">
        <v>3052</v>
      </c>
      <c r="Z1330" s="72" t="s">
        <v>310</v>
      </c>
      <c r="AA1330" s="147" t="s">
        <v>2920</v>
      </c>
    </row>
    <row r="1331" spans="1:27" ht="18.600000000000001" customHeight="1">
      <c r="A1331" s="140" t="str">
        <f>IF(priority(Main[[#This Row],[Comments]])&lt;&gt;0, priority(Main[[#This Row],[Comments]]),"")</f>
        <v/>
      </c>
      <c r="B1331" s="90" t="s">
        <v>1838</v>
      </c>
      <c r="C1331" s="72" t="s">
        <v>4</v>
      </c>
      <c r="D1331" s="73" t="s">
        <v>883</v>
      </c>
      <c r="E1331" s="74"/>
      <c r="F1331" s="74"/>
      <c r="G1331" s="75" t="str">
        <f>IF(stdProdLT(Main[[#This Row],[Comments]])=0.1,"N/A",IF(stdProdLT(Main[[#This Row],[Comments]])=0,"",stdProdLT(Main[[#This Row],[Comments]])))</f>
        <v/>
      </c>
      <c r="H1331" s="76" t="str">
        <f>IF(AND(Main[[#This Row],[In Stock Date]]&lt;&gt;"",Main[[#This Row],[Revised Due Date]]&lt;&gt;""),Main[[#This Row],[In Stock Date]]-Main[[#This Row],[Revised Due Date]],"")</f>
        <v/>
      </c>
      <c r="I1331" s="72" t="s">
        <v>775</v>
      </c>
      <c r="J1331" s="72" t="s">
        <v>4</v>
      </c>
      <c r="K1331" s="72" t="s">
        <v>1939</v>
      </c>
      <c r="L1331" s="74">
        <v>40291</v>
      </c>
      <c r="M1331" s="77">
        <f>IF(Main[[#This Row],[Tech Start Date]]&lt;1/1/1990,"",IF(Main[[#This Row],[Class]]="C",WORKDAY(Main[[#This Row],[Tech Start Date]],9),IF(Main[[#This Row],[Class]]="B", WORKDAY(Main[[#This Row],[Tech Start Date]],6),IF(Main[[#This Row],[Class]]="A",WORKDAY(Main[[#This Row],[Tech Start Date]],2),""))))</f>
        <v>40301</v>
      </c>
      <c r="N1331" s="77">
        <f>IF(Main[[#This Row],[Tech Start Date]]&lt;1/1/1990,"",IF(Main[[#This Row],[Class]]="C",WORKDAY(Main[[#This Row],[Tech Start Date]],19),IF(Main[[#This Row],[Class]]="B", WORKDAY(Main[[#This Row],[Tech Start Date]],12),IF(Main[[#This Row],[Class]]="A",WORKDAY(Main[[#This Row],[Tech Start Date]],4),""))))</f>
        <v>40309</v>
      </c>
      <c r="O1331" s="77">
        <f>IF(Main[[#This Row],[Tech Start Date]]&lt;1/1/1990,"",IF(Main[[#This Row],[Class]]="C",WORKDAY(Main[[#This Row],[Tech Start Date]],23),IF(Main[[#This Row],[Class]]="B", WORKDAY(Main[[#This Row],[Tech Start Date]],15),IF(Main[[#This Row],[Class]]="A",WORKDAY(Main[[#This Row],[Tech Start Date]],5),""))))</f>
        <v>40312</v>
      </c>
      <c r="P1331" s="77">
        <f>IF(Main[[#This Row],[Tech Start Date]]&lt;1/1/1990,"",IF(Main[[#This Row],[Class]]="C",WORKDAY(Main[[#This Row],[Tech Start Date]],28),IF(Main[[#This Row],[Class]]="B", WORKDAY(Main[[#This Row],[Tech Start Date]],19),IF(Main[[#This Row],[Class]]="A",WORKDAY(Main[[#This Row],[Tech Start Date]],9),""))))</f>
        <v>40318</v>
      </c>
      <c r="Q1331" s="74">
        <v>40312</v>
      </c>
      <c r="R1331" s="74">
        <v>40312</v>
      </c>
      <c r="S1331" s="72" t="s">
        <v>6</v>
      </c>
      <c r="T1331" s="80" t="s">
        <v>4</v>
      </c>
      <c r="U1331" s="72" t="s">
        <v>14</v>
      </c>
      <c r="V1331" s="72" t="s">
        <v>1935</v>
      </c>
      <c r="W1331" s="72" t="s">
        <v>4</v>
      </c>
      <c r="X1331" s="72" t="s">
        <v>3002</v>
      </c>
      <c r="Y1331" s="72" t="s">
        <v>3234</v>
      </c>
      <c r="Z1331" s="72" t="s">
        <v>4</v>
      </c>
      <c r="AA1331" s="147" t="s">
        <v>3002</v>
      </c>
    </row>
    <row r="1332" spans="1:27" ht="18.600000000000001" customHeight="1">
      <c r="A1332" s="140" t="str">
        <f>IF(priority(Main[[#This Row],[Comments]])&lt;&gt;0, priority(Main[[#This Row],[Comments]]),"")</f>
        <v/>
      </c>
      <c r="B1332" s="90" t="s">
        <v>1840</v>
      </c>
      <c r="C1332" s="72" t="s">
        <v>4</v>
      </c>
      <c r="D1332" s="73" t="s">
        <v>2158</v>
      </c>
      <c r="E1332" s="74"/>
      <c r="F1332" s="74"/>
      <c r="G1332" s="75" t="str">
        <f>IF(stdProdLT(Main[[#This Row],[Comments]])=0.1,"N/A",IF(stdProdLT(Main[[#This Row],[Comments]])=0,"",stdProdLT(Main[[#This Row],[Comments]])))</f>
        <v/>
      </c>
      <c r="H1332" s="76" t="str">
        <f>IF(AND(Main[[#This Row],[In Stock Date]]&lt;&gt;"",Main[[#This Row],[Revised Due Date]]&lt;&gt;""),Main[[#This Row],[In Stock Date]]-Main[[#This Row],[Revised Due Date]],"")</f>
        <v/>
      </c>
      <c r="I1332" s="72" t="s">
        <v>535</v>
      </c>
      <c r="J1332" s="72" t="s">
        <v>28</v>
      </c>
      <c r="K1332" s="81" t="s">
        <v>1939</v>
      </c>
      <c r="L1332" s="74">
        <v>40294</v>
      </c>
      <c r="M1332" s="77">
        <f>IF(Main[[#This Row],[Tech Start Date]]&lt;1/1/1990,"",IF(Main[[#This Row],[Class]]="C",WORKDAY(Main[[#This Row],[Tech Start Date]],9),IF(Main[[#This Row],[Class]]="B", WORKDAY(Main[[#This Row],[Tech Start Date]],6),IF(Main[[#This Row],[Class]]="A",WORKDAY(Main[[#This Row],[Tech Start Date]],2),""))))</f>
        <v>40302</v>
      </c>
      <c r="N1332" s="77">
        <f>IF(Main[[#This Row],[Tech Start Date]]&lt;1/1/1990,"",IF(Main[[#This Row],[Class]]="C",WORKDAY(Main[[#This Row],[Tech Start Date]],19),IF(Main[[#This Row],[Class]]="B", WORKDAY(Main[[#This Row],[Tech Start Date]],12),IF(Main[[#This Row],[Class]]="A",WORKDAY(Main[[#This Row],[Tech Start Date]],4),""))))</f>
        <v>40310</v>
      </c>
      <c r="O1332" s="77">
        <f>IF(Main[[#This Row],[Tech Start Date]]&lt;1/1/1990,"",IF(Main[[#This Row],[Class]]="C",WORKDAY(Main[[#This Row],[Tech Start Date]],23),IF(Main[[#This Row],[Class]]="B", WORKDAY(Main[[#This Row],[Tech Start Date]],15),IF(Main[[#This Row],[Class]]="A",WORKDAY(Main[[#This Row],[Tech Start Date]],5),""))))</f>
        <v>40315</v>
      </c>
      <c r="P1332" s="77">
        <f>IF(Main[[#This Row],[Tech Start Date]]&lt;1/1/1990,"",IF(Main[[#This Row],[Class]]="C",WORKDAY(Main[[#This Row],[Tech Start Date]],28),IF(Main[[#This Row],[Class]]="B", WORKDAY(Main[[#This Row],[Tech Start Date]],19),IF(Main[[#This Row],[Class]]="A",WORKDAY(Main[[#This Row],[Tech Start Date]],9),""))))</f>
        <v>40319</v>
      </c>
      <c r="Q1332" s="74">
        <v>40329</v>
      </c>
      <c r="R1332" s="74">
        <v>40326</v>
      </c>
      <c r="S1332" s="72" t="s">
        <v>6</v>
      </c>
      <c r="T1332" s="80" t="s">
        <v>4</v>
      </c>
      <c r="U1332" s="72" t="s">
        <v>14</v>
      </c>
      <c r="V1332" s="72" t="s">
        <v>1935</v>
      </c>
      <c r="W1332" s="72" t="s">
        <v>1936</v>
      </c>
      <c r="X1332" s="72" t="s">
        <v>3002</v>
      </c>
      <c r="Y1332" s="72" t="s">
        <v>3234</v>
      </c>
      <c r="Z1332" s="72" t="s">
        <v>30</v>
      </c>
      <c r="AA1332" s="147" t="s">
        <v>3002</v>
      </c>
    </row>
    <row r="1333" spans="1:27" ht="18.600000000000001" customHeight="1">
      <c r="A1333" s="140" t="str">
        <f>IF(priority(Main[[#This Row],[Comments]])&lt;&gt;0, priority(Main[[#This Row],[Comments]]),"")</f>
        <v/>
      </c>
      <c r="B1333" s="90" t="s">
        <v>1839</v>
      </c>
      <c r="C1333" s="72" t="s">
        <v>4</v>
      </c>
      <c r="D1333" s="73" t="s">
        <v>884</v>
      </c>
      <c r="E1333" s="74"/>
      <c r="F1333" s="74"/>
      <c r="G1333" s="75" t="str">
        <f>IF(stdProdLT(Main[[#This Row],[Comments]])=0.1,"N/A",IF(stdProdLT(Main[[#This Row],[Comments]])=0,"",stdProdLT(Main[[#This Row],[Comments]])))</f>
        <v/>
      </c>
      <c r="H1333" s="76" t="str">
        <f>IF(AND(Main[[#This Row],[In Stock Date]]&lt;&gt;"",Main[[#This Row],[Revised Due Date]]&lt;&gt;""),Main[[#This Row],[In Stock Date]]-Main[[#This Row],[Revised Due Date]],"")</f>
        <v/>
      </c>
      <c r="I1333" s="72" t="s">
        <v>494</v>
      </c>
      <c r="J1333" s="72" t="s">
        <v>4</v>
      </c>
      <c r="K1333" s="72" t="s">
        <v>1939</v>
      </c>
      <c r="L1333" s="74">
        <v>40295</v>
      </c>
      <c r="M1333" s="77">
        <f>IF(Main[[#This Row],[Tech Start Date]]&lt;1/1/1990,"",IF(Main[[#This Row],[Class]]="C",WORKDAY(Main[[#This Row],[Tech Start Date]],9),IF(Main[[#This Row],[Class]]="B", WORKDAY(Main[[#This Row],[Tech Start Date]],6),IF(Main[[#This Row],[Class]]="A",WORKDAY(Main[[#This Row],[Tech Start Date]],2),""))))</f>
        <v>40303</v>
      </c>
      <c r="N1333" s="77">
        <f>IF(Main[[#This Row],[Tech Start Date]]&lt;1/1/1990,"",IF(Main[[#This Row],[Class]]="C",WORKDAY(Main[[#This Row],[Tech Start Date]],19),IF(Main[[#This Row],[Class]]="B", WORKDAY(Main[[#This Row],[Tech Start Date]],12),IF(Main[[#This Row],[Class]]="A",WORKDAY(Main[[#This Row],[Tech Start Date]],4),""))))</f>
        <v>40311</v>
      </c>
      <c r="O1333" s="77">
        <f>IF(Main[[#This Row],[Tech Start Date]]&lt;1/1/1990,"",IF(Main[[#This Row],[Class]]="C",WORKDAY(Main[[#This Row],[Tech Start Date]],23),IF(Main[[#This Row],[Class]]="B", WORKDAY(Main[[#This Row],[Tech Start Date]],15),IF(Main[[#This Row],[Class]]="A",WORKDAY(Main[[#This Row],[Tech Start Date]],5),""))))</f>
        <v>40316</v>
      </c>
      <c r="P1333" s="77">
        <f>IF(Main[[#This Row],[Tech Start Date]]&lt;1/1/1990,"",IF(Main[[#This Row],[Class]]="C",WORKDAY(Main[[#This Row],[Tech Start Date]],28),IF(Main[[#This Row],[Class]]="B", WORKDAY(Main[[#This Row],[Tech Start Date]],19),IF(Main[[#This Row],[Class]]="A",WORKDAY(Main[[#This Row],[Tech Start Date]],9),""))))</f>
        <v>40322</v>
      </c>
      <c r="Q1333" s="74">
        <v>40329</v>
      </c>
      <c r="R1333" s="74">
        <v>40325</v>
      </c>
      <c r="S1333" s="72" t="s">
        <v>6</v>
      </c>
      <c r="T1333" s="80" t="s">
        <v>4</v>
      </c>
      <c r="U1333" s="72" t="s">
        <v>14</v>
      </c>
      <c r="V1333" s="72" t="s">
        <v>1935</v>
      </c>
      <c r="W1333" s="72" t="s">
        <v>4</v>
      </c>
      <c r="X1333" s="72" t="s">
        <v>3002</v>
      </c>
      <c r="Y1333" s="72" t="s">
        <v>3234</v>
      </c>
      <c r="Z1333" s="72" t="s">
        <v>985</v>
      </c>
      <c r="AA1333" s="147" t="s">
        <v>3002</v>
      </c>
    </row>
    <row r="1334" spans="1:27" ht="18.600000000000001" customHeight="1">
      <c r="A1334" s="140" t="str">
        <f>IF(priority(Main[[#This Row],[Comments]])&lt;&gt;0, priority(Main[[#This Row],[Comments]]),"")</f>
        <v/>
      </c>
      <c r="B1334" s="90" t="s">
        <v>1889</v>
      </c>
      <c r="C1334" s="72" t="s">
        <v>33</v>
      </c>
      <c r="D1334" s="73" t="s">
        <v>937</v>
      </c>
      <c r="E1334" s="74">
        <v>40314.31863425926</v>
      </c>
      <c r="F1334" s="74">
        <v>40489</v>
      </c>
      <c r="G1334" s="75" t="str">
        <f>IF(stdProdLT(Main[[#This Row],[Comments]])=0.1,"N/A",IF(stdProdLT(Main[[#This Row],[Comments]])=0,"",stdProdLT(Main[[#This Row],[Comments]])))</f>
        <v/>
      </c>
      <c r="H1334" s="76">
        <f>IF(AND(Main[[#This Row],[In Stock Date]]&lt;&gt;"",Main[[#This Row],[Revised Due Date]]&lt;&gt;""),Main[[#This Row],[In Stock Date]]-Main[[#This Row],[Revised Due Date]],"")</f>
        <v>-373</v>
      </c>
      <c r="I1334" s="72" t="s">
        <v>165</v>
      </c>
      <c r="J1334" s="72" t="s">
        <v>4</v>
      </c>
      <c r="K1334" s="72" t="s">
        <v>1944</v>
      </c>
      <c r="L1334" s="74">
        <v>40331</v>
      </c>
      <c r="M1334" s="77" t="str">
        <f>IF(Main[[#This Row],[Tech Start Date]]&lt;1/1/1990,"",IF(Main[[#This Row],[Class]]="C",WORKDAY(Main[[#This Row],[Tech Start Date]],9),IF(Main[[#This Row],[Class]]="B", WORKDAY(Main[[#This Row],[Tech Start Date]],6),IF(Main[[#This Row],[Class]]="A",WORKDAY(Main[[#This Row],[Tech Start Date]],2),""))))</f>
        <v/>
      </c>
      <c r="N1334" s="77" t="str">
        <f>IF(Main[[#This Row],[Tech Start Date]]&lt;1/1/1990,"",IF(Main[[#This Row],[Class]]="C",WORKDAY(Main[[#This Row],[Tech Start Date]],19),IF(Main[[#This Row],[Class]]="B", WORKDAY(Main[[#This Row],[Tech Start Date]],12),IF(Main[[#This Row],[Class]]="A",WORKDAY(Main[[#This Row],[Tech Start Date]],4),""))))</f>
        <v/>
      </c>
      <c r="O1334" s="77" t="str">
        <f>IF(Main[[#This Row],[Tech Start Date]]&lt;1/1/1990,"",IF(Main[[#This Row],[Class]]="C",WORKDAY(Main[[#This Row],[Tech Start Date]],23),IF(Main[[#This Row],[Class]]="B", WORKDAY(Main[[#This Row],[Tech Start Date]],15),IF(Main[[#This Row],[Class]]="A",WORKDAY(Main[[#This Row],[Tech Start Date]],5),""))))</f>
        <v/>
      </c>
      <c r="P1334" s="77" t="str">
        <f>IF(Main[[#This Row],[Tech Start Date]]&lt;1/1/1990,"",IF(Main[[#This Row],[Class]]="C",WORKDAY(Main[[#This Row],[Tech Start Date]],28),IF(Main[[#This Row],[Class]]="B", WORKDAY(Main[[#This Row],[Tech Start Date]],19),IF(Main[[#This Row],[Class]]="A",WORKDAY(Main[[#This Row],[Tech Start Date]],9),""))))</f>
        <v/>
      </c>
      <c r="Q1334" s="74">
        <v>40349</v>
      </c>
      <c r="R1334" s="74">
        <v>40862</v>
      </c>
      <c r="S1334" s="72" t="s">
        <v>17</v>
      </c>
      <c r="T1334" s="80" t="s">
        <v>4</v>
      </c>
      <c r="U1334" s="72" t="s">
        <v>29</v>
      </c>
      <c r="V1334" s="72" t="s">
        <v>1935</v>
      </c>
      <c r="W1334" s="72" t="s">
        <v>1937</v>
      </c>
      <c r="X1334" s="72" t="s">
        <v>3003</v>
      </c>
      <c r="Y1334" s="72" t="s">
        <v>4</v>
      </c>
      <c r="Z1334" s="72" t="s">
        <v>420</v>
      </c>
      <c r="AA1334" s="147" t="s">
        <v>3003</v>
      </c>
    </row>
    <row r="1335" spans="1:27" ht="18.600000000000001" customHeight="1">
      <c r="A1335" s="140" t="str">
        <f>IF(priority(Main[[#This Row],[Comments]])&lt;&gt;0, priority(Main[[#This Row],[Comments]]),"")</f>
        <v/>
      </c>
      <c r="B1335" s="90" t="s">
        <v>1849</v>
      </c>
      <c r="C1335" s="72" t="s">
        <v>183</v>
      </c>
      <c r="D1335" s="73" t="s">
        <v>893</v>
      </c>
      <c r="E1335" s="74"/>
      <c r="F1335" s="74">
        <v>40421</v>
      </c>
      <c r="G1335" s="75" t="str">
        <f>IF(stdProdLT(Main[[#This Row],[Comments]])=0.1,"N/A",IF(stdProdLT(Main[[#This Row],[Comments]])=0,"",stdProdLT(Main[[#This Row],[Comments]])))</f>
        <v/>
      </c>
      <c r="H1335" s="76">
        <f>IF(AND(Main[[#This Row],[In Stock Date]]&lt;&gt;"",Main[[#This Row],[Revised Due Date]]&lt;&gt;""),Main[[#This Row],[In Stock Date]]-Main[[#This Row],[Revised Due Date]],"")</f>
        <v>4</v>
      </c>
      <c r="I1335" s="72" t="s">
        <v>894</v>
      </c>
      <c r="J1335" s="72" t="s">
        <v>51</v>
      </c>
      <c r="K1335" s="72" t="s">
        <v>1941</v>
      </c>
      <c r="L1335" s="74">
        <v>40354</v>
      </c>
      <c r="M1335" s="77">
        <f>IF(Main[[#This Row],[Tech Start Date]]&lt;1/1/1990,"",IF(Main[[#This Row],[Class]]="C",WORKDAY(Main[[#This Row],[Tech Start Date]],9),IF(Main[[#This Row],[Class]]="B", WORKDAY(Main[[#This Row],[Tech Start Date]],6),IF(Main[[#This Row],[Class]]="A",WORKDAY(Main[[#This Row],[Tech Start Date]],2),""))))</f>
        <v>40358</v>
      </c>
      <c r="N1335" s="77">
        <f>IF(Main[[#This Row],[Tech Start Date]]&lt;1/1/1990,"",IF(Main[[#This Row],[Class]]="C",WORKDAY(Main[[#This Row],[Tech Start Date]],19),IF(Main[[#This Row],[Class]]="B", WORKDAY(Main[[#This Row],[Tech Start Date]],12),IF(Main[[#This Row],[Class]]="A",WORKDAY(Main[[#This Row],[Tech Start Date]],4),""))))</f>
        <v>40360</v>
      </c>
      <c r="O1335" s="77">
        <f>IF(Main[[#This Row],[Tech Start Date]]&lt;1/1/1990,"",IF(Main[[#This Row],[Class]]="C",WORKDAY(Main[[#This Row],[Tech Start Date]],23),IF(Main[[#This Row],[Class]]="B", WORKDAY(Main[[#This Row],[Tech Start Date]],15),IF(Main[[#This Row],[Class]]="A",WORKDAY(Main[[#This Row],[Tech Start Date]],5),""))))</f>
        <v>40361</v>
      </c>
      <c r="P1335" s="77">
        <f>IF(Main[[#This Row],[Tech Start Date]]&lt;1/1/1990,"",IF(Main[[#This Row],[Class]]="C",WORKDAY(Main[[#This Row],[Tech Start Date]],28),IF(Main[[#This Row],[Class]]="B", WORKDAY(Main[[#This Row],[Tech Start Date]],19),IF(Main[[#This Row],[Class]]="A",WORKDAY(Main[[#This Row],[Tech Start Date]],9),""))))</f>
        <v>40367</v>
      </c>
      <c r="Q1335" s="74">
        <v>40417</v>
      </c>
      <c r="R1335" s="74">
        <v>40417</v>
      </c>
      <c r="S1335" s="72" t="s">
        <v>11</v>
      </c>
      <c r="T1335" s="80" t="s">
        <v>4</v>
      </c>
      <c r="U1335" s="72" t="s">
        <v>14</v>
      </c>
      <c r="V1335" s="72" t="s">
        <v>1942</v>
      </c>
      <c r="W1335" s="72" t="s">
        <v>1938</v>
      </c>
      <c r="X1335" s="72" t="s">
        <v>2956</v>
      </c>
      <c r="Y1335" s="72" t="s">
        <v>3083</v>
      </c>
      <c r="Z1335" s="72" t="s">
        <v>894</v>
      </c>
      <c r="AA1335" s="147" t="s">
        <v>2956</v>
      </c>
    </row>
    <row r="1336" spans="1:27" ht="18.600000000000001" customHeight="1">
      <c r="A1336" s="140" t="str">
        <f>IF(priority(Main[[#This Row],[Comments]])&lt;&gt;0, priority(Main[[#This Row],[Comments]]),"")</f>
        <v/>
      </c>
      <c r="B1336" s="90" t="s">
        <v>1848</v>
      </c>
      <c r="C1336" s="72" t="s">
        <v>183</v>
      </c>
      <c r="D1336" s="73" t="s">
        <v>895</v>
      </c>
      <c r="E1336" s="74"/>
      <c r="F1336" s="74">
        <v>40421</v>
      </c>
      <c r="G1336" s="75" t="str">
        <f>IF(stdProdLT(Main[[#This Row],[Comments]])=0.1,"N/A",IF(stdProdLT(Main[[#This Row],[Comments]])=0,"",stdProdLT(Main[[#This Row],[Comments]])))</f>
        <v/>
      </c>
      <c r="H1336" s="76">
        <f>IF(AND(Main[[#This Row],[In Stock Date]]&lt;&gt;"",Main[[#This Row],[Revised Due Date]]&lt;&gt;""),Main[[#This Row],[In Stock Date]]-Main[[#This Row],[Revised Due Date]],"")</f>
        <v>4</v>
      </c>
      <c r="I1336" s="72" t="s">
        <v>894</v>
      </c>
      <c r="J1336" s="72" t="s">
        <v>51</v>
      </c>
      <c r="K1336" s="81" t="s">
        <v>1941</v>
      </c>
      <c r="L1336" s="74">
        <v>40354</v>
      </c>
      <c r="M1336" s="77">
        <f>IF(Main[[#This Row],[Tech Start Date]]&lt;1/1/1990,"",IF(Main[[#This Row],[Class]]="C",WORKDAY(Main[[#This Row],[Tech Start Date]],9),IF(Main[[#This Row],[Class]]="B", WORKDAY(Main[[#This Row],[Tech Start Date]],6),IF(Main[[#This Row],[Class]]="A",WORKDAY(Main[[#This Row],[Tech Start Date]],2),""))))</f>
        <v>40358</v>
      </c>
      <c r="N1336" s="77">
        <f>IF(Main[[#This Row],[Tech Start Date]]&lt;1/1/1990,"",IF(Main[[#This Row],[Class]]="C",WORKDAY(Main[[#This Row],[Tech Start Date]],19),IF(Main[[#This Row],[Class]]="B", WORKDAY(Main[[#This Row],[Tech Start Date]],12),IF(Main[[#This Row],[Class]]="A",WORKDAY(Main[[#This Row],[Tech Start Date]],4),""))))</f>
        <v>40360</v>
      </c>
      <c r="O1336" s="77">
        <f>IF(Main[[#This Row],[Tech Start Date]]&lt;1/1/1990,"",IF(Main[[#This Row],[Class]]="C",WORKDAY(Main[[#This Row],[Tech Start Date]],23),IF(Main[[#This Row],[Class]]="B", WORKDAY(Main[[#This Row],[Tech Start Date]],15),IF(Main[[#This Row],[Class]]="A",WORKDAY(Main[[#This Row],[Tech Start Date]],5),""))))</f>
        <v>40361</v>
      </c>
      <c r="P1336" s="77">
        <f>IF(Main[[#This Row],[Tech Start Date]]&lt;1/1/1990,"",IF(Main[[#This Row],[Class]]="C",WORKDAY(Main[[#This Row],[Tech Start Date]],28),IF(Main[[#This Row],[Class]]="B", WORKDAY(Main[[#This Row],[Tech Start Date]],19),IF(Main[[#This Row],[Class]]="A",WORKDAY(Main[[#This Row],[Tech Start Date]],9),""))))</f>
        <v>40367</v>
      </c>
      <c r="Q1336" s="74">
        <v>40417</v>
      </c>
      <c r="R1336" s="74">
        <v>40417</v>
      </c>
      <c r="S1336" s="72" t="s">
        <v>11</v>
      </c>
      <c r="T1336" s="80" t="s">
        <v>4</v>
      </c>
      <c r="U1336" s="72" t="s">
        <v>14</v>
      </c>
      <c r="V1336" s="72" t="s">
        <v>1942</v>
      </c>
      <c r="W1336" s="72" t="s">
        <v>1938</v>
      </c>
      <c r="X1336" s="72" t="s">
        <v>2956</v>
      </c>
      <c r="Y1336" s="72" t="s">
        <v>3083</v>
      </c>
      <c r="Z1336" s="72" t="s">
        <v>894</v>
      </c>
      <c r="AA1336" s="147" t="s">
        <v>2956</v>
      </c>
    </row>
    <row r="1337" spans="1:27" ht="18.600000000000001" customHeight="1">
      <c r="A1337" s="142" t="str">
        <f>IF(priority(Main[[#This Row],[Comments]])&lt;&gt;0, priority(Main[[#This Row],[Comments]]),"")</f>
        <v/>
      </c>
      <c r="B1337" s="91" t="s">
        <v>1846</v>
      </c>
      <c r="C1337" s="108" t="s">
        <v>890</v>
      </c>
      <c r="D1337" s="109" t="s">
        <v>891</v>
      </c>
      <c r="E1337" s="110"/>
      <c r="F1337" s="110">
        <v>40442</v>
      </c>
      <c r="G1337" s="111" t="str">
        <f>IF(stdProdLT(Main[[#This Row],[Comments]])=0.1,"N/A",IF(stdProdLT(Main[[#This Row],[Comments]])=0,"",stdProdLT(Main[[#This Row],[Comments]])))</f>
        <v/>
      </c>
      <c r="H1337" s="112">
        <f>IF(AND(Main[[#This Row],[In Stock Date]]&lt;&gt;"",Main[[#This Row],[Revised Due Date]]&lt;&gt;""),Main[[#This Row],[In Stock Date]]-Main[[#This Row],[Revised Due Date]],"")</f>
        <v>40</v>
      </c>
      <c r="I1337" s="108" t="s">
        <v>559</v>
      </c>
      <c r="J1337" s="108" t="s">
        <v>28</v>
      </c>
      <c r="K1337" s="108" t="s">
        <v>1944</v>
      </c>
      <c r="L1337" s="110">
        <v>40366</v>
      </c>
      <c r="M1337" s="113" t="str">
        <f>IF(Main[[#This Row],[Tech Start Date]]&lt;1/1/1990,"",IF(Main[[#This Row],[Class]]="C",WORKDAY(Main[[#This Row],[Tech Start Date]],9),IF(Main[[#This Row],[Class]]="B", WORKDAY(Main[[#This Row],[Tech Start Date]],6),IF(Main[[#This Row],[Class]]="A",WORKDAY(Main[[#This Row],[Tech Start Date]],2),""))))</f>
        <v/>
      </c>
      <c r="N1337" s="113" t="str">
        <f>IF(Main[[#This Row],[Tech Start Date]]&lt;1/1/1990,"",IF(Main[[#This Row],[Class]]="C",WORKDAY(Main[[#This Row],[Tech Start Date]],19),IF(Main[[#This Row],[Class]]="B", WORKDAY(Main[[#This Row],[Tech Start Date]],12),IF(Main[[#This Row],[Class]]="A",WORKDAY(Main[[#This Row],[Tech Start Date]],4),""))))</f>
        <v/>
      </c>
      <c r="O1337" s="113" t="str">
        <f>IF(Main[[#This Row],[Tech Start Date]]&lt;1/1/1990,"",IF(Main[[#This Row],[Class]]="C",WORKDAY(Main[[#This Row],[Tech Start Date]],23),IF(Main[[#This Row],[Class]]="B", WORKDAY(Main[[#This Row],[Tech Start Date]],15),IF(Main[[#This Row],[Class]]="A",WORKDAY(Main[[#This Row],[Tech Start Date]],5),""))))</f>
        <v/>
      </c>
      <c r="P1337" s="113" t="str">
        <f>IF(Main[[#This Row],[Tech Start Date]]&lt;1/1/1990,"",IF(Main[[#This Row],[Class]]="C",WORKDAY(Main[[#This Row],[Tech Start Date]],28),IF(Main[[#This Row],[Class]]="B", WORKDAY(Main[[#This Row],[Tech Start Date]],19),IF(Main[[#This Row],[Class]]="A",WORKDAY(Main[[#This Row],[Tech Start Date]],9),""))))</f>
        <v/>
      </c>
      <c r="Q1337" s="110">
        <v>40374</v>
      </c>
      <c r="R1337" s="110">
        <v>40402</v>
      </c>
      <c r="S1337" s="108" t="s">
        <v>11</v>
      </c>
      <c r="T1337" s="114" t="s">
        <v>4</v>
      </c>
      <c r="U1337" s="108" t="s">
        <v>14</v>
      </c>
      <c r="V1337" s="108" t="s">
        <v>1935</v>
      </c>
      <c r="W1337" s="108" t="s">
        <v>1937</v>
      </c>
      <c r="X1337" s="72" t="s">
        <v>2958</v>
      </c>
      <c r="Y1337" s="72" t="s">
        <v>3106</v>
      </c>
      <c r="Z1337" s="72" t="s">
        <v>4</v>
      </c>
      <c r="AA1337" s="147" t="s">
        <v>2958</v>
      </c>
    </row>
    <row r="1338" spans="1:27" ht="18.600000000000001" customHeight="1">
      <c r="A1338" s="140" t="str">
        <f>IF(priority(Main[[#This Row],[Comments]])&lt;&gt;0, priority(Main[[#This Row],[Comments]]),"")</f>
        <v/>
      </c>
      <c r="B1338" s="90" t="s">
        <v>1728</v>
      </c>
      <c r="C1338" s="72" t="s">
        <v>4</v>
      </c>
      <c r="D1338" s="73" t="s">
        <v>772</v>
      </c>
      <c r="E1338" s="74">
        <v>40395.395856481482</v>
      </c>
      <c r="F1338" s="74">
        <v>40574</v>
      </c>
      <c r="G1338" s="75" t="str">
        <f>IF(stdProdLT(Main[[#This Row],[Comments]])=0.1,"N/A",IF(stdProdLT(Main[[#This Row],[Comments]])=0,"",stdProdLT(Main[[#This Row],[Comments]])))</f>
        <v/>
      </c>
      <c r="H1338" s="76">
        <f>IF(AND(Main[[#This Row],[In Stock Date]]&lt;&gt;"",Main[[#This Row],[Revised Due Date]]&lt;&gt;""),Main[[#This Row],[In Stock Date]]-Main[[#This Row],[Revised Due Date]],"")</f>
        <v>-431</v>
      </c>
      <c r="I1338" s="72" t="s">
        <v>4</v>
      </c>
      <c r="J1338" s="72" t="s">
        <v>28</v>
      </c>
      <c r="K1338" s="81" t="s">
        <v>1944</v>
      </c>
      <c r="L1338" s="74">
        <v>40405</v>
      </c>
      <c r="M1338" s="77" t="str">
        <f>IF(Main[[#This Row],[Tech Start Date]]&lt;1/1/1990,"",IF(Main[[#This Row],[Class]]="C",WORKDAY(Main[[#This Row],[Tech Start Date]],9),IF(Main[[#This Row],[Class]]="B", WORKDAY(Main[[#This Row],[Tech Start Date]],6),IF(Main[[#This Row],[Class]]="A",WORKDAY(Main[[#This Row],[Tech Start Date]],2),""))))</f>
        <v/>
      </c>
      <c r="N1338" s="77" t="str">
        <f>IF(Main[[#This Row],[Tech Start Date]]&lt;1/1/1990,"",IF(Main[[#This Row],[Class]]="C",WORKDAY(Main[[#This Row],[Tech Start Date]],19),IF(Main[[#This Row],[Class]]="B", WORKDAY(Main[[#This Row],[Tech Start Date]],12),IF(Main[[#This Row],[Class]]="A",WORKDAY(Main[[#This Row],[Tech Start Date]],4),""))))</f>
        <v/>
      </c>
      <c r="O1338" s="77" t="str">
        <f>IF(Main[[#This Row],[Tech Start Date]]&lt;1/1/1990,"",IF(Main[[#This Row],[Class]]="C",WORKDAY(Main[[#This Row],[Tech Start Date]],23),IF(Main[[#This Row],[Class]]="B", WORKDAY(Main[[#This Row],[Tech Start Date]],15),IF(Main[[#This Row],[Class]]="A",WORKDAY(Main[[#This Row],[Tech Start Date]],5),""))))</f>
        <v/>
      </c>
      <c r="P1338" s="77" t="str">
        <f>IF(Main[[#This Row],[Tech Start Date]]&lt;1/1/1990,"",IF(Main[[#This Row],[Class]]="C",WORKDAY(Main[[#This Row],[Tech Start Date]],28),IF(Main[[#This Row],[Class]]="B", WORKDAY(Main[[#This Row],[Tech Start Date]],19),IF(Main[[#This Row],[Class]]="A",WORKDAY(Main[[#This Row],[Tech Start Date]],9),""))))</f>
        <v/>
      </c>
      <c r="Q1338" s="74"/>
      <c r="R1338" s="74">
        <v>41005</v>
      </c>
      <c r="S1338" s="72" t="s">
        <v>17</v>
      </c>
      <c r="T1338" s="80" t="s">
        <v>4</v>
      </c>
      <c r="U1338" s="72" t="s">
        <v>29</v>
      </c>
      <c r="V1338" s="72" t="s">
        <v>1935</v>
      </c>
      <c r="W1338" s="72" t="s">
        <v>1937</v>
      </c>
      <c r="X1338" s="72" t="s">
        <v>50</v>
      </c>
      <c r="Y1338" s="72" t="s">
        <v>3072</v>
      </c>
      <c r="Z1338" s="72" t="s">
        <v>980</v>
      </c>
      <c r="AA1338" s="147" t="s">
        <v>65</v>
      </c>
    </row>
    <row r="1339" spans="1:27" ht="18.600000000000001" customHeight="1">
      <c r="A1339" s="142" t="str">
        <f>IF(priority(Main[[#This Row],[Comments]])&lt;&gt;0, priority(Main[[#This Row],[Comments]]),"")</f>
        <v/>
      </c>
      <c r="B1339" s="91" t="s">
        <v>1259</v>
      </c>
      <c r="C1339" s="72" t="s">
        <v>4</v>
      </c>
      <c r="D1339" s="73" t="s">
        <v>313</v>
      </c>
      <c r="E1339" s="74">
        <v>40395.401192129626</v>
      </c>
      <c r="F1339" s="74">
        <v>40574</v>
      </c>
      <c r="G1339" s="75" t="str">
        <f>IF(stdProdLT(Main[[#This Row],[Comments]])=0.1,"N/A",IF(stdProdLT(Main[[#This Row],[Comments]])=0,"",stdProdLT(Main[[#This Row],[Comments]])))</f>
        <v/>
      </c>
      <c r="H1339" s="76">
        <f>IF(AND(Main[[#This Row],[In Stock Date]]&lt;&gt;"",Main[[#This Row],[Revised Due Date]]&lt;&gt;""),Main[[#This Row],[In Stock Date]]-Main[[#This Row],[Revised Due Date]],"")</f>
        <v>-465</v>
      </c>
      <c r="I1339" s="72" t="s">
        <v>4</v>
      </c>
      <c r="J1339" s="72" t="s">
        <v>28</v>
      </c>
      <c r="K1339" s="72" t="s">
        <v>1944</v>
      </c>
      <c r="L1339" s="74">
        <v>40405</v>
      </c>
      <c r="M1339" s="77" t="str">
        <f>IF(Main[[#This Row],[Tech Start Date]]&lt;1/1/1990,"",IF(Main[[#This Row],[Class]]="C",WORKDAY(Main[[#This Row],[Tech Start Date]],9),IF(Main[[#This Row],[Class]]="B", WORKDAY(Main[[#This Row],[Tech Start Date]],6),IF(Main[[#This Row],[Class]]="A",WORKDAY(Main[[#This Row],[Tech Start Date]],2),""))))</f>
        <v/>
      </c>
      <c r="N1339" s="77" t="str">
        <f>IF(Main[[#This Row],[Tech Start Date]]&lt;1/1/1990,"",IF(Main[[#This Row],[Class]]="C",WORKDAY(Main[[#This Row],[Tech Start Date]],19),IF(Main[[#This Row],[Class]]="B", WORKDAY(Main[[#This Row],[Tech Start Date]],12),IF(Main[[#This Row],[Class]]="A",WORKDAY(Main[[#This Row],[Tech Start Date]],4),""))))</f>
        <v/>
      </c>
      <c r="O1339" s="77" t="str">
        <f>IF(Main[[#This Row],[Tech Start Date]]&lt;1/1/1990,"",IF(Main[[#This Row],[Class]]="C",WORKDAY(Main[[#This Row],[Tech Start Date]],23),IF(Main[[#This Row],[Class]]="B", WORKDAY(Main[[#This Row],[Tech Start Date]],15),IF(Main[[#This Row],[Class]]="A",WORKDAY(Main[[#This Row],[Tech Start Date]],5),""))))</f>
        <v/>
      </c>
      <c r="P1339" s="77" t="str">
        <f>IF(Main[[#This Row],[Tech Start Date]]&lt;1/1/1990,"",IF(Main[[#This Row],[Class]]="C",WORKDAY(Main[[#This Row],[Tech Start Date]],28),IF(Main[[#This Row],[Class]]="B", WORKDAY(Main[[#This Row],[Tech Start Date]],19),IF(Main[[#This Row],[Class]]="A",WORKDAY(Main[[#This Row],[Tech Start Date]],9),""))))</f>
        <v/>
      </c>
      <c r="Q1339" s="74"/>
      <c r="R1339" s="74">
        <v>41039</v>
      </c>
      <c r="S1339" s="72" t="s">
        <v>17</v>
      </c>
      <c r="T1339" s="80" t="s">
        <v>4</v>
      </c>
      <c r="U1339" s="72" t="s">
        <v>29</v>
      </c>
      <c r="V1339" s="72" t="s">
        <v>1935</v>
      </c>
      <c r="W1339" s="72" t="s">
        <v>1937</v>
      </c>
      <c r="X1339" s="72" t="s">
        <v>50</v>
      </c>
      <c r="Y1339" s="108" t="s">
        <v>3072</v>
      </c>
      <c r="Z1339" s="108" t="s">
        <v>980</v>
      </c>
      <c r="AA1339" s="147" t="s">
        <v>65</v>
      </c>
    </row>
    <row r="1340" spans="1:27" ht="18.600000000000001" customHeight="1">
      <c r="A1340" s="142" t="str">
        <f>IF(priority(Main[[#This Row],[Comments]])&lt;&gt;0, priority(Main[[#This Row],[Comments]]),"")</f>
        <v/>
      </c>
      <c r="B1340" s="91" t="s">
        <v>1537</v>
      </c>
      <c r="C1340" s="108" t="s">
        <v>4</v>
      </c>
      <c r="D1340" s="109" t="s">
        <v>3810</v>
      </c>
      <c r="E1340" s="110">
        <v>40436.377106481479</v>
      </c>
      <c r="F1340" s="110"/>
      <c r="G1340" s="111" t="str">
        <f>IF(stdProdLT(Main[[#This Row],[Comments]])=0.1,"N/A",IF(stdProdLT(Main[[#This Row],[Comments]])=0,"",stdProdLT(Main[[#This Row],[Comments]])))</f>
        <v/>
      </c>
      <c r="H1340" s="112" t="str">
        <f>IF(AND(Main[[#This Row],[In Stock Date]]&lt;&gt;"",Main[[#This Row],[Revised Due Date]]&lt;&gt;""),Main[[#This Row],[In Stock Date]]-Main[[#This Row],[Revised Due Date]],"")</f>
        <v/>
      </c>
      <c r="I1340" s="108" t="s">
        <v>897</v>
      </c>
      <c r="J1340" s="108" t="s">
        <v>4</v>
      </c>
      <c r="K1340" s="108" t="s">
        <v>1944</v>
      </c>
      <c r="L1340" s="110">
        <v>40441</v>
      </c>
      <c r="M1340" s="113" t="str">
        <f>IF(Main[[#This Row],[Tech Start Date]]&lt;1/1/1990,"",IF(Main[[#This Row],[Class]]="C",WORKDAY(Main[[#This Row],[Tech Start Date]],9),IF(Main[[#This Row],[Class]]="B", WORKDAY(Main[[#This Row],[Tech Start Date]],6),IF(Main[[#This Row],[Class]]="A",WORKDAY(Main[[#This Row],[Tech Start Date]],2),""))))</f>
        <v/>
      </c>
      <c r="N1340" s="113" t="str">
        <f>IF(Main[[#This Row],[Tech Start Date]]&lt;1/1/1990,"",IF(Main[[#This Row],[Class]]="C",WORKDAY(Main[[#This Row],[Tech Start Date]],19),IF(Main[[#This Row],[Class]]="B", WORKDAY(Main[[#This Row],[Tech Start Date]],12),IF(Main[[#This Row],[Class]]="A",WORKDAY(Main[[#This Row],[Tech Start Date]],4),""))))</f>
        <v/>
      </c>
      <c r="O1340" s="113" t="str">
        <f>IF(Main[[#This Row],[Tech Start Date]]&lt;1/1/1990,"",IF(Main[[#This Row],[Class]]="C",WORKDAY(Main[[#This Row],[Tech Start Date]],23),IF(Main[[#This Row],[Class]]="B", WORKDAY(Main[[#This Row],[Tech Start Date]],15),IF(Main[[#This Row],[Class]]="A",WORKDAY(Main[[#This Row],[Tech Start Date]],5),""))))</f>
        <v/>
      </c>
      <c r="P1340" s="113" t="str">
        <f>IF(Main[[#This Row],[Tech Start Date]]&lt;1/1/1990,"",IF(Main[[#This Row],[Class]]="C",WORKDAY(Main[[#This Row],[Tech Start Date]],28),IF(Main[[#This Row],[Class]]="B", WORKDAY(Main[[#This Row],[Tech Start Date]],19),IF(Main[[#This Row],[Class]]="A",WORKDAY(Main[[#This Row],[Tech Start Date]],9),""))))</f>
        <v/>
      </c>
      <c r="Q1340" s="110">
        <v>41274</v>
      </c>
      <c r="R1340" s="110">
        <v>41180</v>
      </c>
      <c r="S1340" s="108" t="s">
        <v>17</v>
      </c>
      <c r="T1340" s="114" t="s">
        <v>2647</v>
      </c>
      <c r="U1340" s="108" t="s">
        <v>29</v>
      </c>
      <c r="V1340" s="108" t="s">
        <v>1932</v>
      </c>
      <c r="W1340" s="108" t="s">
        <v>1937</v>
      </c>
      <c r="X1340" s="108" t="s">
        <v>933</v>
      </c>
      <c r="Y1340" s="108" t="s">
        <v>3235</v>
      </c>
      <c r="Z1340" s="108" t="s">
        <v>888</v>
      </c>
      <c r="AA1340" s="147" t="s">
        <v>2912</v>
      </c>
    </row>
    <row r="1341" spans="1:27" ht="18.600000000000001" customHeight="1">
      <c r="A1341" s="142" t="str">
        <f>IF(priority(Main[[#This Row],[Comments]])&lt;&gt;0, priority(Main[[#This Row],[Comments]]),"")</f>
        <v/>
      </c>
      <c r="B1341" s="91" t="s">
        <v>1857</v>
      </c>
      <c r="C1341" s="72" t="s">
        <v>4</v>
      </c>
      <c r="D1341" s="73" t="s">
        <v>906</v>
      </c>
      <c r="E1341" s="74"/>
      <c r="F1341" s="74"/>
      <c r="G1341" s="75" t="str">
        <f>IF(stdProdLT(Main[[#This Row],[Comments]])=0.1,"N/A",IF(stdProdLT(Main[[#This Row],[Comments]])=0,"",stdProdLT(Main[[#This Row],[Comments]])))</f>
        <v/>
      </c>
      <c r="H1341" s="76" t="str">
        <f>IF(AND(Main[[#This Row],[In Stock Date]]&lt;&gt;"",Main[[#This Row],[Revised Due Date]]&lt;&gt;""),Main[[#This Row],[In Stock Date]]-Main[[#This Row],[Revised Due Date]],"")</f>
        <v/>
      </c>
      <c r="I1341" s="72" t="s">
        <v>718</v>
      </c>
      <c r="J1341" s="72" t="s">
        <v>4</v>
      </c>
      <c r="K1341" s="72" t="s">
        <v>4</v>
      </c>
      <c r="L1341" s="74">
        <v>40469</v>
      </c>
      <c r="M1341" s="77" t="str">
        <f>IF(Main[[#This Row],[Tech Start Date]]&lt;1/1/1990,"",IF(Main[[#This Row],[Class]]="C",WORKDAY(Main[[#This Row],[Tech Start Date]],9),IF(Main[[#This Row],[Class]]="B", WORKDAY(Main[[#This Row],[Tech Start Date]],6),IF(Main[[#This Row],[Class]]="A",WORKDAY(Main[[#This Row],[Tech Start Date]],2),""))))</f>
        <v/>
      </c>
      <c r="N1341" s="77" t="str">
        <f>IF(Main[[#This Row],[Tech Start Date]]&lt;1/1/1990,"",IF(Main[[#This Row],[Class]]="C",WORKDAY(Main[[#This Row],[Tech Start Date]],19),IF(Main[[#This Row],[Class]]="B", WORKDAY(Main[[#This Row],[Tech Start Date]],12),IF(Main[[#This Row],[Class]]="A",WORKDAY(Main[[#This Row],[Tech Start Date]],4),""))))</f>
        <v/>
      </c>
      <c r="O1341" s="77" t="str">
        <f>IF(Main[[#This Row],[Tech Start Date]]&lt;1/1/1990,"",IF(Main[[#This Row],[Class]]="C",WORKDAY(Main[[#This Row],[Tech Start Date]],23),IF(Main[[#This Row],[Class]]="B", WORKDAY(Main[[#This Row],[Tech Start Date]],15),IF(Main[[#This Row],[Class]]="A",WORKDAY(Main[[#This Row],[Tech Start Date]],5),""))))</f>
        <v/>
      </c>
      <c r="P1341" s="77" t="str">
        <f>IF(Main[[#This Row],[Tech Start Date]]&lt;1/1/1990,"",IF(Main[[#This Row],[Class]]="C",WORKDAY(Main[[#This Row],[Tech Start Date]],28),IF(Main[[#This Row],[Class]]="B", WORKDAY(Main[[#This Row],[Tech Start Date]],19),IF(Main[[#This Row],[Class]]="A",WORKDAY(Main[[#This Row],[Tech Start Date]],9),""))))</f>
        <v/>
      </c>
      <c r="Q1341" s="74"/>
      <c r="R1341" s="74">
        <v>40473</v>
      </c>
      <c r="S1341" s="72" t="s">
        <v>23</v>
      </c>
      <c r="T1341" s="80" t="s">
        <v>4</v>
      </c>
      <c r="U1341" s="72" t="s">
        <v>14</v>
      </c>
      <c r="V1341" s="72" t="s">
        <v>1932</v>
      </c>
      <c r="W1341" s="72" t="s">
        <v>1936</v>
      </c>
      <c r="X1341" s="72" t="s">
        <v>310</v>
      </c>
      <c r="Y1341" s="108" t="s">
        <v>4</v>
      </c>
      <c r="Z1341" s="108" t="s">
        <v>129</v>
      </c>
      <c r="AA1341" s="147" t="s">
        <v>3659</v>
      </c>
    </row>
    <row r="1342" spans="1:27" ht="18.600000000000001" customHeight="1">
      <c r="A1342" s="143" t="str">
        <f>IF(priority(Main[[#This Row],[Comments]])&lt;&gt;0, priority(Main[[#This Row],[Comments]]),"")</f>
        <v/>
      </c>
      <c r="B1342" s="128" t="s">
        <v>1118</v>
      </c>
      <c r="C1342" s="108" t="s">
        <v>4</v>
      </c>
      <c r="D1342" s="109" t="s">
        <v>130</v>
      </c>
      <c r="E1342" s="110">
        <v>40462.452245370368</v>
      </c>
      <c r="F1342" s="110"/>
      <c r="G1342" s="111" t="str">
        <f>IF(stdProdLT(Main[[#This Row],[Comments]])=0.1,"N/A",IF(stdProdLT(Main[[#This Row],[Comments]])=0,"",stdProdLT(Main[[#This Row],[Comments]])))</f>
        <v/>
      </c>
      <c r="H1342" s="112" t="str">
        <f>IF(AND(Main[[#This Row],[In Stock Date]]&lt;&gt;"",Main[[#This Row],[Revised Due Date]]&lt;&gt;""),Main[[#This Row],[In Stock Date]]-Main[[#This Row],[Revised Due Date]],"")</f>
        <v/>
      </c>
      <c r="I1342" s="108" t="s">
        <v>242</v>
      </c>
      <c r="J1342" s="108" t="s">
        <v>52</v>
      </c>
      <c r="K1342" s="108" t="s">
        <v>1939</v>
      </c>
      <c r="L1342" s="110">
        <v>40486</v>
      </c>
      <c r="M1342" s="113">
        <f>IF(Main[[#This Row],[Tech Start Date]]&lt;1/1/1990,"",IF(Main[[#This Row],[Class]]="C",WORKDAY(Main[[#This Row],[Tech Start Date]],9),IF(Main[[#This Row],[Class]]="B", WORKDAY(Main[[#This Row],[Tech Start Date]],6),IF(Main[[#This Row],[Class]]="A",WORKDAY(Main[[#This Row],[Tech Start Date]],2),""))))</f>
        <v>40494</v>
      </c>
      <c r="N1342" s="113">
        <f>IF(Main[[#This Row],[Tech Start Date]]&lt;1/1/1990,"",IF(Main[[#This Row],[Class]]="C",WORKDAY(Main[[#This Row],[Tech Start Date]],19),IF(Main[[#This Row],[Class]]="B", WORKDAY(Main[[#This Row],[Tech Start Date]],12),IF(Main[[#This Row],[Class]]="A",WORKDAY(Main[[#This Row],[Tech Start Date]],4),""))))</f>
        <v>40504</v>
      </c>
      <c r="O1342" s="113">
        <f>IF(Main[[#This Row],[Tech Start Date]]&lt;1/1/1990,"",IF(Main[[#This Row],[Class]]="C",WORKDAY(Main[[#This Row],[Tech Start Date]],23),IF(Main[[#This Row],[Class]]="B", WORKDAY(Main[[#This Row],[Tech Start Date]],15),IF(Main[[#This Row],[Class]]="A",WORKDAY(Main[[#This Row],[Tech Start Date]],5),""))))</f>
        <v>40507</v>
      </c>
      <c r="P1342" s="113">
        <f>IF(Main[[#This Row],[Tech Start Date]]&lt;1/1/1990,"",IF(Main[[#This Row],[Class]]="C",WORKDAY(Main[[#This Row],[Tech Start Date]],28),IF(Main[[#This Row],[Class]]="B", WORKDAY(Main[[#This Row],[Tech Start Date]],19),IF(Main[[#This Row],[Class]]="A",WORKDAY(Main[[#This Row],[Tech Start Date]],9),""))))</f>
        <v>40513</v>
      </c>
      <c r="Q1342" s="110">
        <v>40543</v>
      </c>
      <c r="R1342" s="110"/>
      <c r="S1342" s="108" t="s">
        <v>6</v>
      </c>
      <c r="T1342" s="114" t="s">
        <v>4</v>
      </c>
      <c r="U1342" s="108" t="s">
        <v>29</v>
      </c>
      <c r="V1342" s="108" t="s">
        <v>1935</v>
      </c>
      <c r="W1342" s="108" t="s">
        <v>1936</v>
      </c>
      <c r="X1342" s="108" t="s">
        <v>2971</v>
      </c>
      <c r="Y1342" s="129" t="s">
        <v>3130</v>
      </c>
      <c r="Z1342" s="129" t="s">
        <v>30</v>
      </c>
      <c r="AA1342" s="147" t="s">
        <v>2971</v>
      </c>
    </row>
    <row r="1343" spans="1:27" ht="18.600000000000001" customHeight="1">
      <c r="A1343" s="142" t="str">
        <f>IF(priority(Main[[#This Row],[Comments]])&lt;&gt;0, priority(Main[[#This Row],[Comments]]),"")</f>
        <v/>
      </c>
      <c r="B1343" s="91" t="s">
        <v>1101</v>
      </c>
      <c r="C1343" s="72" t="s">
        <v>4</v>
      </c>
      <c r="D1343" s="73" t="s">
        <v>2021</v>
      </c>
      <c r="E1343" s="74"/>
      <c r="F1343" s="74"/>
      <c r="G1343" s="75" t="str">
        <f>IF(stdProdLT(Main[[#This Row],[Comments]])=0.1,"N/A",IF(stdProdLT(Main[[#This Row],[Comments]])=0,"",stdProdLT(Main[[#This Row],[Comments]])))</f>
        <v/>
      </c>
      <c r="H1343" s="76" t="str">
        <f>IF(AND(Main[[#This Row],[In Stock Date]]&lt;&gt;"",Main[[#This Row],[Revised Due Date]]&lt;&gt;""),Main[[#This Row],[In Stock Date]]-Main[[#This Row],[Revised Due Date]],"")</f>
        <v/>
      </c>
      <c r="I1343" s="72" t="s">
        <v>30</v>
      </c>
      <c r="J1343" s="72" t="s">
        <v>28</v>
      </c>
      <c r="K1343" s="72" t="s">
        <v>1939</v>
      </c>
      <c r="L1343" s="74">
        <v>40486</v>
      </c>
      <c r="M1343" s="77">
        <f>IF(Main[[#This Row],[Tech Start Date]]&lt;1/1/1990,"",IF(Main[[#This Row],[Class]]="C",WORKDAY(Main[[#This Row],[Tech Start Date]],9),IF(Main[[#This Row],[Class]]="B", WORKDAY(Main[[#This Row],[Tech Start Date]],6),IF(Main[[#This Row],[Class]]="A",WORKDAY(Main[[#This Row],[Tech Start Date]],2),""))))</f>
        <v>40494</v>
      </c>
      <c r="N1343" s="77">
        <f>IF(Main[[#This Row],[Tech Start Date]]&lt;1/1/1990,"",IF(Main[[#This Row],[Class]]="C",WORKDAY(Main[[#This Row],[Tech Start Date]],19),IF(Main[[#This Row],[Class]]="B", WORKDAY(Main[[#This Row],[Tech Start Date]],12),IF(Main[[#This Row],[Class]]="A",WORKDAY(Main[[#This Row],[Tech Start Date]],4),""))))</f>
        <v>40504</v>
      </c>
      <c r="O1343" s="77">
        <f>IF(Main[[#This Row],[Tech Start Date]]&lt;1/1/1990,"",IF(Main[[#This Row],[Class]]="C",WORKDAY(Main[[#This Row],[Tech Start Date]],23),IF(Main[[#This Row],[Class]]="B", WORKDAY(Main[[#This Row],[Tech Start Date]],15),IF(Main[[#This Row],[Class]]="A",WORKDAY(Main[[#This Row],[Tech Start Date]],5),""))))</f>
        <v>40507</v>
      </c>
      <c r="P1343" s="77">
        <f>IF(Main[[#This Row],[Tech Start Date]]&lt;1/1/1990,"",IF(Main[[#This Row],[Class]]="C",WORKDAY(Main[[#This Row],[Tech Start Date]],28),IF(Main[[#This Row],[Class]]="B", WORKDAY(Main[[#This Row],[Tech Start Date]],19),IF(Main[[#This Row],[Class]]="A",WORKDAY(Main[[#This Row],[Tech Start Date]],9),""))))</f>
        <v>40513</v>
      </c>
      <c r="Q1343" s="74"/>
      <c r="R1343" s="74"/>
      <c r="S1343" s="72" t="s">
        <v>6</v>
      </c>
      <c r="T1343" s="80" t="s">
        <v>4</v>
      </c>
      <c r="U1343" s="72" t="s">
        <v>14</v>
      </c>
      <c r="V1343" s="72" t="s">
        <v>1935</v>
      </c>
      <c r="W1343" s="72" t="s">
        <v>1936</v>
      </c>
      <c r="X1343" s="72" t="s">
        <v>2950</v>
      </c>
      <c r="Y1343" s="108" t="s">
        <v>3087</v>
      </c>
      <c r="Z1343" s="108" t="s">
        <v>535</v>
      </c>
      <c r="AA1343" s="147" t="s">
        <v>2950</v>
      </c>
    </row>
    <row r="1344" spans="1:27" ht="18.600000000000001" customHeight="1">
      <c r="A1344" s="143" t="str">
        <f>IF(priority(Main[[#This Row],[Comments]])&lt;&gt;0, priority(Main[[#This Row],[Comments]]),"")</f>
        <v/>
      </c>
      <c r="B1344" s="128" t="s">
        <v>1729</v>
      </c>
      <c r="C1344" s="72" t="s">
        <v>4</v>
      </c>
      <c r="D1344" s="73" t="s">
        <v>773</v>
      </c>
      <c r="E1344" s="74"/>
      <c r="F1344" s="74"/>
      <c r="G1344" s="75" t="str">
        <f>IF(stdProdLT(Main[[#This Row],[Comments]])=0.1,"N/A",IF(stdProdLT(Main[[#This Row],[Comments]])=0,"",stdProdLT(Main[[#This Row],[Comments]])))</f>
        <v/>
      </c>
      <c r="H1344" s="76" t="str">
        <f>IF(AND(Main[[#This Row],[In Stock Date]]&lt;&gt;"",Main[[#This Row],[Revised Due Date]]&lt;&gt;""),Main[[#This Row],[In Stock Date]]-Main[[#This Row],[Revised Due Date]],"")</f>
        <v/>
      </c>
      <c r="I1344" s="72" t="s">
        <v>173</v>
      </c>
      <c r="J1344" s="72" t="s">
        <v>70</v>
      </c>
      <c r="K1344" s="72" t="s">
        <v>1939</v>
      </c>
      <c r="L1344" s="74">
        <v>40486</v>
      </c>
      <c r="M1344" s="77">
        <f>IF(Main[[#This Row],[Tech Start Date]]&lt;1/1/1990,"",IF(Main[[#This Row],[Class]]="C",WORKDAY(Main[[#This Row],[Tech Start Date]],9),IF(Main[[#This Row],[Class]]="B", WORKDAY(Main[[#This Row],[Tech Start Date]],6),IF(Main[[#This Row],[Class]]="A",WORKDAY(Main[[#This Row],[Tech Start Date]],2),""))))</f>
        <v>40494</v>
      </c>
      <c r="N1344" s="77">
        <f>IF(Main[[#This Row],[Tech Start Date]]&lt;1/1/1990,"",IF(Main[[#This Row],[Class]]="C",WORKDAY(Main[[#This Row],[Tech Start Date]],19),IF(Main[[#This Row],[Class]]="B", WORKDAY(Main[[#This Row],[Tech Start Date]],12),IF(Main[[#This Row],[Class]]="A",WORKDAY(Main[[#This Row],[Tech Start Date]],4),""))))</f>
        <v>40504</v>
      </c>
      <c r="O1344" s="77">
        <f>IF(Main[[#This Row],[Tech Start Date]]&lt;1/1/1990,"",IF(Main[[#This Row],[Class]]="C",WORKDAY(Main[[#This Row],[Tech Start Date]],23),IF(Main[[#This Row],[Class]]="B", WORKDAY(Main[[#This Row],[Tech Start Date]],15),IF(Main[[#This Row],[Class]]="A",WORKDAY(Main[[#This Row],[Tech Start Date]],5),""))))</f>
        <v>40507</v>
      </c>
      <c r="P1344" s="77">
        <f>IF(Main[[#This Row],[Tech Start Date]]&lt;1/1/1990,"",IF(Main[[#This Row],[Class]]="C",WORKDAY(Main[[#This Row],[Tech Start Date]],28),IF(Main[[#This Row],[Class]]="B", WORKDAY(Main[[#This Row],[Tech Start Date]],19),IF(Main[[#This Row],[Class]]="A",WORKDAY(Main[[#This Row],[Tech Start Date]],9),""))))</f>
        <v>40513</v>
      </c>
      <c r="Q1344" s="74">
        <v>40504</v>
      </c>
      <c r="R1344" s="74"/>
      <c r="S1344" s="72" t="s">
        <v>6</v>
      </c>
      <c r="T1344" s="80" t="s">
        <v>4</v>
      </c>
      <c r="U1344" s="72" t="s">
        <v>14</v>
      </c>
      <c r="V1344" s="72" t="s">
        <v>1935</v>
      </c>
      <c r="W1344" s="72" t="s">
        <v>1936</v>
      </c>
      <c r="X1344" s="72" t="s">
        <v>2906</v>
      </c>
      <c r="Y1344" s="129" t="s">
        <v>3025</v>
      </c>
      <c r="Z1344" s="129" t="s">
        <v>30</v>
      </c>
      <c r="AA1344" s="147" t="s">
        <v>2906</v>
      </c>
    </row>
    <row r="1345" spans="1:27" ht="18.600000000000001" customHeight="1">
      <c r="A1345" s="143" t="str">
        <f>IF(priority(Main[[#This Row],[Comments]])&lt;&gt;0, priority(Main[[#This Row],[Comments]]),"")</f>
        <v/>
      </c>
      <c r="B1345" s="128" t="s">
        <v>1742</v>
      </c>
      <c r="C1345" s="72" t="s">
        <v>4</v>
      </c>
      <c r="D1345" s="73" t="s">
        <v>2321</v>
      </c>
      <c r="E1345" s="74">
        <v>40462.421793981484</v>
      </c>
      <c r="F1345" s="74"/>
      <c r="G1345" s="75" t="str">
        <f>IF(stdProdLT(Main[[#This Row],[Comments]])=0.1,"N/A",IF(stdProdLT(Main[[#This Row],[Comments]])=0,"",stdProdLT(Main[[#This Row],[Comments]])))</f>
        <v/>
      </c>
      <c r="H1345" s="76" t="str">
        <f>IF(AND(Main[[#This Row],[In Stock Date]]&lt;&gt;"",Main[[#This Row],[Revised Due Date]]&lt;&gt;""),Main[[#This Row],[In Stock Date]]-Main[[#This Row],[Revised Due Date]],"")</f>
        <v/>
      </c>
      <c r="I1345" s="72" t="s">
        <v>905</v>
      </c>
      <c r="J1345" s="72" t="s">
        <v>52</v>
      </c>
      <c r="K1345" s="72" t="s">
        <v>1939</v>
      </c>
      <c r="L1345" s="74">
        <v>40486</v>
      </c>
      <c r="M1345" s="77">
        <f>IF(Main[[#This Row],[Tech Start Date]]&lt;1/1/1990,"",IF(Main[[#This Row],[Class]]="C",WORKDAY(Main[[#This Row],[Tech Start Date]],9),IF(Main[[#This Row],[Class]]="B", WORKDAY(Main[[#This Row],[Tech Start Date]],6),IF(Main[[#This Row],[Class]]="A",WORKDAY(Main[[#This Row],[Tech Start Date]],2),""))))</f>
        <v>40494</v>
      </c>
      <c r="N1345" s="77">
        <f>IF(Main[[#This Row],[Tech Start Date]]&lt;1/1/1990,"",IF(Main[[#This Row],[Class]]="C",WORKDAY(Main[[#This Row],[Tech Start Date]],19),IF(Main[[#This Row],[Class]]="B", WORKDAY(Main[[#This Row],[Tech Start Date]],12),IF(Main[[#This Row],[Class]]="A",WORKDAY(Main[[#This Row],[Tech Start Date]],4),""))))</f>
        <v>40504</v>
      </c>
      <c r="O1345" s="77">
        <f>IF(Main[[#This Row],[Tech Start Date]]&lt;1/1/1990,"",IF(Main[[#This Row],[Class]]="C",WORKDAY(Main[[#This Row],[Tech Start Date]],23),IF(Main[[#This Row],[Class]]="B", WORKDAY(Main[[#This Row],[Tech Start Date]],15),IF(Main[[#This Row],[Class]]="A",WORKDAY(Main[[#This Row],[Tech Start Date]],5),""))))</f>
        <v>40507</v>
      </c>
      <c r="P1345" s="77">
        <f>IF(Main[[#This Row],[Tech Start Date]]&lt;1/1/1990,"",IF(Main[[#This Row],[Class]]="C",WORKDAY(Main[[#This Row],[Tech Start Date]],28),IF(Main[[#This Row],[Class]]="B", WORKDAY(Main[[#This Row],[Tech Start Date]],19),IF(Main[[#This Row],[Class]]="A",WORKDAY(Main[[#This Row],[Tech Start Date]],9),""))))</f>
        <v>40513</v>
      </c>
      <c r="Q1345" s="74">
        <v>40543</v>
      </c>
      <c r="R1345" s="74"/>
      <c r="S1345" s="72" t="s">
        <v>6</v>
      </c>
      <c r="T1345" s="80" t="s">
        <v>4</v>
      </c>
      <c r="U1345" s="72" t="s">
        <v>29</v>
      </c>
      <c r="V1345" s="72" t="s">
        <v>1935</v>
      </c>
      <c r="W1345" s="72" t="s">
        <v>1936</v>
      </c>
      <c r="X1345" s="72" t="s">
        <v>2971</v>
      </c>
      <c r="Y1345" s="129" t="s">
        <v>3130</v>
      </c>
      <c r="Z1345" s="129" t="s">
        <v>30</v>
      </c>
      <c r="AA1345" s="147" t="s">
        <v>2971</v>
      </c>
    </row>
    <row r="1346" spans="1:27" ht="18.600000000000001" customHeight="1">
      <c r="A1346" s="143" t="str">
        <f>IF(priority(Main[[#This Row],[Comments]])&lt;&gt;0, priority(Main[[#This Row],[Comments]]),"")</f>
        <v/>
      </c>
      <c r="B1346" s="128" t="s">
        <v>1746</v>
      </c>
      <c r="C1346" s="108" t="s">
        <v>4</v>
      </c>
      <c r="D1346" s="109" t="s">
        <v>2041</v>
      </c>
      <c r="E1346" s="110">
        <v>40478.606620370374</v>
      </c>
      <c r="F1346" s="110"/>
      <c r="G1346" s="111" t="str">
        <f>IF(stdProdLT(Main[[#This Row],[Comments]])=0.1,"N/A",IF(stdProdLT(Main[[#This Row],[Comments]])=0,"",stdProdLT(Main[[#This Row],[Comments]])))</f>
        <v/>
      </c>
      <c r="H1346" s="112" t="str">
        <f>IF(AND(Main[[#This Row],[In Stock Date]]&lt;&gt;"",Main[[#This Row],[Revised Due Date]]&lt;&gt;""),Main[[#This Row],[In Stock Date]]-Main[[#This Row],[Revised Due Date]],"")</f>
        <v/>
      </c>
      <c r="I1346" s="108" t="s">
        <v>434</v>
      </c>
      <c r="J1346" s="108" t="s">
        <v>70</v>
      </c>
      <c r="K1346" s="145" t="s">
        <v>1944</v>
      </c>
      <c r="L1346" s="110">
        <v>40513</v>
      </c>
      <c r="M1346" s="113" t="str">
        <f>IF(Main[[#This Row],[Tech Start Date]]&lt;1/1/1990,"",IF(Main[[#This Row],[Class]]="C",WORKDAY(Main[[#This Row],[Tech Start Date]],9),IF(Main[[#This Row],[Class]]="B", WORKDAY(Main[[#This Row],[Tech Start Date]],6),IF(Main[[#This Row],[Class]]="A",WORKDAY(Main[[#This Row],[Tech Start Date]],2),""))))</f>
        <v/>
      </c>
      <c r="N1346" s="113" t="str">
        <f>IF(Main[[#This Row],[Tech Start Date]]&lt;1/1/1990,"",IF(Main[[#This Row],[Class]]="C",WORKDAY(Main[[#This Row],[Tech Start Date]],19),IF(Main[[#This Row],[Class]]="B", WORKDAY(Main[[#This Row],[Tech Start Date]],12),IF(Main[[#This Row],[Class]]="A",WORKDAY(Main[[#This Row],[Tech Start Date]],4),""))))</f>
        <v/>
      </c>
      <c r="O1346" s="113" t="str">
        <f>IF(Main[[#This Row],[Tech Start Date]]&lt;1/1/1990,"",IF(Main[[#This Row],[Class]]="C",WORKDAY(Main[[#This Row],[Tech Start Date]],23),IF(Main[[#This Row],[Class]]="B", WORKDAY(Main[[#This Row],[Tech Start Date]],15),IF(Main[[#This Row],[Class]]="A",WORKDAY(Main[[#This Row],[Tech Start Date]],5),""))))</f>
        <v/>
      </c>
      <c r="P1346" s="113" t="str">
        <f>IF(Main[[#This Row],[Tech Start Date]]&lt;1/1/1990,"",IF(Main[[#This Row],[Class]]="C",WORKDAY(Main[[#This Row],[Tech Start Date]],28),IF(Main[[#This Row],[Class]]="B", WORKDAY(Main[[#This Row],[Tech Start Date]],19),IF(Main[[#This Row],[Class]]="A",WORKDAY(Main[[#This Row],[Tech Start Date]],9),""))))</f>
        <v/>
      </c>
      <c r="Q1346" s="110">
        <v>40724</v>
      </c>
      <c r="R1346" s="110"/>
      <c r="S1346" s="108" t="s">
        <v>17</v>
      </c>
      <c r="T1346" s="114" t="s">
        <v>4</v>
      </c>
      <c r="U1346" s="108" t="s">
        <v>29</v>
      </c>
      <c r="V1346" s="108" t="s">
        <v>1935</v>
      </c>
      <c r="W1346" s="108" t="s">
        <v>1936</v>
      </c>
      <c r="X1346" s="108" t="s">
        <v>2975</v>
      </c>
      <c r="Y1346" s="129" t="s">
        <v>3190</v>
      </c>
      <c r="Z1346" s="129" t="s">
        <v>30</v>
      </c>
      <c r="AA1346" s="147" t="s">
        <v>2975</v>
      </c>
    </row>
    <row r="1347" spans="1:27" ht="18.600000000000001" customHeight="1">
      <c r="A1347" s="143" t="str">
        <f>IF(priority(Main[[#This Row],[Comments]])&lt;&gt;0, priority(Main[[#This Row],[Comments]]),"")</f>
        <v/>
      </c>
      <c r="B1347" s="128" t="s">
        <v>1740</v>
      </c>
      <c r="C1347" s="72" t="s">
        <v>72</v>
      </c>
      <c r="D1347" s="73" t="s">
        <v>788</v>
      </c>
      <c r="E1347" s="74"/>
      <c r="F1347" s="74">
        <v>40513</v>
      </c>
      <c r="G1347" s="75" t="str">
        <f>IF(stdProdLT(Main[[#This Row],[Comments]])=0.1,"N/A",IF(stdProdLT(Main[[#This Row],[Comments]])=0,"",stdProdLT(Main[[#This Row],[Comments]])))</f>
        <v/>
      </c>
      <c r="H1347" s="76" t="str">
        <f>IF(AND(Main[[#This Row],[In Stock Date]]&lt;&gt;"",Main[[#This Row],[Revised Due Date]]&lt;&gt;""),Main[[#This Row],[In Stock Date]]-Main[[#This Row],[Revised Due Date]],"")</f>
        <v/>
      </c>
      <c r="I1347" s="72" t="s">
        <v>30</v>
      </c>
      <c r="J1347" s="72" t="s">
        <v>28</v>
      </c>
      <c r="K1347" s="72" t="s">
        <v>1944</v>
      </c>
      <c r="L1347" s="74">
        <v>40547</v>
      </c>
      <c r="M1347" s="77" t="str">
        <f>IF(Main[[#This Row],[Tech Start Date]]&lt;1/1/1990,"",IF(Main[[#This Row],[Class]]="C",WORKDAY(Main[[#This Row],[Tech Start Date]],9),IF(Main[[#This Row],[Class]]="B", WORKDAY(Main[[#This Row],[Tech Start Date]],6),IF(Main[[#This Row],[Class]]="A",WORKDAY(Main[[#This Row],[Tech Start Date]],2),""))))</f>
        <v/>
      </c>
      <c r="N1347" s="77" t="str">
        <f>IF(Main[[#This Row],[Tech Start Date]]&lt;1/1/1990,"",IF(Main[[#This Row],[Class]]="C",WORKDAY(Main[[#This Row],[Tech Start Date]],19),IF(Main[[#This Row],[Class]]="B", WORKDAY(Main[[#This Row],[Tech Start Date]],12),IF(Main[[#This Row],[Class]]="A",WORKDAY(Main[[#This Row],[Tech Start Date]],4),""))))</f>
        <v/>
      </c>
      <c r="O1347" s="77" t="str">
        <f>IF(Main[[#This Row],[Tech Start Date]]&lt;1/1/1990,"",IF(Main[[#This Row],[Class]]="C",WORKDAY(Main[[#This Row],[Tech Start Date]],23),IF(Main[[#This Row],[Class]]="B", WORKDAY(Main[[#This Row],[Tech Start Date]],15),IF(Main[[#This Row],[Class]]="A",WORKDAY(Main[[#This Row],[Tech Start Date]],5),""))))</f>
        <v/>
      </c>
      <c r="P1347" s="77" t="str">
        <f>IF(Main[[#This Row],[Tech Start Date]]&lt;1/1/1990,"",IF(Main[[#This Row],[Class]]="C",WORKDAY(Main[[#This Row],[Tech Start Date]],28),IF(Main[[#This Row],[Class]]="B", WORKDAY(Main[[#This Row],[Tech Start Date]],19),IF(Main[[#This Row],[Class]]="A",WORKDAY(Main[[#This Row],[Tech Start Date]],9),""))))</f>
        <v/>
      </c>
      <c r="Q1347" s="74"/>
      <c r="R1347" s="74"/>
      <c r="S1347" s="72" t="s">
        <v>17</v>
      </c>
      <c r="T1347" s="80" t="s">
        <v>4</v>
      </c>
      <c r="U1347" s="72" t="s">
        <v>14</v>
      </c>
      <c r="V1347" s="72" t="s">
        <v>1935</v>
      </c>
      <c r="W1347" s="72" t="s">
        <v>1937</v>
      </c>
      <c r="X1347" s="72" t="s">
        <v>2931</v>
      </c>
      <c r="Y1347" s="129" t="s">
        <v>3065</v>
      </c>
      <c r="Z1347" s="129" t="s">
        <v>30</v>
      </c>
      <c r="AA1347" s="147" t="s">
        <v>2931</v>
      </c>
    </row>
    <row r="1348" spans="1:27" ht="18.600000000000001" customHeight="1">
      <c r="A1348" s="143" t="str">
        <f>IF(priority(Main[[#This Row],[Comments]])&lt;&gt;0, priority(Main[[#This Row],[Comments]]),"")</f>
        <v/>
      </c>
      <c r="B1348" s="128" t="s">
        <v>1928</v>
      </c>
      <c r="C1348" s="72" t="s">
        <v>4</v>
      </c>
      <c r="D1348" s="73" t="s">
        <v>973</v>
      </c>
      <c r="E1348" s="74"/>
      <c r="F1348" s="74"/>
      <c r="G1348" s="75" t="str">
        <f>IF(stdProdLT(Main[[#This Row],[Comments]])=0.1,"N/A",IF(stdProdLT(Main[[#This Row],[Comments]])=0,"",stdProdLT(Main[[#This Row],[Comments]])))</f>
        <v/>
      </c>
      <c r="H1348" s="76" t="str">
        <f>IF(AND(Main[[#This Row],[In Stock Date]]&lt;&gt;"",Main[[#This Row],[Revised Due Date]]&lt;&gt;""),Main[[#This Row],[In Stock Date]]-Main[[#This Row],[Revised Due Date]],"")</f>
        <v/>
      </c>
      <c r="I1348" s="72" t="s">
        <v>2075</v>
      </c>
      <c r="J1348" s="72" t="s">
        <v>4</v>
      </c>
      <c r="K1348" s="72" t="s">
        <v>1944</v>
      </c>
      <c r="L1348" s="74">
        <v>40549</v>
      </c>
      <c r="M1348" s="77" t="str">
        <f>IF(Main[[#This Row],[Tech Start Date]]&lt;1/1/1990,"",IF(Main[[#This Row],[Class]]="C",WORKDAY(Main[[#This Row],[Tech Start Date]],9),IF(Main[[#This Row],[Class]]="B", WORKDAY(Main[[#This Row],[Tech Start Date]],6),IF(Main[[#This Row],[Class]]="A",WORKDAY(Main[[#This Row],[Tech Start Date]],2),""))))</f>
        <v/>
      </c>
      <c r="N1348" s="77" t="str">
        <f>IF(Main[[#This Row],[Tech Start Date]]&lt;1/1/1990,"",IF(Main[[#This Row],[Class]]="C",WORKDAY(Main[[#This Row],[Tech Start Date]],19),IF(Main[[#This Row],[Class]]="B", WORKDAY(Main[[#This Row],[Tech Start Date]],12),IF(Main[[#This Row],[Class]]="A",WORKDAY(Main[[#This Row],[Tech Start Date]],4),""))))</f>
        <v/>
      </c>
      <c r="O1348" s="77" t="str">
        <f>IF(Main[[#This Row],[Tech Start Date]]&lt;1/1/1990,"",IF(Main[[#This Row],[Class]]="C",WORKDAY(Main[[#This Row],[Tech Start Date]],23),IF(Main[[#This Row],[Class]]="B", WORKDAY(Main[[#This Row],[Tech Start Date]],15),IF(Main[[#This Row],[Class]]="A",WORKDAY(Main[[#This Row],[Tech Start Date]],5),""))))</f>
        <v/>
      </c>
      <c r="P1348" s="77" t="str">
        <f>IF(Main[[#This Row],[Tech Start Date]]&lt;1/1/1990,"",IF(Main[[#This Row],[Class]]="C",WORKDAY(Main[[#This Row],[Tech Start Date]],28),IF(Main[[#This Row],[Class]]="B", WORKDAY(Main[[#This Row],[Tech Start Date]],19),IF(Main[[#This Row],[Class]]="A",WORKDAY(Main[[#This Row],[Tech Start Date]],9),""))))</f>
        <v/>
      </c>
      <c r="Q1348" s="74">
        <v>40939</v>
      </c>
      <c r="R1348" s="74">
        <v>40939</v>
      </c>
      <c r="S1348" s="72" t="s">
        <v>11</v>
      </c>
      <c r="T1348" s="80" t="s">
        <v>4</v>
      </c>
      <c r="U1348" s="72" t="s">
        <v>14</v>
      </c>
      <c r="V1348" s="72" t="s">
        <v>1933</v>
      </c>
      <c r="W1348" s="72" t="s">
        <v>1936</v>
      </c>
      <c r="X1348" s="72" t="s">
        <v>933</v>
      </c>
      <c r="Y1348" s="129" t="s">
        <v>3079</v>
      </c>
      <c r="Z1348" s="129" t="s">
        <v>129</v>
      </c>
      <c r="AA1348" s="147" t="s">
        <v>3614</v>
      </c>
    </row>
    <row r="1349" spans="1:27" ht="18.600000000000001" customHeight="1">
      <c r="A1349" s="143" t="str">
        <f>IF(priority(Main[[#This Row],[Comments]])&lt;&gt;0, priority(Main[[#This Row],[Comments]]),"")</f>
        <v/>
      </c>
      <c r="B1349" s="128" t="s">
        <v>1927</v>
      </c>
      <c r="C1349" s="72" t="s">
        <v>4</v>
      </c>
      <c r="D1349" s="73" t="s">
        <v>971</v>
      </c>
      <c r="E1349" s="74">
        <v>40436.63890046296</v>
      </c>
      <c r="F1349" s="74"/>
      <c r="G1349" s="75" t="str">
        <f>IF(stdProdLT(Main[[#This Row],[Comments]])=0.1,"N/A",IF(stdProdLT(Main[[#This Row],[Comments]])=0,"",stdProdLT(Main[[#This Row],[Comments]])))</f>
        <v/>
      </c>
      <c r="H1349" s="76" t="str">
        <f>IF(AND(Main[[#This Row],[In Stock Date]]&lt;&gt;"",Main[[#This Row],[Revised Due Date]]&lt;&gt;""),Main[[#This Row],[In Stock Date]]-Main[[#This Row],[Revised Due Date]],"")</f>
        <v/>
      </c>
      <c r="I1349" s="72" t="s">
        <v>888</v>
      </c>
      <c r="J1349" s="72" t="s">
        <v>28</v>
      </c>
      <c r="K1349" s="72" t="s">
        <v>1944</v>
      </c>
      <c r="L1349" s="74">
        <v>40549</v>
      </c>
      <c r="M1349" s="77" t="str">
        <f>IF(Main[[#This Row],[Tech Start Date]]&lt;1/1/1990,"",IF(Main[[#This Row],[Class]]="C",WORKDAY(Main[[#This Row],[Tech Start Date]],9),IF(Main[[#This Row],[Class]]="B", WORKDAY(Main[[#This Row],[Tech Start Date]],6),IF(Main[[#This Row],[Class]]="A",WORKDAY(Main[[#This Row],[Tech Start Date]],2),""))))</f>
        <v/>
      </c>
      <c r="N1349" s="77" t="str">
        <f>IF(Main[[#This Row],[Tech Start Date]]&lt;1/1/1990,"",IF(Main[[#This Row],[Class]]="C",WORKDAY(Main[[#This Row],[Tech Start Date]],19),IF(Main[[#This Row],[Class]]="B", WORKDAY(Main[[#This Row],[Tech Start Date]],12),IF(Main[[#This Row],[Class]]="A",WORKDAY(Main[[#This Row],[Tech Start Date]],4),""))))</f>
        <v/>
      </c>
      <c r="O1349" s="77" t="str">
        <f>IF(Main[[#This Row],[Tech Start Date]]&lt;1/1/1990,"",IF(Main[[#This Row],[Class]]="C",WORKDAY(Main[[#This Row],[Tech Start Date]],23),IF(Main[[#This Row],[Class]]="B", WORKDAY(Main[[#This Row],[Tech Start Date]],15),IF(Main[[#This Row],[Class]]="A",WORKDAY(Main[[#This Row],[Tech Start Date]],5),""))))</f>
        <v/>
      </c>
      <c r="P1349" s="77" t="str">
        <f>IF(Main[[#This Row],[Tech Start Date]]&lt;1/1/1990,"",IF(Main[[#This Row],[Class]]="C",WORKDAY(Main[[#This Row],[Tech Start Date]],28),IF(Main[[#This Row],[Class]]="B", WORKDAY(Main[[#This Row],[Tech Start Date]],19),IF(Main[[#This Row],[Class]]="A",WORKDAY(Main[[#This Row],[Tech Start Date]],9),""))))</f>
        <v/>
      </c>
      <c r="Q1349" s="74">
        <v>40939</v>
      </c>
      <c r="R1349" s="74">
        <v>40939</v>
      </c>
      <c r="S1349" s="72" t="s">
        <v>17</v>
      </c>
      <c r="T1349" s="80" t="s">
        <v>972</v>
      </c>
      <c r="U1349" s="72" t="s">
        <v>29</v>
      </c>
      <c r="V1349" s="72" t="s">
        <v>1932</v>
      </c>
      <c r="W1349" s="72" t="s">
        <v>1936</v>
      </c>
      <c r="X1349" s="72" t="s">
        <v>933</v>
      </c>
      <c r="Y1349" s="129" t="s">
        <v>3069</v>
      </c>
      <c r="Z1349" s="129" t="s">
        <v>129</v>
      </c>
      <c r="AA1349" s="147" t="s">
        <v>933</v>
      </c>
    </row>
    <row r="1350" spans="1:27" ht="18.600000000000001" customHeight="1">
      <c r="A1350" s="143" t="str">
        <f>IF(priority(Main[[#This Row],[Comments]])&lt;&gt;0, priority(Main[[#This Row],[Comments]]),"")</f>
        <v/>
      </c>
      <c r="B1350" s="128" t="s">
        <v>1926</v>
      </c>
      <c r="C1350" s="72" t="s">
        <v>4</v>
      </c>
      <c r="D1350" s="73" t="s">
        <v>970</v>
      </c>
      <c r="E1350" s="74"/>
      <c r="F1350" s="74"/>
      <c r="G1350" s="75" t="str">
        <f>IF(stdProdLT(Main[[#This Row],[Comments]])=0.1,"N/A",IF(stdProdLT(Main[[#This Row],[Comments]])=0,"",stdProdLT(Main[[#This Row],[Comments]])))</f>
        <v/>
      </c>
      <c r="H1350" s="76" t="str">
        <f>IF(AND(Main[[#This Row],[In Stock Date]]&lt;&gt;"",Main[[#This Row],[Revised Due Date]]&lt;&gt;""),Main[[#This Row],[In Stock Date]]-Main[[#This Row],[Revised Due Date]],"")</f>
        <v/>
      </c>
      <c r="I1350" s="72" t="s">
        <v>888</v>
      </c>
      <c r="J1350" s="72" t="s">
        <v>28</v>
      </c>
      <c r="K1350" s="72" t="s">
        <v>1944</v>
      </c>
      <c r="L1350" s="74">
        <v>40549</v>
      </c>
      <c r="M1350" s="77" t="str">
        <f>IF(Main[[#This Row],[Tech Start Date]]&lt;1/1/1990,"",IF(Main[[#This Row],[Class]]="C",WORKDAY(Main[[#This Row],[Tech Start Date]],9),IF(Main[[#This Row],[Class]]="B", WORKDAY(Main[[#This Row],[Tech Start Date]],6),IF(Main[[#This Row],[Class]]="A",WORKDAY(Main[[#This Row],[Tech Start Date]],2),""))))</f>
        <v/>
      </c>
      <c r="N1350" s="77" t="str">
        <f>IF(Main[[#This Row],[Tech Start Date]]&lt;1/1/1990,"",IF(Main[[#This Row],[Class]]="C",WORKDAY(Main[[#This Row],[Tech Start Date]],19),IF(Main[[#This Row],[Class]]="B", WORKDAY(Main[[#This Row],[Tech Start Date]],12),IF(Main[[#This Row],[Class]]="A",WORKDAY(Main[[#This Row],[Tech Start Date]],4),""))))</f>
        <v/>
      </c>
      <c r="O1350" s="77" t="str">
        <f>IF(Main[[#This Row],[Tech Start Date]]&lt;1/1/1990,"",IF(Main[[#This Row],[Class]]="C",WORKDAY(Main[[#This Row],[Tech Start Date]],23),IF(Main[[#This Row],[Class]]="B", WORKDAY(Main[[#This Row],[Tech Start Date]],15),IF(Main[[#This Row],[Class]]="A",WORKDAY(Main[[#This Row],[Tech Start Date]],5),""))))</f>
        <v/>
      </c>
      <c r="P1350" s="77" t="str">
        <f>IF(Main[[#This Row],[Tech Start Date]]&lt;1/1/1990,"",IF(Main[[#This Row],[Class]]="C",WORKDAY(Main[[#This Row],[Tech Start Date]],28),IF(Main[[#This Row],[Class]]="B", WORKDAY(Main[[#This Row],[Tech Start Date]],19),IF(Main[[#This Row],[Class]]="A",WORKDAY(Main[[#This Row],[Tech Start Date]],9),""))))</f>
        <v/>
      </c>
      <c r="Q1350" s="74">
        <v>40939</v>
      </c>
      <c r="R1350" s="74">
        <v>40939</v>
      </c>
      <c r="S1350" s="72" t="s">
        <v>11</v>
      </c>
      <c r="T1350" s="80" t="s">
        <v>4</v>
      </c>
      <c r="U1350" s="72" t="s">
        <v>14</v>
      </c>
      <c r="V1350" s="72" t="s">
        <v>1932</v>
      </c>
      <c r="W1350" s="72" t="s">
        <v>1936</v>
      </c>
      <c r="X1350" s="72" t="s">
        <v>933</v>
      </c>
      <c r="Y1350" s="129" t="s">
        <v>3079</v>
      </c>
      <c r="Z1350" s="129" t="s">
        <v>129</v>
      </c>
      <c r="AA1350" s="147" t="s">
        <v>3614</v>
      </c>
    </row>
    <row r="1351" spans="1:27" ht="18.600000000000001" customHeight="1">
      <c r="A1351" s="143" t="str">
        <f>IF(priority(Main[[#This Row],[Comments]])&lt;&gt;0, priority(Main[[#This Row],[Comments]]),"")</f>
        <v/>
      </c>
      <c r="B1351" s="128" t="s">
        <v>1929</v>
      </c>
      <c r="C1351" s="72" t="s">
        <v>4</v>
      </c>
      <c r="D1351" s="73" t="s">
        <v>974</v>
      </c>
      <c r="E1351" s="74"/>
      <c r="F1351" s="74"/>
      <c r="G1351" s="75" t="str">
        <f>IF(stdProdLT(Main[[#This Row],[Comments]])=0.1,"N/A",IF(stdProdLT(Main[[#This Row],[Comments]])=0,"",stdProdLT(Main[[#This Row],[Comments]])))</f>
        <v/>
      </c>
      <c r="H1351" s="76" t="str">
        <f>IF(AND(Main[[#This Row],[In Stock Date]]&lt;&gt;"",Main[[#This Row],[Revised Due Date]]&lt;&gt;""),Main[[#This Row],[In Stock Date]]-Main[[#This Row],[Revised Due Date]],"")</f>
        <v/>
      </c>
      <c r="I1351" s="72" t="s">
        <v>933</v>
      </c>
      <c r="J1351" s="72" t="s">
        <v>4</v>
      </c>
      <c r="K1351" s="81" t="s">
        <v>1944</v>
      </c>
      <c r="L1351" s="74">
        <v>40549</v>
      </c>
      <c r="M1351" s="77" t="str">
        <f>IF(Main[[#This Row],[Tech Start Date]]&lt;1/1/1990,"",IF(Main[[#This Row],[Class]]="C",WORKDAY(Main[[#This Row],[Tech Start Date]],9),IF(Main[[#This Row],[Class]]="B", WORKDAY(Main[[#This Row],[Tech Start Date]],6),IF(Main[[#This Row],[Class]]="A",WORKDAY(Main[[#This Row],[Tech Start Date]],2),""))))</f>
        <v/>
      </c>
      <c r="N1351" s="77" t="str">
        <f>IF(Main[[#This Row],[Tech Start Date]]&lt;1/1/1990,"",IF(Main[[#This Row],[Class]]="C",WORKDAY(Main[[#This Row],[Tech Start Date]],19),IF(Main[[#This Row],[Class]]="B", WORKDAY(Main[[#This Row],[Tech Start Date]],12),IF(Main[[#This Row],[Class]]="A",WORKDAY(Main[[#This Row],[Tech Start Date]],4),""))))</f>
        <v/>
      </c>
      <c r="O1351" s="77" t="str">
        <f>IF(Main[[#This Row],[Tech Start Date]]&lt;1/1/1990,"",IF(Main[[#This Row],[Class]]="C",WORKDAY(Main[[#This Row],[Tech Start Date]],23),IF(Main[[#This Row],[Class]]="B", WORKDAY(Main[[#This Row],[Tech Start Date]],15),IF(Main[[#This Row],[Class]]="A",WORKDAY(Main[[#This Row],[Tech Start Date]],5),""))))</f>
        <v/>
      </c>
      <c r="P1351" s="77" t="str">
        <f>IF(Main[[#This Row],[Tech Start Date]]&lt;1/1/1990,"",IF(Main[[#This Row],[Class]]="C",WORKDAY(Main[[#This Row],[Tech Start Date]],28),IF(Main[[#This Row],[Class]]="B", WORKDAY(Main[[#This Row],[Tech Start Date]],19),IF(Main[[#This Row],[Class]]="A",WORKDAY(Main[[#This Row],[Tech Start Date]],9),""))))</f>
        <v/>
      </c>
      <c r="Q1351" s="74">
        <v>40939</v>
      </c>
      <c r="R1351" s="74">
        <v>40939</v>
      </c>
      <c r="S1351" s="72" t="s">
        <v>11</v>
      </c>
      <c r="T1351" s="80" t="s">
        <v>4</v>
      </c>
      <c r="U1351" s="72" t="s">
        <v>14</v>
      </c>
      <c r="V1351" s="72" t="s">
        <v>1932</v>
      </c>
      <c r="W1351" s="72" t="s">
        <v>1936</v>
      </c>
      <c r="X1351" s="72" t="s">
        <v>933</v>
      </c>
      <c r="Y1351" s="129" t="s">
        <v>3079</v>
      </c>
      <c r="Z1351" s="129" t="s">
        <v>129</v>
      </c>
      <c r="AA1351" s="147" t="s">
        <v>3614</v>
      </c>
    </row>
    <row r="1352" spans="1:27" ht="18.600000000000001" customHeight="1">
      <c r="A1352" s="143" t="str">
        <f>IF(priority(Main[[#This Row],[Comments]])&lt;&gt;0, priority(Main[[#This Row],[Comments]]),"")</f>
        <v/>
      </c>
      <c r="B1352" s="128" t="s">
        <v>1884</v>
      </c>
      <c r="C1352" s="108" t="s">
        <v>4</v>
      </c>
      <c r="D1352" s="109" t="s">
        <v>2042</v>
      </c>
      <c r="E1352" s="110">
        <v>40478.350138888891</v>
      </c>
      <c r="F1352" s="110"/>
      <c r="G1352" s="111" t="str">
        <f>IF(stdProdLT(Main[[#This Row],[Comments]])=0.1,"N/A",IF(stdProdLT(Main[[#This Row],[Comments]])=0,"",stdProdLT(Main[[#This Row],[Comments]])))</f>
        <v/>
      </c>
      <c r="H1352" s="112" t="str">
        <f>IF(AND(Main[[#This Row],[In Stock Date]]&lt;&gt;"",Main[[#This Row],[Revised Due Date]]&lt;&gt;""),Main[[#This Row],[In Stock Date]]-Main[[#This Row],[Revised Due Date]],"")</f>
        <v/>
      </c>
      <c r="I1352" s="108" t="s">
        <v>933</v>
      </c>
      <c r="J1352" s="108" t="s">
        <v>28</v>
      </c>
      <c r="K1352" s="108" t="s">
        <v>1944</v>
      </c>
      <c r="L1352" s="110">
        <v>40554</v>
      </c>
      <c r="M1352" s="113" t="str">
        <f>IF(Main[[#This Row],[Tech Start Date]]&lt;1/1/1990,"",IF(Main[[#This Row],[Class]]="C",WORKDAY(Main[[#This Row],[Tech Start Date]],9),IF(Main[[#This Row],[Class]]="B", WORKDAY(Main[[#This Row],[Tech Start Date]],6),IF(Main[[#This Row],[Class]]="A",WORKDAY(Main[[#This Row],[Tech Start Date]],2),""))))</f>
        <v/>
      </c>
      <c r="N1352" s="113" t="str">
        <f>IF(Main[[#This Row],[Tech Start Date]]&lt;1/1/1990,"",IF(Main[[#This Row],[Class]]="C",WORKDAY(Main[[#This Row],[Tech Start Date]],19),IF(Main[[#This Row],[Class]]="B", WORKDAY(Main[[#This Row],[Tech Start Date]],12),IF(Main[[#This Row],[Class]]="A",WORKDAY(Main[[#This Row],[Tech Start Date]],4),""))))</f>
        <v/>
      </c>
      <c r="O1352" s="113" t="str">
        <f>IF(Main[[#This Row],[Tech Start Date]]&lt;1/1/1990,"",IF(Main[[#This Row],[Class]]="C",WORKDAY(Main[[#This Row],[Tech Start Date]],23),IF(Main[[#This Row],[Class]]="B", WORKDAY(Main[[#This Row],[Tech Start Date]],15),IF(Main[[#This Row],[Class]]="A",WORKDAY(Main[[#This Row],[Tech Start Date]],5),""))))</f>
        <v/>
      </c>
      <c r="P1352" s="113" t="str">
        <f>IF(Main[[#This Row],[Tech Start Date]]&lt;1/1/1990,"",IF(Main[[#This Row],[Class]]="C",WORKDAY(Main[[#This Row],[Tech Start Date]],28),IF(Main[[#This Row],[Class]]="B", WORKDAY(Main[[#This Row],[Tech Start Date]],19),IF(Main[[#This Row],[Class]]="A",WORKDAY(Main[[#This Row],[Tech Start Date]],9),""))))</f>
        <v/>
      </c>
      <c r="Q1352" s="110">
        <v>40979</v>
      </c>
      <c r="R1352" s="110">
        <v>40979</v>
      </c>
      <c r="S1352" s="108" t="s">
        <v>17</v>
      </c>
      <c r="T1352" s="114" t="s">
        <v>934</v>
      </c>
      <c r="U1352" s="108" t="s">
        <v>29</v>
      </c>
      <c r="V1352" s="108" t="s">
        <v>1947</v>
      </c>
      <c r="W1352" s="108" t="s">
        <v>1936</v>
      </c>
      <c r="X1352" s="108" t="s">
        <v>933</v>
      </c>
      <c r="Y1352" s="129" t="s">
        <v>3069</v>
      </c>
      <c r="Z1352" s="129" t="s">
        <v>2237</v>
      </c>
      <c r="AA1352" s="147" t="s">
        <v>933</v>
      </c>
    </row>
    <row r="1353" spans="1:27" ht="18.600000000000001" customHeight="1">
      <c r="A1353" s="143" t="str">
        <f>IF(priority(Main[[#This Row],[Comments]])&lt;&gt;0, priority(Main[[#This Row],[Comments]]),"")</f>
        <v/>
      </c>
      <c r="B1353" s="128" t="s">
        <v>1886</v>
      </c>
      <c r="C1353" s="72" t="s">
        <v>4</v>
      </c>
      <c r="D1353" s="73" t="s">
        <v>936</v>
      </c>
      <c r="E1353" s="74"/>
      <c r="F1353" s="74"/>
      <c r="G1353" s="75" t="str">
        <f>IF(stdProdLT(Main[[#This Row],[Comments]])=0.1,"N/A",IF(stdProdLT(Main[[#This Row],[Comments]])=0,"",stdProdLT(Main[[#This Row],[Comments]])))</f>
        <v/>
      </c>
      <c r="H1353" s="76" t="str">
        <f>IF(AND(Main[[#This Row],[In Stock Date]]&lt;&gt;"",Main[[#This Row],[Revised Due Date]]&lt;&gt;""),Main[[#This Row],[In Stock Date]]-Main[[#This Row],[Revised Due Date]],"")</f>
        <v/>
      </c>
      <c r="I1353" s="72" t="s">
        <v>30</v>
      </c>
      <c r="J1353" s="72" t="s">
        <v>52</v>
      </c>
      <c r="K1353" s="81" t="s">
        <v>1941</v>
      </c>
      <c r="L1353" s="74">
        <v>40589</v>
      </c>
      <c r="M1353" s="77">
        <f>IF(Main[[#This Row],[Tech Start Date]]&lt;1/1/1990,"",IF(Main[[#This Row],[Class]]="C",WORKDAY(Main[[#This Row],[Tech Start Date]],9),IF(Main[[#This Row],[Class]]="B", WORKDAY(Main[[#This Row],[Tech Start Date]],6),IF(Main[[#This Row],[Class]]="A",WORKDAY(Main[[#This Row],[Tech Start Date]],2),""))))</f>
        <v>40591</v>
      </c>
      <c r="N1353" s="77">
        <f>IF(Main[[#This Row],[Tech Start Date]]&lt;1/1/1990,"",IF(Main[[#This Row],[Class]]="C",WORKDAY(Main[[#This Row],[Tech Start Date]],19),IF(Main[[#This Row],[Class]]="B", WORKDAY(Main[[#This Row],[Tech Start Date]],12),IF(Main[[#This Row],[Class]]="A",WORKDAY(Main[[#This Row],[Tech Start Date]],4),""))))</f>
        <v>40595</v>
      </c>
      <c r="O1353" s="77">
        <f>IF(Main[[#This Row],[Tech Start Date]]&lt;1/1/1990,"",IF(Main[[#This Row],[Class]]="C",WORKDAY(Main[[#This Row],[Tech Start Date]],23),IF(Main[[#This Row],[Class]]="B", WORKDAY(Main[[#This Row],[Tech Start Date]],15),IF(Main[[#This Row],[Class]]="A",WORKDAY(Main[[#This Row],[Tech Start Date]],5),""))))</f>
        <v>40596</v>
      </c>
      <c r="P1353" s="77">
        <f>IF(Main[[#This Row],[Tech Start Date]]&lt;1/1/1990,"",IF(Main[[#This Row],[Class]]="C",WORKDAY(Main[[#This Row],[Tech Start Date]],28),IF(Main[[#This Row],[Class]]="B", WORKDAY(Main[[#This Row],[Tech Start Date]],19),IF(Main[[#This Row],[Class]]="A",WORKDAY(Main[[#This Row],[Tech Start Date]],9),""))))</f>
        <v>40602</v>
      </c>
      <c r="Q1353" s="74">
        <v>40592</v>
      </c>
      <c r="R1353" s="74">
        <v>40624</v>
      </c>
      <c r="S1353" s="72" t="s">
        <v>6</v>
      </c>
      <c r="T1353" s="80" t="s">
        <v>4</v>
      </c>
      <c r="U1353" s="72" t="s">
        <v>14</v>
      </c>
      <c r="V1353" s="72" t="s">
        <v>1935</v>
      </c>
      <c r="W1353" s="72" t="s">
        <v>1934</v>
      </c>
      <c r="X1353" s="72" t="s">
        <v>30</v>
      </c>
      <c r="Y1353" s="129" t="s">
        <v>3102</v>
      </c>
      <c r="Z1353" s="129" t="s">
        <v>30</v>
      </c>
      <c r="AA1353" s="147" t="s">
        <v>3588</v>
      </c>
    </row>
    <row r="1354" spans="1:27" ht="18.600000000000001" customHeight="1">
      <c r="A1354" s="143" t="str">
        <f>IF(priority(Main[[#This Row],[Comments]])&lt;&gt;0, priority(Main[[#This Row],[Comments]]),"")</f>
        <v/>
      </c>
      <c r="B1354" s="128" t="s">
        <v>1883</v>
      </c>
      <c r="C1354" s="72" t="s">
        <v>4</v>
      </c>
      <c r="D1354" s="73" t="s">
        <v>932</v>
      </c>
      <c r="E1354" s="74">
        <v>40590.540578703702</v>
      </c>
      <c r="F1354" s="74"/>
      <c r="G1354" s="75" t="str">
        <f>IF(stdProdLT(Main[[#This Row],[Comments]])=0.1,"N/A",IF(stdProdLT(Main[[#This Row],[Comments]])=0,"",stdProdLT(Main[[#This Row],[Comments]])))</f>
        <v/>
      </c>
      <c r="H1354" s="76" t="str">
        <f>IF(AND(Main[[#This Row],[In Stock Date]]&lt;&gt;"",Main[[#This Row],[Revised Due Date]]&lt;&gt;""),Main[[#This Row],[In Stock Date]]-Main[[#This Row],[Revised Due Date]],"")</f>
        <v/>
      </c>
      <c r="I1354" s="72" t="s">
        <v>4</v>
      </c>
      <c r="J1354" s="72" t="s">
        <v>28</v>
      </c>
      <c r="K1354" s="72" t="s">
        <v>1941</v>
      </c>
      <c r="L1354" s="74">
        <v>40590</v>
      </c>
      <c r="M1354" s="77">
        <f>IF(Main[[#This Row],[Tech Start Date]]&lt;1/1/1990,"",IF(Main[[#This Row],[Class]]="C",WORKDAY(Main[[#This Row],[Tech Start Date]],9),IF(Main[[#This Row],[Class]]="B", WORKDAY(Main[[#This Row],[Tech Start Date]],6),IF(Main[[#This Row],[Class]]="A",WORKDAY(Main[[#This Row],[Tech Start Date]],2),""))))</f>
        <v>40592</v>
      </c>
      <c r="N1354" s="77">
        <f>IF(Main[[#This Row],[Tech Start Date]]&lt;1/1/1990,"",IF(Main[[#This Row],[Class]]="C",WORKDAY(Main[[#This Row],[Tech Start Date]],19),IF(Main[[#This Row],[Class]]="B", WORKDAY(Main[[#This Row],[Tech Start Date]],12),IF(Main[[#This Row],[Class]]="A",WORKDAY(Main[[#This Row],[Tech Start Date]],4),""))))</f>
        <v>40596</v>
      </c>
      <c r="O1354" s="77">
        <f>IF(Main[[#This Row],[Tech Start Date]]&lt;1/1/1990,"",IF(Main[[#This Row],[Class]]="C",WORKDAY(Main[[#This Row],[Tech Start Date]],23),IF(Main[[#This Row],[Class]]="B", WORKDAY(Main[[#This Row],[Tech Start Date]],15),IF(Main[[#This Row],[Class]]="A",WORKDAY(Main[[#This Row],[Tech Start Date]],5),""))))</f>
        <v>40597</v>
      </c>
      <c r="P1354" s="77">
        <f>IF(Main[[#This Row],[Tech Start Date]]&lt;1/1/1990,"",IF(Main[[#This Row],[Class]]="C",WORKDAY(Main[[#This Row],[Tech Start Date]],28),IF(Main[[#This Row],[Class]]="B", WORKDAY(Main[[#This Row],[Tech Start Date]],19),IF(Main[[#This Row],[Class]]="A",WORKDAY(Main[[#This Row],[Tech Start Date]],9),""))))</f>
        <v>40603</v>
      </c>
      <c r="Q1354" s="74">
        <v>40618</v>
      </c>
      <c r="R1354" s="74">
        <v>40604</v>
      </c>
      <c r="S1354" s="72" t="s">
        <v>6</v>
      </c>
      <c r="T1354" s="80" t="s">
        <v>4</v>
      </c>
      <c r="U1354" s="72" t="s">
        <v>29</v>
      </c>
      <c r="V1354" s="72" t="s">
        <v>1932</v>
      </c>
      <c r="W1354" s="72" t="s">
        <v>1936</v>
      </c>
      <c r="X1354" s="72" t="s">
        <v>2920</v>
      </c>
      <c r="Y1354" s="129" t="s">
        <v>3052</v>
      </c>
      <c r="Z1354" s="129" t="s">
        <v>4</v>
      </c>
      <c r="AA1354" s="147" t="s">
        <v>2920</v>
      </c>
    </row>
    <row r="1355" spans="1:27" ht="18.600000000000001" customHeight="1">
      <c r="A1355" s="143" t="str">
        <f>IF(priority(Main[[#This Row],[Comments]])&lt;&gt;0, priority(Main[[#This Row],[Comments]]),"")</f>
        <v/>
      </c>
      <c r="B1355" s="128" t="s">
        <v>1887</v>
      </c>
      <c r="C1355" s="72" t="s">
        <v>4</v>
      </c>
      <c r="D1355" s="73" t="s">
        <v>2275</v>
      </c>
      <c r="E1355" s="74">
        <v>40577.592002314814</v>
      </c>
      <c r="F1355" s="74"/>
      <c r="G1355" s="75" t="str">
        <f>IF(stdProdLT(Main[[#This Row],[Comments]])=0.1,"N/A",IF(stdProdLT(Main[[#This Row],[Comments]])=0,"",stdProdLT(Main[[#This Row],[Comments]])))</f>
        <v/>
      </c>
      <c r="H1355" s="76" t="str">
        <f>IF(AND(Main[[#This Row],[In Stock Date]]&lt;&gt;"",Main[[#This Row],[Revised Due Date]]&lt;&gt;""),Main[[#This Row],[In Stock Date]]-Main[[#This Row],[Revised Due Date]],"")</f>
        <v/>
      </c>
      <c r="I1355" s="72" t="s">
        <v>923</v>
      </c>
      <c r="J1355" s="72" t="s">
        <v>28</v>
      </c>
      <c r="K1355" s="72" t="s">
        <v>1941</v>
      </c>
      <c r="L1355" s="74">
        <v>40591</v>
      </c>
      <c r="M1355" s="77">
        <f>IF(Main[[#This Row],[Tech Start Date]]&lt;1/1/1990,"",IF(Main[[#This Row],[Class]]="C",WORKDAY(Main[[#This Row],[Tech Start Date]],9),IF(Main[[#This Row],[Class]]="B", WORKDAY(Main[[#This Row],[Tech Start Date]],6),IF(Main[[#This Row],[Class]]="A",WORKDAY(Main[[#This Row],[Tech Start Date]],2),""))))</f>
        <v>40595</v>
      </c>
      <c r="N1355" s="77">
        <f>IF(Main[[#This Row],[Tech Start Date]]&lt;1/1/1990,"",IF(Main[[#This Row],[Class]]="C",WORKDAY(Main[[#This Row],[Tech Start Date]],19),IF(Main[[#This Row],[Class]]="B", WORKDAY(Main[[#This Row],[Tech Start Date]],12),IF(Main[[#This Row],[Class]]="A",WORKDAY(Main[[#This Row],[Tech Start Date]],4),""))))</f>
        <v>40597</v>
      </c>
      <c r="O1355" s="77">
        <f>IF(Main[[#This Row],[Tech Start Date]]&lt;1/1/1990,"",IF(Main[[#This Row],[Class]]="C",WORKDAY(Main[[#This Row],[Tech Start Date]],23),IF(Main[[#This Row],[Class]]="B", WORKDAY(Main[[#This Row],[Tech Start Date]],15),IF(Main[[#This Row],[Class]]="A",WORKDAY(Main[[#This Row],[Tech Start Date]],5),""))))</f>
        <v>40598</v>
      </c>
      <c r="P1355" s="77">
        <f>IF(Main[[#This Row],[Tech Start Date]]&lt;1/1/1990,"",IF(Main[[#This Row],[Class]]="C",WORKDAY(Main[[#This Row],[Tech Start Date]],28),IF(Main[[#This Row],[Class]]="B", WORKDAY(Main[[#This Row],[Tech Start Date]],19),IF(Main[[#This Row],[Class]]="A",WORKDAY(Main[[#This Row],[Tech Start Date]],9),""))))</f>
        <v>40604</v>
      </c>
      <c r="Q1355" s="74">
        <v>40626</v>
      </c>
      <c r="R1355" s="74">
        <v>40626</v>
      </c>
      <c r="S1355" s="72" t="s">
        <v>6</v>
      </c>
      <c r="T1355" s="80" t="s">
        <v>4</v>
      </c>
      <c r="U1355" s="72" t="s">
        <v>29</v>
      </c>
      <c r="V1355" s="72" t="s">
        <v>1932</v>
      </c>
      <c r="W1355" s="72" t="s">
        <v>1934</v>
      </c>
      <c r="X1355" s="72" t="s">
        <v>403</v>
      </c>
      <c r="Y1355" s="129" t="s">
        <v>3197</v>
      </c>
      <c r="Z1355" s="129" t="s">
        <v>923</v>
      </c>
      <c r="AA1355" s="147" t="s">
        <v>3562</v>
      </c>
    </row>
    <row r="1356" spans="1:27" ht="18.600000000000001" customHeight="1">
      <c r="A1356" s="143" t="str">
        <f>IF(priority(Main[[#This Row],[Comments]])&lt;&gt;0, priority(Main[[#This Row],[Comments]]),"")</f>
        <v/>
      </c>
      <c r="B1356" s="128" t="s">
        <v>1910</v>
      </c>
      <c r="C1356" s="108" t="s">
        <v>959</v>
      </c>
      <c r="D1356" s="109" t="s">
        <v>1980</v>
      </c>
      <c r="E1356" s="110"/>
      <c r="F1356" s="110">
        <v>40709</v>
      </c>
      <c r="G1356" s="111" t="str">
        <f>IF(stdProdLT(Main[[#This Row],[Comments]])=0.1,"N/A",IF(stdProdLT(Main[[#This Row],[Comments]])=0,"",stdProdLT(Main[[#This Row],[Comments]])))</f>
        <v/>
      </c>
      <c r="H1356" s="112">
        <f>IF(AND(Main[[#This Row],[In Stock Date]]&lt;&gt;"",Main[[#This Row],[Revised Due Date]]&lt;&gt;""),Main[[#This Row],[In Stock Date]]-Main[[#This Row],[Revised Due Date]],"")</f>
        <v>-44</v>
      </c>
      <c r="I1356" s="108" t="s">
        <v>918</v>
      </c>
      <c r="J1356" s="108" t="s">
        <v>28</v>
      </c>
      <c r="K1356" s="145" t="s">
        <v>1939</v>
      </c>
      <c r="L1356" s="110">
        <v>40612</v>
      </c>
      <c r="M1356" s="113">
        <f>IF(Main[[#This Row],[Tech Start Date]]&lt;1/1/1990,"",IF(Main[[#This Row],[Class]]="C",WORKDAY(Main[[#This Row],[Tech Start Date]],9),IF(Main[[#This Row],[Class]]="B", WORKDAY(Main[[#This Row],[Tech Start Date]],6),IF(Main[[#This Row],[Class]]="A",WORKDAY(Main[[#This Row],[Tech Start Date]],2),""))))</f>
        <v>40620</v>
      </c>
      <c r="N1356" s="113">
        <f>IF(Main[[#This Row],[Tech Start Date]]&lt;1/1/1990,"",IF(Main[[#This Row],[Class]]="C",WORKDAY(Main[[#This Row],[Tech Start Date]],19),IF(Main[[#This Row],[Class]]="B", WORKDAY(Main[[#This Row],[Tech Start Date]],12),IF(Main[[#This Row],[Class]]="A",WORKDAY(Main[[#This Row],[Tech Start Date]],4),""))))</f>
        <v>40630</v>
      </c>
      <c r="O1356" s="113">
        <f>IF(Main[[#This Row],[Tech Start Date]]&lt;1/1/1990,"",IF(Main[[#This Row],[Class]]="C",WORKDAY(Main[[#This Row],[Tech Start Date]],23),IF(Main[[#This Row],[Class]]="B", WORKDAY(Main[[#This Row],[Tech Start Date]],15),IF(Main[[#This Row],[Class]]="A",WORKDAY(Main[[#This Row],[Tech Start Date]],5),""))))</f>
        <v>40633</v>
      </c>
      <c r="P1356" s="113">
        <f>IF(Main[[#This Row],[Tech Start Date]]&lt;1/1/1990,"",IF(Main[[#This Row],[Class]]="C",WORKDAY(Main[[#This Row],[Tech Start Date]],28),IF(Main[[#This Row],[Class]]="B", WORKDAY(Main[[#This Row],[Tech Start Date]],19),IF(Main[[#This Row],[Class]]="A",WORKDAY(Main[[#This Row],[Tech Start Date]],9),""))))</f>
        <v>40639</v>
      </c>
      <c r="Q1356" s="110"/>
      <c r="R1356" s="110">
        <v>40753</v>
      </c>
      <c r="S1356" s="108" t="s">
        <v>11</v>
      </c>
      <c r="T1356" s="114" t="s">
        <v>2022</v>
      </c>
      <c r="U1356" s="108" t="s">
        <v>14</v>
      </c>
      <c r="V1356" s="108" t="s">
        <v>1932</v>
      </c>
      <c r="W1356" s="108" t="s">
        <v>1937</v>
      </c>
      <c r="X1356" s="108" t="s">
        <v>50</v>
      </c>
      <c r="Y1356" s="129" t="s">
        <v>3236</v>
      </c>
      <c r="Z1356" s="129" t="s">
        <v>888</v>
      </c>
      <c r="AA1356" s="147" t="s">
        <v>3660</v>
      </c>
    </row>
    <row r="1357" spans="1:27" ht="18.600000000000001" customHeight="1">
      <c r="A1357" s="143" t="str">
        <f>IF(priority(Main[[#This Row],[Comments]])&lt;&gt;0, priority(Main[[#This Row],[Comments]]),"")</f>
        <v/>
      </c>
      <c r="B1357" s="128" t="s">
        <v>1914</v>
      </c>
      <c r="C1357" s="72" t="s">
        <v>961</v>
      </c>
      <c r="D1357" s="73" t="s">
        <v>962</v>
      </c>
      <c r="E1357" s="74"/>
      <c r="F1357" s="74">
        <v>40775</v>
      </c>
      <c r="G1357" s="75" t="str">
        <f>IF(stdProdLT(Main[[#This Row],[Comments]])=0.1,"N/A",IF(stdProdLT(Main[[#This Row],[Comments]])=0,"",stdProdLT(Main[[#This Row],[Comments]])))</f>
        <v/>
      </c>
      <c r="H1357" s="76">
        <f>IF(AND(Main[[#This Row],[In Stock Date]]&lt;&gt;"",Main[[#This Row],[Revised Due Date]]&lt;&gt;""),Main[[#This Row],[In Stock Date]]-Main[[#This Row],[Revised Due Date]],"")</f>
        <v>51</v>
      </c>
      <c r="I1357" s="72" t="s">
        <v>900</v>
      </c>
      <c r="J1357" s="72" t="s">
        <v>28</v>
      </c>
      <c r="K1357" s="72" t="s">
        <v>1944</v>
      </c>
      <c r="L1357" s="74">
        <v>40619</v>
      </c>
      <c r="M1357" s="77" t="str">
        <f>IF(Main[[#This Row],[Tech Start Date]]&lt;1/1/1990,"",IF(Main[[#This Row],[Class]]="C",WORKDAY(Main[[#This Row],[Tech Start Date]],9),IF(Main[[#This Row],[Class]]="B", WORKDAY(Main[[#This Row],[Tech Start Date]],6),IF(Main[[#This Row],[Class]]="A",WORKDAY(Main[[#This Row],[Tech Start Date]],2),""))))</f>
        <v/>
      </c>
      <c r="N1357" s="77" t="str">
        <f>IF(Main[[#This Row],[Tech Start Date]]&lt;1/1/1990,"",IF(Main[[#This Row],[Class]]="C",WORKDAY(Main[[#This Row],[Tech Start Date]],19),IF(Main[[#This Row],[Class]]="B", WORKDAY(Main[[#This Row],[Tech Start Date]],12),IF(Main[[#This Row],[Class]]="A",WORKDAY(Main[[#This Row],[Tech Start Date]],4),""))))</f>
        <v/>
      </c>
      <c r="O1357" s="77" t="str">
        <f>IF(Main[[#This Row],[Tech Start Date]]&lt;1/1/1990,"",IF(Main[[#This Row],[Class]]="C",WORKDAY(Main[[#This Row],[Tech Start Date]],23),IF(Main[[#This Row],[Class]]="B", WORKDAY(Main[[#This Row],[Tech Start Date]],15),IF(Main[[#This Row],[Class]]="A",WORKDAY(Main[[#This Row],[Tech Start Date]],5),""))))</f>
        <v/>
      </c>
      <c r="P1357" s="77" t="str">
        <f>IF(Main[[#This Row],[Tech Start Date]]&lt;1/1/1990,"",IF(Main[[#This Row],[Class]]="C",WORKDAY(Main[[#This Row],[Tech Start Date]],28),IF(Main[[#This Row],[Class]]="B", WORKDAY(Main[[#This Row],[Tech Start Date]],19),IF(Main[[#This Row],[Class]]="A",WORKDAY(Main[[#This Row],[Tech Start Date]],9),""))))</f>
        <v/>
      </c>
      <c r="Q1357" s="74">
        <v>40635</v>
      </c>
      <c r="R1357" s="74">
        <v>40724</v>
      </c>
      <c r="S1357" s="72" t="s">
        <v>11</v>
      </c>
      <c r="T1357" s="80" t="s">
        <v>4</v>
      </c>
      <c r="U1357" s="72" t="s">
        <v>14</v>
      </c>
      <c r="V1357" s="72" t="s">
        <v>1933</v>
      </c>
      <c r="W1357" s="72" t="s">
        <v>1940</v>
      </c>
      <c r="X1357" s="72" t="s">
        <v>2988</v>
      </c>
      <c r="Y1357" s="129" t="s">
        <v>4</v>
      </c>
      <c r="Z1357" s="129" t="s">
        <v>888</v>
      </c>
      <c r="AA1357" s="147" t="s">
        <v>2988</v>
      </c>
    </row>
    <row r="1358" spans="1:27" ht="18.600000000000001" customHeight="1">
      <c r="A1358" s="143" t="str">
        <f>IF(priority(Main[[#This Row],[Comments]])&lt;&gt;0, priority(Main[[#This Row],[Comments]]),"")</f>
        <v/>
      </c>
      <c r="B1358" s="128" t="s">
        <v>1906</v>
      </c>
      <c r="C1358" s="108" t="s">
        <v>116</v>
      </c>
      <c r="D1358" s="109" t="s">
        <v>955</v>
      </c>
      <c r="E1358" s="110"/>
      <c r="F1358" s="110">
        <v>40725</v>
      </c>
      <c r="G1358" s="111" t="str">
        <f>IF(stdProdLT(Main[[#This Row],[Comments]])=0.1,"N/A",IF(stdProdLT(Main[[#This Row],[Comments]])=0,"",stdProdLT(Main[[#This Row],[Comments]])))</f>
        <v/>
      </c>
      <c r="H1358" s="112">
        <f>IF(AND(Main[[#This Row],[In Stock Date]]&lt;&gt;"",Main[[#This Row],[Revised Due Date]]&lt;&gt;""),Main[[#This Row],[In Stock Date]]-Main[[#This Row],[Revised Due Date]],"")</f>
        <v>11</v>
      </c>
      <c r="I1358" s="108" t="s">
        <v>173</v>
      </c>
      <c r="J1358" s="108" t="s">
        <v>28</v>
      </c>
      <c r="K1358" s="108" t="s">
        <v>1941</v>
      </c>
      <c r="L1358" s="110">
        <v>40623</v>
      </c>
      <c r="M1358" s="113">
        <f>IF(Main[[#This Row],[Tech Start Date]]&lt;1/1/1990,"",IF(Main[[#This Row],[Class]]="C",WORKDAY(Main[[#This Row],[Tech Start Date]],9),IF(Main[[#This Row],[Class]]="B", WORKDAY(Main[[#This Row],[Tech Start Date]],6),IF(Main[[#This Row],[Class]]="A",WORKDAY(Main[[#This Row],[Tech Start Date]],2),""))))</f>
        <v>40625</v>
      </c>
      <c r="N1358" s="113">
        <f>IF(Main[[#This Row],[Tech Start Date]]&lt;1/1/1990,"",IF(Main[[#This Row],[Class]]="C",WORKDAY(Main[[#This Row],[Tech Start Date]],19),IF(Main[[#This Row],[Class]]="B", WORKDAY(Main[[#This Row],[Tech Start Date]],12),IF(Main[[#This Row],[Class]]="A",WORKDAY(Main[[#This Row],[Tech Start Date]],4),""))))</f>
        <v>40627</v>
      </c>
      <c r="O1358" s="113">
        <f>IF(Main[[#This Row],[Tech Start Date]]&lt;1/1/1990,"",IF(Main[[#This Row],[Class]]="C",WORKDAY(Main[[#This Row],[Tech Start Date]],23),IF(Main[[#This Row],[Class]]="B", WORKDAY(Main[[#This Row],[Tech Start Date]],15),IF(Main[[#This Row],[Class]]="A",WORKDAY(Main[[#This Row],[Tech Start Date]],5),""))))</f>
        <v>40630</v>
      </c>
      <c r="P1358" s="113">
        <f>IF(Main[[#This Row],[Tech Start Date]]&lt;1/1/1990,"",IF(Main[[#This Row],[Class]]="C",WORKDAY(Main[[#This Row],[Tech Start Date]],28),IF(Main[[#This Row],[Class]]="B", WORKDAY(Main[[#This Row],[Tech Start Date]],19),IF(Main[[#This Row],[Class]]="A",WORKDAY(Main[[#This Row],[Tech Start Date]],9),""))))</f>
        <v>40634</v>
      </c>
      <c r="Q1358" s="110">
        <v>40714</v>
      </c>
      <c r="R1358" s="110">
        <v>40714</v>
      </c>
      <c r="S1358" s="108" t="s">
        <v>11</v>
      </c>
      <c r="T1358" s="114" t="s">
        <v>956</v>
      </c>
      <c r="U1358" s="108" t="s">
        <v>14</v>
      </c>
      <c r="V1358" s="108" t="s">
        <v>1935</v>
      </c>
      <c r="W1358" s="108" t="s">
        <v>1937</v>
      </c>
      <c r="X1358" s="108" t="s">
        <v>2929</v>
      </c>
      <c r="Y1358" s="129" t="s">
        <v>3152</v>
      </c>
      <c r="Z1358" s="129" t="s">
        <v>173</v>
      </c>
      <c r="AA1358" s="147" t="s">
        <v>2929</v>
      </c>
    </row>
    <row r="1359" spans="1:27" ht="18.600000000000001" customHeight="1">
      <c r="A1359" s="143" t="str">
        <f>IF(priority(Main[[#This Row],[Comments]])&lt;&gt;0, priority(Main[[#This Row],[Comments]]),"")</f>
        <v/>
      </c>
      <c r="B1359" s="128" t="s">
        <v>1451</v>
      </c>
      <c r="C1359" s="129" t="s">
        <v>4</v>
      </c>
      <c r="D1359" s="161" t="s">
        <v>519</v>
      </c>
      <c r="E1359" s="163">
        <v>40623.553414351853</v>
      </c>
      <c r="F1359" s="163"/>
      <c r="G1359" s="165" t="str">
        <f>IF(stdProdLT(Main[[#This Row],[Comments]])=0.1,"N/A",IF(stdProdLT(Main[[#This Row],[Comments]])=0,"",stdProdLT(Main[[#This Row],[Comments]])))</f>
        <v/>
      </c>
      <c r="H1359" s="167" t="str">
        <f>IF(AND(Main[[#This Row],[In Stock Date]]&lt;&gt;"",Main[[#This Row],[Revised Due Date]]&lt;&gt;""),Main[[#This Row],[In Stock Date]]-Main[[#This Row],[Revised Due Date]],"")</f>
        <v/>
      </c>
      <c r="I1359" s="129" t="s">
        <v>30</v>
      </c>
      <c r="J1359" s="129" t="s">
        <v>21</v>
      </c>
      <c r="K1359" s="129" t="s">
        <v>1941</v>
      </c>
      <c r="L1359" s="163">
        <v>40623</v>
      </c>
      <c r="M1359" s="170">
        <f>IF(Main[[#This Row],[Tech Start Date]]&lt;1/1/1990,"",IF(Main[[#This Row],[Class]]="C",WORKDAY(Main[[#This Row],[Tech Start Date]],9),IF(Main[[#This Row],[Class]]="B", WORKDAY(Main[[#This Row],[Tech Start Date]],6),IF(Main[[#This Row],[Class]]="A",WORKDAY(Main[[#This Row],[Tech Start Date]],2),""))))</f>
        <v>40625</v>
      </c>
      <c r="N1359" s="170">
        <f>IF(Main[[#This Row],[Tech Start Date]]&lt;1/1/1990,"",IF(Main[[#This Row],[Class]]="C",WORKDAY(Main[[#This Row],[Tech Start Date]],19),IF(Main[[#This Row],[Class]]="B", WORKDAY(Main[[#This Row],[Tech Start Date]],12),IF(Main[[#This Row],[Class]]="A",WORKDAY(Main[[#This Row],[Tech Start Date]],4),""))))</f>
        <v>40627</v>
      </c>
      <c r="O1359" s="170">
        <f>IF(Main[[#This Row],[Tech Start Date]]&lt;1/1/1990,"",IF(Main[[#This Row],[Class]]="C",WORKDAY(Main[[#This Row],[Tech Start Date]],23),IF(Main[[#This Row],[Class]]="B", WORKDAY(Main[[#This Row],[Tech Start Date]],15),IF(Main[[#This Row],[Class]]="A",WORKDAY(Main[[#This Row],[Tech Start Date]],5),""))))</f>
        <v>40630</v>
      </c>
      <c r="P1359" s="170">
        <f>IF(Main[[#This Row],[Tech Start Date]]&lt;1/1/1990,"",IF(Main[[#This Row],[Class]]="C",WORKDAY(Main[[#This Row],[Tech Start Date]],28),IF(Main[[#This Row],[Class]]="B", WORKDAY(Main[[#This Row],[Tech Start Date]],19),IF(Main[[#This Row],[Class]]="A",WORKDAY(Main[[#This Row],[Tech Start Date]],9),""))))</f>
        <v>40634</v>
      </c>
      <c r="Q1359" s="163">
        <v>40662</v>
      </c>
      <c r="R1359" s="163"/>
      <c r="S1359" s="129" t="s">
        <v>6</v>
      </c>
      <c r="T1359" s="174" t="s">
        <v>4</v>
      </c>
      <c r="U1359" s="129" t="s">
        <v>29</v>
      </c>
      <c r="V1359" s="129" t="s">
        <v>1942</v>
      </c>
      <c r="W1359" s="129" t="s">
        <v>1936</v>
      </c>
      <c r="X1359" s="129" t="s">
        <v>30</v>
      </c>
      <c r="Y1359" s="129" t="s">
        <v>3044</v>
      </c>
      <c r="Z1359" s="129" t="s">
        <v>30</v>
      </c>
      <c r="AA1359" s="147" t="s">
        <v>30</v>
      </c>
    </row>
    <row r="1360" spans="1:27" ht="18.600000000000001" customHeight="1">
      <c r="A1360" s="143" t="str">
        <f>IF(priority(Main[[#This Row],[Comments]])&lt;&gt;0, priority(Main[[#This Row],[Comments]]),"")</f>
        <v/>
      </c>
      <c r="B1360" s="128" t="s">
        <v>1892</v>
      </c>
      <c r="C1360" s="129" t="s">
        <v>31</v>
      </c>
      <c r="D1360" s="161" t="s">
        <v>938</v>
      </c>
      <c r="E1360" s="163"/>
      <c r="F1360" s="163">
        <v>40725</v>
      </c>
      <c r="G1360" s="165" t="str">
        <f>IF(stdProdLT(Main[[#This Row],[Comments]])=0.1,"N/A",IF(stdProdLT(Main[[#This Row],[Comments]])=0,"",stdProdLT(Main[[#This Row],[Comments]])))</f>
        <v/>
      </c>
      <c r="H1360" s="167">
        <f>IF(AND(Main[[#This Row],[In Stock Date]]&lt;&gt;"",Main[[#This Row],[Revised Due Date]]&lt;&gt;""),Main[[#This Row],[In Stock Date]]-Main[[#This Row],[Revised Due Date]],"")</f>
        <v>66</v>
      </c>
      <c r="I1360" s="129" t="s">
        <v>173</v>
      </c>
      <c r="J1360" s="129" t="s">
        <v>28</v>
      </c>
      <c r="K1360" s="168" t="s">
        <v>1941</v>
      </c>
      <c r="L1360" s="163">
        <v>40623</v>
      </c>
      <c r="M1360" s="170">
        <f>IF(Main[[#This Row],[Tech Start Date]]&lt;1/1/1990,"",IF(Main[[#This Row],[Class]]="C",WORKDAY(Main[[#This Row],[Tech Start Date]],9),IF(Main[[#This Row],[Class]]="B", WORKDAY(Main[[#This Row],[Tech Start Date]],6),IF(Main[[#This Row],[Class]]="A",WORKDAY(Main[[#This Row],[Tech Start Date]],2),""))))</f>
        <v>40625</v>
      </c>
      <c r="N1360" s="170">
        <f>IF(Main[[#This Row],[Tech Start Date]]&lt;1/1/1990,"",IF(Main[[#This Row],[Class]]="C",WORKDAY(Main[[#This Row],[Tech Start Date]],19),IF(Main[[#This Row],[Class]]="B", WORKDAY(Main[[#This Row],[Tech Start Date]],12),IF(Main[[#This Row],[Class]]="A",WORKDAY(Main[[#This Row],[Tech Start Date]],4),""))))</f>
        <v>40627</v>
      </c>
      <c r="O1360" s="170">
        <f>IF(Main[[#This Row],[Tech Start Date]]&lt;1/1/1990,"",IF(Main[[#This Row],[Class]]="C",WORKDAY(Main[[#This Row],[Tech Start Date]],23),IF(Main[[#This Row],[Class]]="B", WORKDAY(Main[[#This Row],[Tech Start Date]],15),IF(Main[[#This Row],[Class]]="A",WORKDAY(Main[[#This Row],[Tech Start Date]],5),""))))</f>
        <v>40630</v>
      </c>
      <c r="P1360" s="170">
        <f>IF(Main[[#This Row],[Tech Start Date]]&lt;1/1/1990,"",IF(Main[[#This Row],[Class]]="C",WORKDAY(Main[[#This Row],[Tech Start Date]],28),IF(Main[[#This Row],[Class]]="B", WORKDAY(Main[[#This Row],[Tech Start Date]],19),IF(Main[[#This Row],[Class]]="A",WORKDAY(Main[[#This Row],[Tech Start Date]],9),""))))</f>
        <v>40634</v>
      </c>
      <c r="Q1360" s="163">
        <v>40659</v>
      </c>
      <c r="R1360" s="163">
        <v>40659</v>
      </c>
      <c r="S1360" s="129" t="s">
        <v>11</v>
      </c>
      <c r="T1360" s="174" t="s">
        <v>4</v>
      </c>
      <c r="U1360" s="129" t="s">
        <v>14</v>
      </c>
      <c r="V1360" s="129" t="s">
        <v>1935</v>
      </c>
      <c r="W1360" s="129" t="s">
        <v>1938</v>
      </c>
      <c r="X1360" s="129" t="s">
        <v>2929</v>
      </c>
      <c r="Y1360" s="129" t="s">
        <v>3152</v>
      </c>
      <c r="Z1360" s="129" t="s">
        <v>173</v>
      </c>
      <c r="AA1360" s="147" t="s">
        <v>2929</v>
      </c>
    </row>
    <row r="1361" spans="1:27" ht="18.600000000000001" customHeight="1">
      <c r="A1361" s="143" t="str">
        <f>IF(priority(Main[[#This Row],[Comments]])&lt;&gt;0, priority(Main[[#This Row],[Comments]]),"")</f>
        <v/>
      </c>
      <c r="B1361" s="128" t="s">
        <v>1894</v>
      </c>
      <c r="C1361" s="129" t="s">
        <v>4</v>
      </c>
      <c r="D1361" s="161" t="s">
        <v>940</v>
      </c>
      <c r="E1361" s="163">
        <v>40624.55673611111</v>
      </c>
      <c r="F1361" s="163"/>
      <c r="G1361" s="165" t="str">
        <f>IF(stdProdLT(Main[[#This Row],[Comments]])=0.1,"N/A",IF(stdProdLT(Main[[#This Row],[Comments]])=0,"",stdProdLT(Main[[#This Row],[Comments]])))</f>
        <v/>
      </c>
      <c r="H1361" s="167" t="str">
        <f>IF(AND(Main[[#This Row],[In Stock Date]]&lt;&gt;"",Main[[#This Row],[Revised Due Date]]&lt;&gt;""),Main[[#This Row],[In Stock Date]]-Main[[#This Row],[Revised Due Date]],"")</f>
        <v/>
      </c>
      <c r="I1361" s="129" t="s">
        <v>242</v>
      </c>
      <c r="J1361" s="129" t="s">
        <v>28</v>
      </c>
      <c r="K1361" s="129" t="s">
        <v>1941</v>
      </c>
      <c r="L1361" s="163">
        <v>40638</v>
      </c>
      <c r="M1361" s="170">
        <f>IF(Main[[#This Row],[Tech Start Date]]&lt;1/1/1990,"",IF(Main[[#This Row],[Class]]="C",WORKDAY(Main[[#This Row],[Tech Start Date]],9),IF(Main[[#This Row],[Class]]="B", WORKDAY(Main[[#This Row],[Tech Start Date]],6),IF(Main[[#This Row],[Class]]="A",WORKDAY(Main[[#This Row],[Tech Start Date]],2),""))))</f>
        <v>40640</v>
      </c>
      <c r="N1361" s="170">
        <f>IF(Main[[#This Row],[Tech Start Date]]&lt;1/1/1990,"",IF(Main[[#This Row],[Class]]="C",WORKDAY(Main[[#This Row],[Tech Start Date]],19),IF(Main[[#This Row],[Class]]="B", WORKDAY(Main[[#This Row],[Tech Start Date]],12),IF(Main[[#This Row],[Class]]="A",WORKDAY(Main[[#This Row],[Tech Start Date]],4),""))))</f>
        <v>40644</v>
      </c>
      <c r="O1361" s="170">
        <f>IF(Main[[#This Row],[Tech Start Date]]&lt;1/1/1990,"",IF(Main[[#This Row],[Class]]="C",WORKDAY(Main[[#This Row],[Tech Start Date]],23),IF(Main[[#This Row],[Class]]="B", WORKDAY(Main[[#This Row],[Tech Start Date]],15),IF(Main[[#This Row],[Class]]="A",WORKDAY(Main[[#This Row],[Tech Start Date]],5),""))))</f>
        <v>40645</v>
      </c>
      <c r="P1361" s="170">
        <f>IF(Main[[#This Row],[Tech Start Date]]&lt;1/1/1990,"",IF(Main[[#This Row],[Class]]="C",WORKDAY(Main[[#This Row],[Tech Start Date]],28),IF(Main[[#This Row],[Class]]="B", WORKDAY(Main[[#This Row],[Tech Start Date]],19),IF(Main[[#This Row],[Class]]="A",WORKDAY(Main[[#This Row],[Tech Start Date]],9),""))))</f>
        <v>40651</v>
      </c>
      <c r="Q1361" s="163"/>
      <c r="R1361" s="163">
        <v>40675</v>
      </c>
      <c r="S1361" s="129" t="s">
        <v>6</v>
      </c>
      <c r="T1361" s="174" t="s">
        <v>4</v>
      </c>
      <c r="U1361" s="129" t="s">
        <v>29</v>
      </c>
      <c r="V1361" s="129" t="s">
        <v>1935</v>
      </c>
      <c r="W1361" s="129" t="s">
        <v>1936</v>
      </c>
      <c r="X1361" s="129" t="s">
        <v>3004</v>
      </c>
      <c r="Y1361" s="129" t="s">
        <v>3237</v>
      </c>
      <c r="Z1361" s="129" t="s">
        <v>30</v>
      </c>
      <c r="AA1361" s="147" t="s">
        <v>3004</v>
      </c>
    </row>
    <row r="1362" spans="1:27" ht="18.600000000000001" customHeight="1">
      <c r="A1362" s="143" t="str">
        <f>IF(priority(Main[[#This Row],[Comments]])&lt;&gt;0, priority(Main[[#This Row],[Comments]]),"")</f>
        <v/>
      </c>
      <c r="B1362" s="128" t="s">
        <v>1890</v>
      </c>
      <c r="C1362" s="129" t="s">
        <v>4</v>
      </c>
      <c r="D1362" s="161" t="s">
        <v>2652</v>
      </c>
      <c r="E1362" s="163">
        <v>40627.819594907407</v>
      </c>
      <c r="F1362" s="163"/>
      <c r="G1362" s="165" t="str">
        <f>IF(stdProdLT(Main[[#This Row],[Comments]])=0.1,"N/A",IF(stdProdLT(Main[[#This Row],[Comments]])=0,"",stdProdLT(Main[[#This Row],[Comments]])))</f>
        <v/>
      </c>
      <c r="H1362" s="167" t="str">
        <f>IF(AND(Main[[#This Row],[In Stock Date]]&lt;&gt;"",Main[[#This Row],[Revised Due Date]]&lt;&gt;""),Main[[#This Row],[In Stock Date]]-Main[[#This Row],[Revised Due Date]],"")</f>
        <v/>
      </c>
      <c r="I1362" s="129" t="s">
        <v>30</v>
      </c>
      <c r="J1362" s="129" t="s">
        <v>75</v>
      </c>
      <c r="K1362" s="168" t="s">
        <v>1941</v>
      </c>
      <c r="L1362" s="163">
        <v>40639</v>
      </c>
      <c r="M1362" s="170">
        <f>IF(Main[[#This Row],[Tech Start Date]]&lt;1/1/1990,"",IF(Main[[#This Row],[Class]]="C",WORKDAY(Main[[#This Row],[Tech Start Date]],9),IF(Main[[#This Row],[Class]]="B", WORKDAY(Main[[#This Row],[Tech Start Date]],6),IF(Main[[#This Row],[Class]]="A",WORKDAY(Main[[#This Row],[Tech Start Date]],2),""))))</f>
        <v>40641</v>
      </c>
      <c r="N1362" s="170">
        <f>IF(Main[[#This Row],[Tech Start Date]]&lt;1/1/1990,"",IF(Main[[#This Row],[Class]]="C",WORKDAY(Main[[#This Row],[Tech Start Date]],19),IF(Main[[#This Row],[Class]]="B", WORKDAY(Main[[#This Row],[Tech Start Date]],12),IF(Main[[#This Row],[Class]]="A",WORKDAY(Main[[#This Row],[Tech Start Date]],4),""))))</f>
        <v>40645</v>
      </c>
      <c r="O1362" s="170">
        <f>IF(Main[[#This Row],[Tech Start Date]]&lt;1/1/1990,"",IF(Main[[#This Row],[Class]]="C",WORKDAY(Main[[#This Row],[Tech Start Date]],23),IF(Main[[#This Row],[Class]]="B", WORKDAY(Main[[#This Row],[Tech Start Date]],15),IF(Main[[#This Row],[Class]]="A",WORKDAY(Main[[#This Row],[Tech Start Date]],5),""))))</f>
        <v>40646</v>
      </c>
      <c r="P1362" s="170">
        <f>IF(Main[[#This Row],[Tech Start Date]]&lt;1/1/1990,"",IF(Main[[#This Row],[Class]]="C",WORKDAY(Main[[#This Row],[Tech Start Date]],28),IF(Main[[#This Row],[Class]]="B", WORKDAY(Main[[#This Row],[Tech Start Date]],19),IF(Main[[#This Row],[Class]]="A",WORKDAY(Main[[#This Row],[Tech Start Date]],9),""))))</f>
        <v>40652</v>
      </c>
      <c r="Q1362" s="163">
        <v>40659</v>
      </c>
      <c r="R1362" s="163">
        <v>40646</v>
      </c>
      <c r="S1362" s="129" t="s">
        <v>6</v>
      </c>
      <c r="T1362" s="174" t="s">
        <v>4</v>
      </c>
      <c r="U1362" s="129" t="s">
        <v>29</v>
      </c>
      <c r="V1362" s="129" t="s">
        <v>1935</v>
      </c>
      <c r="W1362" s="129" t="s">
        <v>1936</v>
      </c>
      <c r="X1362" s="129" t="s">
        <v>30</v>
      </c>
      <c r="Y1362" s="129" t="s">
        <v>3044</v>
      </c>
      <c r="Z1362" s="129" t="s">
        <v>30</v>
      </c>
      <c r="AA1362" s="147" t="s">
        <v>30</v>
      </c>
    </row>
    <row r="1363" spans="1:27" ht="18.600000000000001" customHeight="1">
      <c r="A1363" s="143" t="str">
        <f>IF(priority(Main[[#This Row],[Comments]])&lt;&gt;0, priority(Main[[#This Row],[Comments]]),"")</f>
        <v/>
      </c>
      <c r="B1363" s="128" t="s">
        <v>1896</v>
      </c>
      <c r="C1363" s="129" t="s">
        <v>4</v>
      </c>
      <c r="D1363" s="161" t="s">
        <v>942</v>
      </c>
      <c r="E1363" s="163"/>
      <c r="F1363" s="163"/>
      <c r="G1363" s="165" t="str">
        <f>IF(stdProdLT(Main[[#This Row],[Comments]])=0.1,"N/A",IF(stdProdLT(Main[[#This Row],[Comments]])=0,"",stdProdLT(Main[[#This Row],[Comments]])))</f>
        <v/>
      </c>
      <c r="H1363" s="167" t="str">
        <f>IF(AND(Main[[#This Row],[In Stock Date]]&lt;&gt;"",Main[[#This Row],[Revised Due Date]]&lt;&gt;""),Main[[#This Row],[In Stock Date]]-Main[[#This Row],[Revised Due Date]],"")</f>
        <v/>
      </c>
      <c r="I1363" s="129" t="s">
        <v>44</v>
      </c>
      <c r="J1363" s="129" t="s">
        <v>28</v>
      </c>
      <c r="K1363" s="129" t="s">
        <v>1941</v>
      </c>
      <c r="L1363" s="163">
        <v>40651</v>
      </c>
      <c r="M1363" s="170">
        <f>IF(Main[[#This Row],[Tech Start Date]]&lt;1/1/1990,"",IF(Main[[#This Row],[Class]]="C",WORKDAY(Main[[#This Row],[Tech Start Date]],9),IF(Main[[#This Row],[Class]]="B", WORKDAY(Main[[#This Row],[Tech Start Date]],6),IF(Main[[#This Row],[Class]]="A",WORKDAY(Main[[#This Row],[Tech Start Date]],2),""))))</f>
        <v>40653</v>
      </c>
      <c r="N1363" s="170">
        <f>IF(Main[[#This Row],[Tech Start Date]]&lt;1/1/1990,"",IF(Main[[#This Row],[Class]]="C",WORKDAY(Main[[#This Row],[Tech Start Date]],19),IF(Main[[#This Row],[Class]]="B", WORKDAY(Main[[#This Row],[Tech Start Date]],12),IF(Main[[#This Row],[Class]]="A",WORKDAY(Main[[#This Row],[Tech Start Date]],4),""))))</f>
        <v>40655</v>
      </c>
      <c r="O1363" s="170">
        <f>IF(Main[[#This Row],[Tech Start Date]]&lt;1/1/1990,"",IF(Main[[#This Row],[Class]]="C",WORKDAY(Main[[#This Row],[Tech Start Date]],23),IF(Main[[#This Row],[Class]]="B", WORKDAY(Main[[#This Row],[Tech Start Date]],15),IF(Main[[#This Row],[Class]]="A",WORKDAY(Main[[#This Row],[Tech Start Date]],5),""))))</f>
        <v>40658</v>
      </c>
      <c r="P1363" s="170">
        <f>IF(Main[[#This Row],[Tech Start Date]]&lt;1/1/1990,"",IF(Main[[#This Row],[Class]]="C",WORKDAY(Main[[#This Row],[Tech Start Date]],28),IF(Main[[#This Row],[Class]]="B", WORKDAY(Main[[#This Row],[Tech Start Date]],19),IF(Main[[#This Row],[Class]]="A",WORKDAY(Main[[#This Row],[Tech Start Date]],9),""))))</f>
        <v>40662</v>
      </c>
      <c r="Q1363" s="163">
        <v>40494</v>
      </c>
      <c r="R1363" s="163">
        <v>40689</v>
      </c>
      <c r="S1363" s="129" t="s">
        <v>6</v>
      </c>
      <c r="T1363" s="174" t="s">
        <v>4</v>
      </c>
      <c r="U1363" s="129" t="s">
        <v>14</v>
      </c>
      <c r="V1363" s="129" t="s">
        <v>1935</v>
      </c>
      <c r="W1363" s="129" t="s">
        <v>1936</v>
      </c>
      <c r="X1363" s="129" t="s">
        <v>2903</v>
      </c>
      <c r="Y1363" s="129" t="s">
        <v>3019</v>
      </c>
      <c r="Z1363" s="129" t="s">
        <v>44</v>
      </c>
      <c r="AA1363" s="147" t="s">
        <v>2903</v>
      </c>
    </row>
    <row r="1364" spans="1:27" ht="18.600000000000001" customHeight="1">
      <c r="A1364" s="143" t="str">
        <f>IF(priority(Main[[#This Row],[Comments]])&lt;&gt;0, priority(Main[[#This Row],[Comments]]),"")</f>
        <v/>
      </c>
      <c r="B1364" s="128" t="s">
        <v>1897</v>
      </c>
      <c r="C1364" s="129" t="s">
        <v>4</v>
      </c>
      <c r="D1364" s="161" t="s">
        <v>2160</v>
      </c>
      <c r="E1364" s="163"/>
      <c r="F1364" s="163"/>
      <c r="G1364" s="165" t="str">
        <f>IF(stdProdLT(Main[[#This Row],[Comments]])=0.1,"N/A",IF(stdProdLT(Main[[#This Row],[Comments]])=0,"",stdProdLT(Main[[#This Row],[Comments]])))</f>
        <v/>
      </c>
      <c r="H1364" s="167" t="str">
        <f>IF(AND(Main[[#This Row],[In Stock Date]]&lt;&gt;"",Main[[#This Row],[Revised Due Date]]&lt;&gt;""),Main[[#This Row],[In Stock Date]]-Main[[#This Row],[Revised Due Date]],"")</f>
        <v/>
      </c>
      <c r="I1364" s="129" t="s">
        <v>310</v>
      </c>
      <c r="J1364" s="129" t="s">
        <v>75</v>
      </c>
      <c r="K1364" s="168" t="s">
        <v>1941</v>
      </c>
      <c r="L1364" s="163">
        <v>40651</v>
      </c>
      <c r="M1364" s="170">
        <f>IF(Main[[#This Row],[Tech Start Date]]&lt;1/1/1990,"",IF(Main[[#This Row],[Class]]="C",WORKDAY(Main[[#This Row],[Tech Start Date]],9),IF(Main[[#This Row],[Class]]="B", WORKDAY(Main[[#This Row],[Tech Start Date]],6),IF(Main[[#This Row],[Class]]="A",WORKDAY(Main[[#This Row],[Tech Start Date]],2),""))))</f>
        <v>40653</v>
      </c>
      <c r="N1364" s="170">
        <f>IF(Main[[#This Row],[Tech Start Date]]&lt;1/1/1990,"",IF(Main[[#This Row],[Class]]="C",WORKDAY(Main[[#This Row],[Tech Start Date]],19),IF(Main[[#This Row],[Class]]="B", WORKDAY(Main[[#This Row],[Tech Start Date]],12),IF(Main[[#This Row],[Class]]="A",WORKDAY(Main[[#This Row],[Tech Start Date]],4),""))))</f>
        <v>40655</v>
      </c>
      <c r="O1364" s="170">
        <f>IF(Main[[#This Row],[Tech Start Date]]&lt;1/1/1990,"",IF(Main[[#This Row],[Class]]="C",WORKDAY(Main[[#This Row],[Tech Start Date]],23),IF(Main[[#This Row],[Class]]="B", WORKDAY(Main[[#This Row],[Tech Start Date]],15),IF(Main[[#This Row],[Class]]="A",WORKDAY(Main[[#This Row],[Tech Start Date]],5),""))))</f>
        <v>40658</v>
      </c>
      <c r="P1364" s="170">
        <f>IF(Main[[#This Row],[Tech Start Date]]&lt;1/1/1990,"",IF(Main[[#This Row],[Class]]="C",WORKDAY(Main[[#This Row],[Tech Start Date]],28),IF(Main[[#This Row],[Class]]="B", WORKDAY(Main[[#This Row],[Tech Start Date]],19),IF(Main[[#This Row],[Class]]="A",WORKDAY(Main[[#This Row],[Tech Start Date]],9),""))))</f>
        <v>40662</v>
      </c>
      <c r="Q1364" s="163">
        <v>40480</v>
      </c>
      <c r="R1364" s="163">
        <v>40689</v>
      </c>
      <c r="S1364" s="129" t="s">
        <v>6</v>
      </c>
      <c r="T1364" s="174" t="s">
        <v>4</v>
      </c>
      <c r="U1364" s="129" t="s">
        <v>14</v>
      </c>
      <c r="V1364" s="129" t="s">
        <v>1942</v>
      </c>
      <c r="W1364" s="129" t="s">
        <v>1936</v>
      </c>
      <c r="X1364" s="129" t="s">
        <v>2902</v>
      </c>
      <c r="Y1364" s="129" t="s">
        <v>3016</v>
      </c>
      <c r="Z1364" s="129" t="s">
        <v>30</v>
      </c>
      <c r="AA1364" s="147" t="s">
        <v>2902</v>
      </c>
    </row>
    <row r="1365" spans="1:27" ht="18.600000000000001" customHeight="1">
      <c r="A1365" s="143" t="str">
        <f>IF(priority(Main[[#This Row],[Comments]])&lt;&gt;0, priority(Main[[#This Row],[Comments]]),"")</f>
        <v/>
      </c>
      <c r="B1365" s="128" t="s">
        <v>1895</v>
      </c>
      <c r="C1365" s="129" t="s">
        <v>4</v>
      </c>
      <c r="D1365" s="161" t="s">
        <v>941</v>
      </c>
      <c r="E1365" s="163"/>
      <c r="F1365" s="163"/>
      <c r="G1365" s="165" t="str">
        <f>IF(stdProdLT(Main[[#This Row],[Comments]])=0.1,"N/A",IF(stdProdLT(Main[[#This Row],[Comments]])=0,"",stdProdLT(Main[[#This Row],[Comments]])))</f>
        <v/>
      </c>
      <c r="H1365" s="167" t="str">
        <f>IF(AND(Main[[#This Row],[In Stock Date]]&lt;&gt;"",Main[[#This Row],[Revised Due Date]]&lt;&gt;""),Main[[#This Row],[In Stock Date]]-Main[[#This Row],[Revised Due Date]],"")</f>
        <v/>
      </c>
      <c r="I1365" s="129" t="s">
        <v>131</v>
      </c>
      <c r="J1365" s="129" t="s">
        <v>70</v>
      </c>
      <c r="K1365" s="129" t="s">
        <v>1941</v>
      </c>
      <c r="L1365" s="163">
        <v>40658</v>
      </c>
      <c r="M1365" s="170">
        <f>IF(Main[[#This Row],[Tech Start Date]]&lt;1/1/1990,"",IF(Main[[#This Row],[Class]]="C",WORKDAY(Main[[#This Row],[Tech Start Date]],9),IF(Main[[#This Row],[Class]]="B", WORKDAY(Main[[#This Row],[Tech Start Date]],6),IF(Main[[#This Row],[Class]]="A",WORKDAY(Main[[#This Row],[Tech Start Date]],2),""))))</f>
        <v>40660</v>
      </c>
      <c r="N1365" s="170">
        <f>IF(Main[[#This Row],[Tech Start Date]]&lt;1/1/1990,"",IF(Main[[#This Row],[Class]]="C",WORKDAY(Main[[#This Row],[Tech Start Date]],19),IF(Main[[#This Row],[Class]]="B", WORKDAY(Main[[#This Row],[Tech Start Date]],12),IF(Main[[#This Row],[Class]]="A",WORKDAY(Main[[#This Row],[Tech Start Date]],4),""))))</f>
        <v>40662</v>
      </c>
      <c r="O1365" s="170">
        <f>IF(Main[[#This Row],[Tech Start Date]]&lt;1/1/1990,"",IF(Main[[#This Row],[Class]]="C",WORKDAY(Main[[#This Row],[Tech Start Date]],23),IF(Main[[#This Row],[Class]]="B", WORKDAY(Main[[#This Row],[Tech Start Date]],15),IF(Main[[#This Row],[Class]]="A",WORKDAY(Main[[#This Row],[Tech Start Date]],5),""))))</f>
        <v>40665</v>
      </c>
      <c r="P1365" s="170">
        <f>IF(Main[[#This Row],[Tech Start Date]]&lt;1/1/1990,"",IF(Main[[#This Row],[Class]]="C",WORKDAY(Main[[#This Row],[Tech Start Date]],28),IF(Main[[#This Row],[Class]]="B", WORKDAY(Main[[#This Row],[Tech Start Date]],19),IF(Main[[#This Row],[Class]]="A",WORKDAY(Main[[#This Row],[Tech Start Date]],9),""))))</f>
        <v>40669</v>
      </c>
      <c r="Q1365" s="163">
        <v>40665</v>
      </c>
      <c r="R1365" s="163">
        <v>40686</v>
      </c>
      <c r="S1365" s="129" t="s">
        <v>6</v>
      </c>
      <c r="T1365" s="174" t="s">
        <v>4</v>
      </c>
      <c r="U1365" s="129" t="s">
        <v>14</v>
      </c>
      <c r="V1365" s="129" t="s">
        <v>1935</v>
      </c>
      <c r="W1365" s="129" t="s">
        <v>1934</v>
      </c>
      <c r="X1365" s="129" t="s">
        <v>2935</v>
      </c>
      <c r="Y1365" s="129" t="s">
        <v>3073</v>
      </c>
      <c r="Z1365" s="129" t="s">
        <v>30</v>
      </c>
      <c r="AA1365" s="147" t="s">
        <v>2935</v>
      </c>
    </row>
    <row r="1366" spans="1:27" ht="18.600000000000001" customHeight="1">
      <c r="A1366" s="143" t="str">
        <f>IF(priority(Main[[#This Row],[Comments]])&lt;&gt;0, priority(Main[[#This Row],[Comments]]),"")</f>
        <v/>
      </c>
      <c r="B1366" s="128" t="s">
        <v>1918</v>
      </c>
      <c r="C1366" s="129" t="s">
        <v>4</v>
      </c>
      <c r="D1366" s="161" t="s">
        <v>2653</v>
      </c>
      <c r="E1366" s="163">
        <v>40659.398043981484</v>
      </c>
      <c r="F1366" s="163"/>
      <c r="G1366" s="165" t="str">
        <f>IF(stdProdLT(Main[[#This Row],[Comments]])=0.1,"N/A",IF(stdProdLT(Main[[#This Row],[Comments]])=0,"",stdProdLT(Main[[#This Row],[Comments]])))</f>
        <v/>
      </c>
      <c r="H1366" s="167" t="str">
        <f>IF(AND(Main[[#This Row],[In Stock Date]]&lt;&gt;"",Main[[#This Row],[Revised Due Date]]&lt;&gt;""),Main[[#This Row],[In Stock Date]]-Main[[#This Row],[Revised Due Date]],"")</f>
        <v/>
      </c>
      <c r="I1366" s="129" t="s">
        <v>981</v>
      </c>
      <c r="J1366" s="129" t="s">
        <v>28</v>
      </c>
      <c r="K1366" s="129" t="s">
        <v>1944</v>
      </c>
      <c r="L1366" s="163">
        <v>40665</v>
      </c>
      <c r="M1366" s="170" t="str">
        <f>IF(Main[[#This Row],[Tech Start Date]]&lt;1/1/1990,"",IF(Main[[#This Row],[Class]]="C",WORKDAY(Main[[#This Row],[Tech Start Date]],9),IF(Main[[#This Row],[Class]]="B", WORKDAY(Main[[#This Row],[Tech Start Date]],6),IF(Main[[#This Row],[Class]]="A",WORKDAY(Main[[#This Row],[Tech Start Date]],2),""))))</f>
        <v/>
      </c>
      <c r="N1366" s="170" t="str">
        <f>IF(Main[[#This Row],[Tech Start Date]]&lt;1/1/1990,"",IF(Main[[#This Row],[Class]]="C",WORKDAY(Main[[#This Row],[Tech Start Date]],19),IF(Main[[#This Row],[Class]]="B", WORKDAY(Main[[#This Row],[Tech Start Date]],12),IF(Main[[#This Row],[Class]]="A",WORKDAY(Main[[#This Row],[Tech Start Date]],4),""))))</f>
        <v/>
      </c>
      <c r="O1366" s="170" t="str">
        <f>IF(Main[[#This Row],[Tech Start Date]]&lt;1/1/1990,"",IF(Main[[#This Row],[Class]]="C",WORKDAY(Main[[#This Row],[Tech Start Date]],23),IF(Main[[#This Row],[Class]]="B", WORKDAY(Main[[#This Row],[Tech Start Date]],15),IF(Main[[#This Row],[Class]]="A",WORKDAY(Main[[#This Row],[Tech Start Date]],5),""))))</f>
        <v/>
      </c>
      <c r="P1366" s="170" t="str">
        <f>IF(Main[[#This Row],[Tech Start Date]]&lt;1/1/1990,"",IF(Main[[#This Row],[Class]]="C",WORKDAY(Main[[#This Row],[Tech Start Date]],28),IF(Main[[#This Row],[Class]]="B", WORKDAY(Main[[#This Row],[Tech Start Date]],19),IF(Main[[#This Row],[Class]]="A",WORKDAY(Main[[#This Row],[Tech Start Date]],9),""))))</f>
        <v/>
      </c>
      <c r="Q1366" s="163">
        <v>40877</v>
      </c>
      <c r="R1366" s="172">
        <v>40900</v>
      </c>
      <c r="S1366" s="129" t="s">
        <v>17</v>
      </c>
      <c r="T1366" s="174" t="s">
        <v>2654</v>
      </c>
      <c r="U1366" s="129" t="s">
        <v>29</v>
      </c>
      <c r="V1366" s="129" t="s">
        <v>1932</v>
      </c>
      <c r="W1366" s="129" t="s">
        <v>1936</v>
      </c>
      <c r="X1366" s="129" t="s">
        <v>918</v>
      </c>
      <c r="Y1366" s="129" t="s">
        <v>3104</v>
      </c>
      <c r="Z1366" s="129" t="s">
        <v>888</v>
      </c>
      <c r="AA1366" s="147" t="s">
        <v>918</v>
      </c>
    </row>
    <row r="1367" spans="1:27" ht="18.600000000000001" customHeight="1">
      <c r="A1367" s="143" t="str">
        <f>IF(priority(Main[[#This Row],[Comments]])&lt;&gt;0, priority(Main[[#This Row],[Comments]]),"")</f>
        <v/>
      </c>
      <c r="B1367" s="128" t="s">
        <v>1902</v>
      </c>
      <c r="C1367" s="129" t="s">
        <v>947</v>
      </c>
      <c r="D1367" s="161" t="s">
        <v>948</v>
      </c>
      <c r="E1367" s="163"/>
      <c r="F1367" s="163">
        <v>40701</v>
      </c>
      <c r="G1367" s="165" t="str">
        <f>IF(stdProdLT(Main[[#This Row],[Comments]])=0.1,"N/A",IF(stdProdLT(Main[[#This Row],[Comments]])=0,"",stdProdLT(Main[[#This Row],[Comments]])))</f>
        <v/>
      </c>
      <c r="H1367" s="167">
        <f>IF(AND(Main[[#This Row],[In Stock Date]]&lt;&gt;"",Main[[#This Row],[Revised Due Date]]&lt;&gt;""),Main[[#This Row],[In Stock Date]]-Main[[#This Row],[Revised Due Date]],"")</f>
        <v>0</v>
      </c>
      <c r="I1367" s="129" t="s">
        <v>949</v>
      </c>
      <c r="J1367" s="129" t="s">
        <v>28</v>
      </c>
      <c r="K1367" s="129" t="s">
        <v>1945</v>
      </c>
      <c r="L1367" s="163">
        <v>40666</v>
      </c>
      <c r="M1367" s="170">
        <f>IF(Main[[#This Row],[Tech Start Date]]&lt;1/1/1990,"",IF(Main[[#This Row],[Class]]="C",WORKDAY(Main[[#This Row],[Tech Start Date]],9),IF(Main[[#This Row],[Class]]="B", WORKDAY(Main[[#This Row],[Tech Start Date]],6),IF(Main[[#This Row],[Class]]="A",WORKDAY(Main[[#This Row],[Tech Start Date]],2),""))))</f>
        <v>40679</v>
      </c>
      <c r="N1367" s="170">
        <f>IF(Main[[#This Row],[Tech Start Date]]&lt;1/1/1990,"",IF(Main[[#This Row],[Class]]="C",WORKDAY(Main[[#This Row],[Tech Start Date]],19),IF(Main[[#This Row],[Class]]="B", WORKDAY(Main[[#This Row],[Tech Start Date]],12),IF(Main[[#This Row],[Class]]="A",WORKDAY(Main[[#This Row],[Tech Start Date]],4),""))))</f>
        <v>40693</v>
      </c>
      <c r="O1367" s="170">
        <f>IF(Main[[#This Row],[Tech Start Date]]&lt;1/1/1990,"",IF(Main[[#This Row],[Class]]="C",WORKDAY(Main[[#This Row],[Tech Start Date]],23),IF(Main[[#This Row],[Class]]="B", WORKDAY(Main[[#This Row],[Tech Start Date]],15),IF(Main[[#This Row],[Class]]="A",WORKDAY(Main[[#This Row],[Tech Start Date]],5),""))))</f>
        <v>40697</v>
      </c>
      <c r="P1367" s="170">
        <f>IF(Main[[#This Row],[Tech Start Date]]&lt;1/1/1990,"",IF(Main[[#This Row],[Class]]="C",WORKDAY(Main[[#This Row],[Tech Start Date]],28),IF(Main[[#This Row],[Class]]="B", WORKDAY(Main[[#This Row],[Tech Start Date]],19),IF(Main[[#This Row],[Class]]="A",WORKDAY(Main[[#This Row],[Tech Start Date]],9),""))))</f>
        <v>40704</v>
      </c>
      <c r="Q1367" s="163">
        <v>40701</v>
      </c>
      <c r="R1367" s="163">
        <v>40701</v>
      </c>
      <c r="S1367" s="129" t="s">
        <v>11</v>
      </c>
      <c r="T1367" s="174" t="s">
        <v>950</v>
      </c>
      <c r="U1367" s="129" t="s">
        <v>14</v>
      </c>
      <c r="V1367" s="129" t="s">
        <v>1932</v>
      </c>
      <c r="W1367" s="129" t="s">
        <v>1937</v>
      </c>
      <c r="X1367" s="129" t="s">
        <v>2938</v>
      </c>
      <c r="Y1367" s="129" t="s">
        <v>3239</v>
      </c>
      <c r="Z1367" s="129" t="s">
        <v>129</v>
      </c>
      <c r="AA1367" s="147" t="s">
        <v>2938</v>
      </c>
    </row>
    <row r="1368" spans="1:27" ht="18.600000000000001" customHeight="1">
      <c r="A1368" s="143" t="str">
        <f>IF(priority(Main[[#This Row],[Comments]])&lt;&gt;0, priority(Main[[#This Row],[Comments]]),"")</f>
        <v/>
      </c>
      <c r="B1368" s="128" t="s">
        <v>1903</v>
      </c>
      <c r="C1368" s="129" t="s">
        <v>951</v>
      </c>
      <c r="D1368" s="161" t="s">
        <v>2870</v>
      </c>
      <c r="E1368" s="163">
        <v>40617.624050925922</v>
      </c>
      <c r="F1368" s="163">
        <v>40967</v>
      </c>
      <c r="G1368" s="165">
        <f>IF(stdProdLT(Main[[#This Row],[Comments]])=0.1,"N/A",IF(stdProdLT(Main[[#This Row],[Comments]])=0,"",stdProdLT(Main[[#This Row],[Comments]])))</f>
        <v>112</v>
      </c>
      <c r="H1368" s="167" t="str">
        <f>IF(AND(Main[[#This Row],[In Stock Date]]&lt;&gt;"",Main[[#This Row],[Revised Due Date]]&lt;&gt;""),Main[[#This Row],[In Stock Date]]-Main[[#This Row],[Revised Due Date]],"")</f>
        <v/>
      </c>
      <c r="I1368" s="129" t="s">
        <v>567</v>
      </c>
      <c r="J1368" s="129" t="s">
        <v>28</v>
      </c>
      <c r="K1368" s="129" t="s">
        <v>1945</v>
      </c>
      <c r="L1368" s="163">
        <v>40666</v>
      </c>
      <c r="M1368" s="170">
        <f>IF(Main[[#This Row],[Tech Start Date]]&lt;1/1/1990,"",IF(Main[[#This Row],[Class]]="C",WORKDAY(Main[[#This Row],[Tech Start Date]],9),IF(Main[[#This Row],[Class]]="B", WORKDAY(Main[[#This Row],[Tech Start Date]],6),IF(Main[[#This Row],[Class]]="A",WORKDAY(Main[[#This Row],[Tech Start Date]],2),""))))</f>
        <v>40679</v>
      </c>
      <c r="N1368" s="170">
        <f>IF(Main[[#This Row],[Tech Start Date]]&lt;1/1/1990,"",IF(Main[[#This Row],[Class]]="C",WORKDAY(Main[[#This Row],[Tech Start Date]],19),IF(Main[[#This Row],[Class]]="B", WORKDAY(Main[[#This Row],[Tech Start Date]],12),IF(Main[[#This Row],[Class]]="A",WORKDAY(Main[[#This Row],[Tech Start Date]],4),""))))</f>
        <v>40693</v>
      </c>
      <c r="O1368" s="170">
        <f>IF(Main[[#This Row],[Tech Start Date]]&lt;1/1/1990,"",IF(Main[[#This Row],[Class]]="C",WORKDAY(Main[[#This Row],[Tech Start Date]],23),IF(Main[[#This Row],[Class]]="B", WORKDAY(Main[[#This Row],[Tech Start Date]],15),IF(Main[[#This Row],[Class]]="A",WORKDAY(Main[[#This Row],[Tech Start Date]],5),""))))</f>
        <v>40697</v>
      </c>
      <c r="P1368" s="170">
        <f>IF(Main[[#This Row],[Tech Start Date]]&lt;1/1/1990,"",IF(Main[[#This Row],[Class]]="C",WORKDAY(Main[[#This Row],[Tech Start Date]],28),IF(Main[[#This Row],[Class]]="B", WORKDAY(Main[[#This Row],[Tech Start Date]],19),IF(Main[[#This Row],[Class]]="A",WORKDAY(Main[[#This Row],[Tech Start Date]],9),""))))</f>
        <v>40704</v>
      </c>
      <c r="Q1368" s="163">
        <v>40767</v>
      </c>
      <c r="R1368" s="163"/>
      <c r="S1368" s="129" t="s">
        <v>11</v>
      </c>
      <c r="T1368" s="174" t="s">
        <v>3811</v>
      </c>
      <c r="U1368" s="129" t="s">
        <v>539</v>
      </c>
      <c r="V1368" s="129" t="s">
        <v>1932</v>
      </c>
      <c r="W1368" s="129" t="s">
        <v>1940</v>
      </c>
      <c r="X1368" s="129" t="s">
        <v>3005</v>
      </c>
      <c r="Y1368" s="129" t="s">
        <v>3238</v>
      </c>
      <c r="Z1368" s="129" t="s">
        <v>129</v>
      </c>
      <c r="AA1368" s="147" t="s">
        <v>3005</v>
      </c>
    </row>
    <row r="1369" spans="1:27" ht="18.600000000000001" customHeight="1">
      <c r="A1369" s="143" t="str">
        <f>IF(priority(Main[[#This Row],[Comments]])&lt;&gt;0, priority(Main[[#This Row],[Comments]]),"")</f>
        <v/>
      </c>
      <c r="B1369" s="128" t="s">
        <v>1901</v>
      </c>
      <c r="C1369" s="129" t="s">
        <v>113</v>
      </c>
      <c r="D1369" s="161" t="s">
        <v>2656</v>
      </c>
      <c r="E1369" s="163">
        <v>40596.601666666669</v>
      </c>
      <c r="F1369" s="163">
        <v>40605</v>
      </c>
      <c r="G1369" s="165" t="str">
        <f>IF(stdProdLT(Main[[#This Row],[Comments]])=0.1,"N/A",IF(stdProdLT(Main[[#This Row],[Comments]])=0,"",stdProdLT(Main[[#This Row],[Comments]])))</f>
        <v/>
      </c>
      <c r="H1369" s="167" t="str">
        <f>IF(AND(Main[[#This Row],[In Stock Date]]&lt;&gt;"",Main[[#This Row],[Revised Due Date]]&lt;&gt;""),Main[[#This Row],[In Stock Date]]-Main[[#This Row],[Revised Due Date]],"")</f>
        <v/>
      </c>
      <c r="I1369" s="129" t="s">
        <v>4</v>
      </c>
      <c r="J1369" s="129" t="s">
        <v>52</v>
      </c>
      <c r="K1369" s="129" t="s">
        <v>1945</v>
      </c>
      <c r="L1369" s="163">
        <v>40666</v>
      </c>
      <c r="M1369" s="170">
        <f>IF(Main[[#This Row],[Tech Start Date]]&lt;1/1/1990,"",IF(Main[[#This Row],[Class]]="C",WORKDAY(Main[[#This Row],[Tech Start Date]],9),IF(Main[[#This Row],[Class]]="B", WORKDAY(Main[[#This Row],[Tech Start Date]],6),IF(Main[[#This Row],[Class]]="A",WORKDAY(Main[[#This Row],[Tech Start Date]],2),""))))</f>
        <v>40679</v>
      </c>
      <c r="N1369" s="170">
        <f>IF(Main[[#This Row],[Tech Start Date]]&lt;1/1/1990,"",IF(Main[[#This Row],[Class]]="C",WORKDAY(Main[[#This Row],[Tech Start Date]],19),IF(Main[[#This Row],[Class]]="B", WORKDAY(Main[[#This Row],[Tech Start Date]],12),IF(Main[[#This Row],[Class]]="A",WORKDAY(Main[[#This Row],[Tech Start Date]],4),""))))</f>
        <v>40693</v>
      </c>
      <c r="O1369" s="170">
        <f>IF(Main[[#This Row],[Tech Start Date]]&lt;1/1/1990,"",IF(Main[[#This Row],[Class]]="C",WORKDAY(Main[[#This Row],[Tech Start Date]],23),IF(Main[[#This Row],[Class]]="B", WORKDAY(Main[[#This Row],[Tech Start Date]],15),IF(Main[[#This Row],[Class]]="A",WORKDAY(Main[[#This Row],[Tech Start Date]],5),""))))</f>
        <v>40697</v>
      </c>
      <c r="P1369" s="170">
        <f>IF(Main[[#This Row],[Tech Start Date]]&lt;1/1/1990,"",IF(Main[[#This Row],[Class]]="C",WORKDAY(Main[[#This Row],[Tech Start Date]],28),IF(Main[[#This Row],[Class]]="B", WORKDAY(Main[[#This Row],[Tech Start Date]],19),IF(Main[[#This Row],[Class]]="A",WORKDAY(Main[[#This Row],[Tech Start Date]],9),""))))</f>
        <v>40704</v>
      </c>
      <c r="Q1369" s="163">
        <v>40701</v>
      </c>
      <c r="R1369" s="163"/>
      <c r="S1369" s="129" t="s">
        <v>17</v>
      </c>
      <c r="T1369" s="174" t="s">
        <v>2023</v>
      </c>
      <c r="U1369" s="129" t="s">
        <v>29</v>
      </c>
      <c r="V1369" s="129" t="s">
        <v>1932</v>
      </c>
      <c r="W1369" s="129" t="s">
        <v>1943</v>
      </c>
      <c r="X1369" s="129" t="s">
        <v>2945</v>
      </c>
      <c r="Y1369" s="129" t="s">
        <v>3092</v>
      </c>
      <c r="Z1369" s="129" t="s">
        <v>129</v>
      </c>
      <c r="AA1369" s="147" t="s">
        <v>2945</v>
      </c>
    </row>
    <row r="1370" spans="1:27" ht="18.600000000000001" customHeight="1">
      <c r="A1370" s="143" t="str">
        <f>IF(priority(Main[[#This Row],[Comments]])&lt;&gt;0, priority(Main[[#This Row],[Comments]]),"")</f>
        <v/>
      </c>
      <c r="B1370" s="128" t="s">
        <v>1706</v>
      </c>
      <c r="C1370" s="129" t="s">
        <v>523</v>
      </c>
      <c r="D1370" s="161" t="s">
        <v>754</v>
      </c>
      <c r="E1370" s="163">
        <v>40661.601064814815</v>
      </c>
      <c r="F1370" s="163">
        <v>40862</v>
      </c>
      <c r="G1370" s="165" t="str">
        <f>IF(stdProdLT(Main[[#This Row],[Comments]])=0.1,"N/A",IF(stdProdLT(Main[[#This Row],[Comments]])=0,"",stdProdLT(Main[[#This Row],[Comments]])))</f>
        <v/>
      </c>
      <c r="H1370" s="167">
        <f>IF(AND(Main[[#This Row],[In Stock Date]]&lt;&gt;"",Main[[#This Row],[Revised Due Date]]&lt;&gt;""),Main[[#This Row],[In Stock Date]]-Main[[#This Row],[Revised Due Date]],"")</f>
        <v>1</v>
      </c>
      <c r="I1370" s="129" t="s">
        <v>755</v>
      </c>
      <c r="J1370" s="129" t="s">
        <v>28</v>
      </c>
      <c r="K1370" s="129" t="s">
        <v>1944</v>
      </c>
      <c r="L1370" s="163">
        <v>40668</v>
      </c>
      <c r="M1370" s="170" t="str">
        <f>IF(Main[[#This Row],[Tech Start Date]]&lt;1/1/1990,"",IF(Main[[#This Row],[Class]]="C",WORKDAY(Main[[#This Row],[Tech Start Date]],9),IF(Main[[#This Row],[Class]]="B", WORKDAY(Main[[#This Row],[Tech Start Date]],6),IF(Main[[#This Row],[Class]]="A",WORKDAY(Main[[#This Row],[Tech Start Date]],2),""))))</f>
        <v/>
      </c>
      <c r="N1370" s="170" t="str">
        <f>IF(Main[[#This Row],[Tech Start Date]]&lt;1/1/1990,"",IF(Main[[#This Row],[Class]]="C",WORKDAY(Main[[#This Row],[Tech Start Date]],19),IF(Main[[#This Row],[Class]]="B", WORKDAY(Main[[#This Row],[Tech Start Date]],12),IF(Main[[#This Row],[Class]]="A",WORKDAY(Main[[#This Row],[Tech Start Date]],4),""))))</f>
        <v/>
      </c>
      <c r="O1370" s="170" t="str">
        <f>IF(Main[[#This Row],[Tech Start Date]]&lt;1/1/1990,"",IF(Main[[#This Row],[Class]]="C",WORKDAY(Main[[#This Row],[Tech Start Date]],23),IF(Main[[#This Row],[Class]]="B", WORKDAY(Main[[#This Row],[Tech Start Date]],15),IF(Main[[#This Row],[Class]]="A",WORKDAY(Main[[#This Row],[Tech Start Date]],5),""))))</f>
        <v/>
      </c>
      <c r="P1370" s="170" t="str">
        <f>IF(Main[[#This Row],[Tech Start Date]]&lt;1/1/1990,"",IF(Main[[#This Row],[Class]]="C",WORKDAY(Main[[#This Row],[Tech Start Date]],28),IF(Main[[#This Row],[Class]]="B", WORKDAY(Main[[#This Row],[Tech Start Date]],19),IF(Main[[#This Row],[Class]]="A",WORKDAY(Main[[#This Row],[Tech Start Date]],9),""))))</f>
        <v/>
      </c>
      <c r="Q1370" s="163">
        <v>40739</v>
      </c>
      <c r="R1370" s="163">
        <v>40861</v>
      </c>
      <c r="S1370" s="129" t="s">
        <v>17</v>
      </c>
      <c r="T1370" s="174" t="s">
        <v>4</v>
      </c>
      <c r="U1370" s="129" t="s">
        <v>29</v>
      </c>
      <c r="V1370" s="129" t="s">
        <v>1935</v>
      </c>
      <c r="W1370" s="129" t="s">
        <v>1937</v>
      </c>
      <c r="X1370" s="129" t="s">
        <v>559</v>
      </c>
      <c r="Y1370" s="129" t="s">
        <v>3240</v>
      </c>
      <c r="Z1370" s="129" t="s">
        <v>980</v>
      </c>
      <c r="AA1370" s="147" t="s">
        <v>3661</v>
      </c>
    </row>
    <row r="1371" spans="1:27" ht="18.600000000000001" customHeight="1">
      <c r="A1371" s="143" t="str">
        <f>IF(priority(Main[[#This Row],[Comments]])&lt;&gt;0, priority(Main[[#This Row],[Comments]]),"")</f>
        <v/>
      </c>
      <c r="B1371" s="128" t="s">
        <v>1900</v>
      </c>
      <c r="C1371" s="129" t="s">
        <v>4</v>
      </c>
      <c r="D1371" s="161" t="s">
        <v>946</v>
      </c>
      <c r="E1371" s="163"/>
      <c r="F1371" s="163"/>
      <c r="G1371" s="165" t="str">
        <f>IF(stdProdLT(Main[[#This Row],[Comments]])=0.1,"N/A",IF(stdProdLT(Main[[#This Row],[Comments]])=0,"",stdProdLT(Main[[#This Row],[Comments]])))</f>
        <v/>
      </c>
      <c r="H1371" s="167" t="str">
        <f>IF(AND(Main[[#This Row],[In Stock Date]]&lt;&gt;"",Main[[#This Row],[Revised Due Date]]&lt;&gt;""),Main[[#This Row],[In Stock Date]]-Main[[#This Row],[Revised Due Date]],"")</f>
        <v/>
      </c>
      <c r="I1371" s="129" t="s">
        <v>30</v>
      </c>
      <c r="J1371" s="129" t="s">
        <v>28</v>
      </c>
      <c r="K1371" s="129" t="s">
        <v>1941</v>
      </c>
      <c r="L1371" s="163">
        <v>40686</v>
      </c>
      <c r="M1371" s="170">
        <f>IF(Main[[#This Row],[Tech Start Date]]&lt;1/1/1990,"",IF(Main[[#This Row],[Class]]="C",WORKDAY(Main[[#This Row],[Tech Start Date]],9),IF(Main[[#This Row],[Class]]="B", WORKDAY(Main[[#This Row],[Tech Start Date]],6),IF(Main[[#This Row],[Class]]="A",WORKDAY(Main[[#This Row],[Tech Start Date]],2),""))))</f>
        <v>40688</v>
      </c>
      <c r="N1371" s="170">
        <f>IF(Main[[#This Row],[Tech Start Date]]&lt;1/1/1990,"",IF(Main[[#This Row],[Class]]="C",WORKDAY(Main[[#This Row],[Tech Start Date]],19),IF(Main[[#This Row],[Class]]="B", WORKDAY(Main[[#This Row],[Tech Start Date]],12),IF(Main[[#This Row],[Class]]="A",WORKDAY(Main[[#This Row],[Tech Start Date]],4),""))))</f>
        <v>40690</v>
      </c>
      <c r="O1371" s="170">
        <f>IF(Main[[#This Row],[Tech Start Date]]&lt;1/1/1990,"",IF(Main[[#This Row],[Class]]="C",WORKDAY(Main[[#This Row],[Tech Start Date]],23),IF(Main[[#This Row],[Class]]="B", WORKDAY(Main[[#This Row],[Tech Start Date]],15),IF(Main[[#This Row],[Class]]="A",WORKDAY(Main[[#This Row],[Tech Start Date]],5),""))))</f>
        <v>40693</v>
      </c>
      <c r="P1371" s="170">
        <f>IF(Main[[#This Row],[Tech Start Date]]&lt;1/1/1990,"",IF(Main[[#This Row],[Class]]="C",WORKDAY(Main[[#This Row],[Tech Start Date]],28),IF(Main[[#This Row],[Class]]="B", WORKDAY(Main[[#This Row],[Tech Start Date]],19),IF(Main[[#This Row],[Class]]="A",WORKDAY(Main[[#This Row],[Tech Start Date]],9),""))))</f>
        <v>40697</v>
      </c>
      <c r="Q1371" s="163">
        <v>40669</v>
      </c>
      <c r="R1371" s="163">
        <v>40700</v>
      </c>
      <c r="S1371" s="129" t="s">
        <v>6</v>
      </c>
      <c r="T1371" s="174" t="s">
        <v>4</v>
      </c>
      <c r="U1371" s="129" t="s">
        <v>14</v>
      </c>
      <c r="V1371" s="129" t="s">
        <v>1935</v>
      </c>
      <c r="W1371" s="129" t="s">
        <v>1934</v>
      </c>
      <c r="X1371" s="129" t="s">
        <v>2903</v>
      </c>
      <c r="Y1371" s="129" t="s">
        <v>3019</v>
      </c>
      <c r="Z1371" s="129" t="s">
        <v>535</v>
      </c>
      <c r="AA1371" s="147" t="s">
        <v>2903</v>
      </c>
    </row>
    <row r="1372" spans="1:27" ht="18.600000000000001" customHeight="1">
      <c r="A1372" s="143" t="str">
        <f>IF(priority(Main[[#This Row],[Comments]])&lt;&gt;0, priority(Main[[#This Row],[Comments]]),"")</f>
        <v/>
      </c>
      <c r="B1372" s="128" t="s">
        <v>1225</v>
      </c>
      <c r="C1372" s="129" t="s">
        <v>4</v>
      </c>
      <c r="D1372" s="161" t="s">
        <v>275</v>
      </c>
      <c r="E1372" s="163">
        <v>40683.573206018518</v>
      </c>
      <c r="F1372" s="163"/>
      <c r="G1372" s="165" t="str">
        <f>IF(stdProdLT(Main[[#This Row],[Comments]])=0.1,"N/A",IF(stdProdLT(Main[[#This Row],[Comments]])=0,"",stdProdLT(Main[[#This Row],[Comments]])))</f>
        <v/>
      </c>
      <c r="H1372" s="167" t="str">
        <f>IF(AND(Main[[#This Row],[In Stock Date]]&lt;&gt;"",Main[[#This Row],[Revised Due Date]]&lt;&gt;""),Main[[#This Row],[In Stock Date]]-Main[[#This Row],[Revised Due Date]],"")</f>
        <v/>
      </c>
      <c r="I1372" s="129" t="s">
        <v>276</v>
      </c>
      <c r="J1372" s="129" t="s">
        <v>28</v>
      </c>
      <c r="K1372" s="129" t="s">
        <v>1944</v>
      </c>
      <c r="L1372" s="163">
        <v>40687</v>
      </c>
      <c r="M1372" s="170" t="str">
        <f>IF(Main[[#This Row],[Tech Start Date]]&lt;1/1/1990,"",IF(Main[[#This Row],[Class]]="C",WORKDAY(Main[[#This Row],[Tech Start Date]],9),IF(Main[[#This Row],[Class]]="B", WORKDAY(Main[[#This Row],[Tech Start Date]],6),IF(Main[[#This Row],[Class]]="A",WORKDAY(Main[[#This Row],[Tech Start Date]],2),""))))</f>
        <v/>
      </c>
      <c r="N1372" s="170" t="str">
        <f>IF(Main[[#This Row],[Tech Start Date]]&lt;1/1/1990,"",IF(Main[[#This Row],[Class]]="C",WORKDAY(Main[[#This Row],[Tech Start Date]],19),IF(Main[[#This Row],[Class]]="B", WORKDAY(Main[[#This Row],[Tech Start Date]],12),IF(Main[[#This Row],[Class]]="A",WORKDAY(Main[[#This Row],[Tech Start Date]],4),""))))</f>
        <v/>
      </c>
      <c r="O1372" s="170" t="str">
        <f>IF(Main[[#This Row],[Tech Start Date]]&lt;1/1/1990,"",IF(Main[[#This Row],[Class]]="C",WORKDAY(Main[[#This Row],[Tech Start Date]],23),IF(Main[[#This Row],[Class]]="B", WORKDAY(Main[[#This Row],[Tech Start Date]],15),IF(Main[[#This Row],[Class]]="A",WORKDAY(Main[[#This Row],[Tech Start Date]],5),""))))</f>
        <v/>
      </c>
      <c r="P1372" s="170" t="str">
        <f>IF(Main[[#This Row],[Tech Start Date]]&lt;1/1/1990,"",IF(Main[[#This Row],[Class]]="C",WORKDAY(Main[[#This Row],[Tech Start Date]],28),IF(Main[[#This Row],[Class]]="B", WORKDAY(Main[[#This Row],[Tech Start Date]],19),IF(Main[[#This Row],[Class]]="A",WORKDAY(Main[[#This Row],[Tech Start Date]],9),""))))</f>
        <v/>
      </c>
      <c r="Q1372" s="163">
        <v>41274</v>
      </c>
      <c r="R1372" s="163">
        <v>41241</v>
      </c>
      <c r="S1372" s="129" t="s">
        <v>17</v>
      </c>
      <c r="T1372" s="174" t="s">
        <v>4</v>
      </c>
      <c r="U1372" s="129" t="s">
        <v>29</v>
      </c>
      <c r="V1372" s="129" t="s">
        <v>1935</v>
      </c>
      <c r="W1372" s="129" t="s">
        <v>1937</v>
      </c>
      <c r="X1372" s="129" t="s">
        <v>559</v>
      </c>
      <c r="Y1372" s="129" t="s">
        <v>3039</v>
      </c>
      <c r="Z1372" s="129" t="s">
        <v>980</v>
      </c>
      <c r="AA1372" s="147" t="s">
        <v>559</v>
      </c>
    </row>
    <row r="1373" spans="1:27" ht="18.600000000000001" customHeight="1">
      <c r="A1373" s="143" t="str">
        <f>IF(priority(Main[[#This Row],[Comments]])&lt;&gt;0, priority(Main[[#This Row],[Comments]]),"")</f>
        <v/>
      </c>
      <c r="B1373" s="128" t="s">
        <v>1924</v>
      </c>
      <c r="C1373" s="129" t="s">
        <v>122</v>
      </c>
      <c r="D1373" s="161" t="s">
        <v>1974</v>
      </c>
      <c r="E1373" s="163">
        <v>40703.615451388891</v>
      </c>
      <c r="F1373" s="163">
        <v>40907</v>
      </c>
      <c r="G1373" s="165" t="str">
        <f>IF(stdProdLT(Main[[#This Row],[Comments]])=0.1,"N/A",IF(stdProdLT(Main[[#This Row],[Comments]])=0,"",stdProdLT(Main[[#This Row],[Comments]])))</f>
        <v/>
      </c>
      <c r="H1373" s="167">
        <f>IF(AND(Main[[#This Row],[In Stock Date]]&lt;&gt;"",Main[[#This Row],[Revised Due Date]]&lt;&gt;""),Main[[#This Row],[In Stock Date]]-Main[[#This Row],[Revised Due Date]],"")</f>
        <v>0</v>
      </c>
      <c r="I1373" s="129" t="s">
        <v>968</v>
      </c>
      <c r="J1373" s="129" t="s">
        <v>28</v>
      </c>
      <c r="K1373" s="129" t="s">
        <v>1944</v>
      </c>
      <c r="L1373" s="163">
        <v>40703</v>
      </c>
      <c r="M1373" s="170" t="str">
        <f>IF(Main[[#This Row],[Tech Start Date]]&lt;1/1/1990,"",IF(Main[[#This Row],[Class]]="C",WORKDAY(Main[[#This Row],[Tech Start Date]],9),IF(Main[[#This Row],[Class]]="B", WORKDAY(Main[[#This Row],[Tech Start Date]],6),IF(Main[[#This Row],[Class]]="A",WORKDAY(Main[[#This Row],[Tech Start Date]],2),""))))</f>
        <v/>
      </c>
      <c r="N1373" s="170" t="str">
        <f>IF(Main[[#This Row],[Tech Start Date]]&lt;1/1/1990,"",IF(Main[[#This Row],[Class]]="C",WORKDAY(Main[[#This Row],[Tech Start Date]],19),IF(Main[[#This Row],[Class]]="B", WORKDAY(Main[[#This Row],[Tech Start Date]],12),IF(Main[[#This Row],[Class]]="A",WORKDAY(Main[[#This Row],[Tech Start Date]],4),""))))</f>
        <v/>
      </c>
      <c r="O1373" s="170" t="str">
        <f>IF(Main[[#This Row],[Tech Start Date]]&lt;1/1/1990,"",IF(Main[[#This Row],[Class]]="C",WORKDAY(Main[[#This Row],[Tech Start Date]],23),IF(Main[[#This Row],[Class]]="B", WORKDAY(Main[[#This Row],[Tech Start Date]],15),IF(Main[[#This Row],[Class]]="A",WORKDAY(Main[[#This Row],[Tech Start Date]],5),""))))</f>
        <v/>
      </c>
      <c r="P1373" s="170" t="str">
        <f>IF(Main[[#This Row],[Tech Start Date]]&lt;1/1/1990,"",IF(Main[[#This Row],[Class]]="C",WORKDAY(Main[[#This Row],[Tech Start Date]],28),IF(Main[[#This Row],[Class]]="B", WORKDAY(Main[[#This Row],[Tech Start Date]],19),IF(Main[[#This Row],[Class]]="A",WORKDAY(Main[[#This Row],[Tech Start Date]],9),""))))</f>
        <v/>
      </c>
      <c r="Q1373" s="163">
        <v>40864</v>
      </c>
      <c r="R1373" s="163">
        <v>40907</v>
      </c>
      <c r="S1373" s="129" t="s">
        <v>17</v>
      </c>
      <c r="T1373" s="174" t="s">
        <v>1975</v>
      </c>
      <c r="U1373" s="129" t="s">
        <v>29</v>
      </c>
      <c r="V1373" s="129" t="s">
        <v>1933</v>
      </c>
      <c r="W1373" s="129" t="s">
        <v>1943</v>
      </c>
      <c r="X1373" s="129" t="s">
        <v>968</v>
      </c>
      <c r="Y1373" s="129" t="s">
        <v>4</v>
      </c>
      <c r="Z1373" s="129" t="s">
        <v>4</v>
      </c>
      <c r="AA1373" s="147" t="s">
        <v>987</v>
      </c>
    </row>
    <row r="1374" spans="1:27" ht="18.600000000000001" customHeight="1">
      <c r="A1374" s="143" t="str">
        <f>IF(priority(Main[[#This Row],[Comments]])&lt;&gt;0, priority(Main[[#This Row],[Comments]]),"")</f>
        <v/>
      </c>
      <c r="B1374" s="128" t="s">
        <v>1921</v>
      </c>
      <c r="C1374" s="129" t="s">
        <v>113</v>
      </c>
      <c r="D1374" s="161" t="s">
        <v>2871</v>
      </c>
      <c r="E1374" s="163">
        <v>40709.602083333331</v>
      </c>
      <c r="F1374" s="163">
        <v>41091</v>
      </c>
      <c r="G1374" s="165">
        <f>IF(stdProdLT(Main[[#This Row],[Comments]])=0.1,"N/A",IF(stdProdLT(Main[[#This Row],[Comments]])=0,"",stdProdLT(Main[[#This Row],[Comments]])))</f>
        <v>126</v>
      </c>
      <c r="H1374" s="167" t="str">
        <f>IF(AND(Main[[#This Row],[In Stock Date]]&lt;&gt;"",Main[[#This Row],[Revised Due Date]]&lt;&gt;""),Main[[#This Row],[In Stock Date]]-Main[[#This Row],[Revised Due Date]],"")</f>
        <v/>
      </c>
      <c r="I1374" s="129" t="s">
        <v>567</v>
      </c>
      <c r="J1374" s="129" t="s">
        <v>28</v>
      </c>
      <c r="K1374" s="129" t="s">
        <v>1945</v>
      </c>
      <c r="L1374" s="163">
        <v>40709</v>
      </c>
      <c r="M1374" s="170">
        <f>IF(Main[[#This Row],[Tech Start Date]]&lt;1/1/1990,"",IF(Main[[#This Row],[Class]]="C",WORKDAY(Main[[#This Row],[Tech Start Date]],9),IF(Main[[#This Row],[Class]]="B", WORKDAY(Main[[#This Row],[Tech Start Date]],6),IF(Main[[#This Row],[Class]]="A",WORKDAY(Main[[#This Row],[Tech Start Date]],2),""))))</f>
        <v>40722</v>
      </c>
      <c r="N1374" s="170">
        <f>IF(Main[[#This Row],[Tech Start Date]]&lt;1/1/1990,"",IF(Main[[#This Row],[Class]]="C",WORKDAY(Main[[#This Row],[Tech Start Date]],19),IF(Main[[#This Row],[Class]]="B", WORKDAY(Main[[#This Row],[Tech Start Date]],12),IF(Main[[#This Row],[Class]]="A",WORKDAY(Main[[#This Row],[Tech Start Date]],4),""))))</f>
        <v>40736</v>
      </c>
      <c r="O1374" s="170">
        <f>IF(Main[[#This Row],[Tech Start Date]]&lt;1/1/1990,"",IF(Main[[#This Row],[Class]]="C",WORKDAY(Main[[#This Row],[Tech Start Date]],23),IF(Main[[#This Row],[Class]]="B", WORKDAY(Main[[#This Row],[Tech Start Date]],15),IF(Main[[#This Row],[Class]]="A",WORKDAY(Main[[#This Row],[Tech Start Date]],5),""))))</f>
        <v>40742</v>
      </c>
      <c r="P1374" s="170">
        <f>IF(Main[[#This Row],[Tech Start Date]]&lt;1/1/1990,"",IF(Main[[#This Row],[Class]]="C",WORKDAY(Main[[#This Row],[Tech Start Date]],28),IF(Main[[#This Row],[Class]]="B", WORKDAY(Main[[#This Row],[Tech Start Date]],19),IF(Main[[#This Row],[Class]]="A",WORKDAY(Main[[#This Row],[Tech Start Date]],9),""))))</f>
        <v>40749</v>
      </c>
      <c r="Q1374" s="163"/>
      <c r="R1374" s="163"/>
      <c r="S1374" s="129" t="s">
        <v>11</v>
      </c>
      <c r="T1374" s="174" t="s">
        <v>3812</v>
      </c>
      <c r="U1374" s="129" t="s">
        <v>539</v>
      </c>
      <c r="V1374" s="129" t="s">
        <v>1932</v>
      </c>
      <c r="W1374" s="129" t="s">
        <v>1943</v>
      </c>
      <c r="X1374" s="129" t="s">
        <v>2917</v>
      </c>
      <c r="Y1374" s="129" t="s">
        <v>3026</v>
      </c>
      <c r="Z1374" s="129" t="s">
        <v>129</v>
      </c>
      <c r="AA1374" s="147" t="s">
        <v>2917</v>
      </c>
    </row>
    <row r="1375" spans="1:27" ht="18.600000000000001" customHeight="1">
      <c r="A1375" s="143" t="str">
        <f>IF(priority(Main[[#This Row],[Comments]])&lt;&gt;0, priority(Main[[#This Row],[Comments]]),"")</f>
        <v/>
      </c>
      <c r="B1375" s="128" t="s">
        <v>2028</v>
      </c>
      <c r="C1375" s="129" t="s">
        <v>2029</v>
      </c>
      <c r="D1375" s="161" t="s">
        <v>2044</v>
      </c>
      <c r="E1375" s="163">
        <v>40737.577511574076</v>
      </c>
      <c r="F1375" s="163"/>
      <c r="G1375" s="165" t="str">
        <f>IF(stdProdLT(Main[[#This Row],[Comments]])=0.1,"N/A",IF(stdProdLT(Main[[#This Row],[Comments]])=0,"",stdProdLT(Main[[#This Row],[Comments]])))</f>
        <v/>
      </c>
      <c r="H1375" s="167" t="str">
        <f>IF(AND(Main[[#This Row],[In Stock Date]]&lt;&gt;"",Main[[#This Row],[Revised Due Date]]&lt;&gt;""),Main[[#This Row],[In Stock Date]]-Main[[#This Row],[Revised Due Date]],"")</f>
        <v/>
      </c>
      <c r="I1375" s="129" t="s">
        <v>4</v>
      </c>
      <c r="J1375" s="129" t="s">
        <v>28</v>
      </c>
      <c r="K1375" s="129" t="s">
        <v>1944</v>
      </c>
      <c r="L1375" s="163">
        <v>40742</v>
      </c>
      <c r="M1375" s="170" t="str">
        <f>IF(Main[[#This Row],[Tech Start Date]]&lt;1/1/1990,"",IF(Main[[#This Row],[Class]]="C",WORKDAY(Main[[#This Row],[Tech Start Date]],9),IF(Main[[#This Row],[Class]]="B", WORKDAY(Main[[#This Row],[Tech Start Date]],6),IF(Main[[#This Row],[Class]]="A",WORKDAY(Main[[#This Row],[Tech Start Date]],2),""))))</f>
        <v/>
      </c>
      <c r="N1375" s="170" t="str">
        <f>IF(Main[[#This Row],[Tech Start Date]]&lt;1/1/1990,"",IF(Main[[#This Row],[Class]]="C",WORKDAY(Main[[#This Row],[Tech Start Date]],19),IF(Main[[#This Row],[Class]]="B", WORKDAY(Main[[#This Row],[Tech Start Date]],12),IF(Main[[#This Row],[Class]]="A",WORKDAY(Main[[#This Row],[Tech Start Date]],4),""))))</f>
        <v/>
      </c>
      <c r="O1375" s="170" t="str">
        <f>IF(Main[[#This Row],[Tech Start Date]]&lt;1/1/1990,"",IF(Main[[#This Row],[Class]]="C",WORKDAY(Main[[#This Row],[Tech Start Date]],23),IF(Main[[#This Row],[Class]]="B", WORKDAY(Main[[#This Row],[Tech Start Date]],15),IF(Main[[#This Row],[Class]]="A",WORKDAY(Main[[#This Row],[Tech Start Date]],5),""))))</f>
        <v/>
      </c>
      <c r="P1375" s="170" t="str">
        <f>IF(Main[[#This Row],[Tech Start Date]]&lt;1/1/1990,"",IF(Main[[#This Row],[Class]]="C",WORKDAY(Main[[#This Row],[Tech Start Date]],28),IF(Main[[#This Row],[Class]]="B", WORKDAY(Main[[#This Row],[Tech Start Date]],19),IF(Main[[#This Row],[Class]]="A",WORKDAY(Main[[#This Row],[Tech Start Date]],9),""))))</f>
        <v/>
      </c>
      <c r="Q1375" s="163"/>
      <c r="R1375" s="163"/>
      <c r="S1375" s="129" t="s">
        <v>17</v>
      </c>
      <c r="T1375" s="174" t="s">
        <v>4</v>
      </c>
      <c r="U1375" s="129" t="s">
        <v>29</v>
      </c>
      <c r="V1375" s="129" t="s">
        <v>1932</v>
      </c>
      <c r="W1375" s="129" t="s">
        <v>1940</v>
      </c>
      <c r="X1375" s="129" t="s">
        <v>129</v>
      </c>
      <c r="Y1375" s="129" t="s">
        <v>3046</v>
      </c>
      <c r="Z1375" s="129" t="s">
        <v>129</v>
      </c>
      <c r="AA1375" s="147" t="s">
        <v>2912</v>
      </c>
    </row>
    <row r="1376" spans="1:27" ht="18.600000000000001" customHeight="1">
      <c r="A1376" s="143" t="str">
        <f>IF(priority(Main[[#This Row],[Comments]])&lt;&gt;0, priority(Main[[#This Row],[Comments]]),"")</f>
        <v/>
      </c>
      <c r="B1376" s="128" t="s">
        <v>1703</v>
      </c>
      <c r="C1376" s="129" t="s">
        <v>751</v>
      </c>
      <c r="D1376" s="161" t="s">
        <v>1992</v>
      </c>
      <c r="E1376" s="163">
        <v>40681.50267361111</v>
      </c>
      <c r="F1376" s="163"/>
      <c r="G1376" s="165" t="str">
        <f>IF(stdProdLT(Main[[#This Row],[Comments]])=0.1,"N/A",IF(stdProdLT(Main[[#This Row],[Comments]])=0,"",stdProdLT(Main[[#This Row],[Comments]])))</f>
        <v/>
      </c>
      <c r="H1376" s="167" t="str">
        <f>IF(AND(Main[[#This Row],[In Stock Date]]&lt;&gt;"",Main[[#This Row],[Revised Due Date]]&lt;&gt;""),Main[[#This Row],[In Stock Date]]-Main[[#This Row],[Revised Due Date]],"")</f>
        <v/>
      </c>
      <c r="I1376" s="129" t="s">
        <v>755</v>
      </c>
      <c r="J1376" s="129" t="s">
        <v>28</v>
      </c>
      <c r="K1376" s="129" t="s">
        <v>1944</v>
      </c>
      <c r="L1376" s="163">
        <v>40742</v>
      </c>
      <c r="M1376" s="170" t="str">
        <f>IF(Main[[#This Row],[Tech Start Date]]&lt;1/1/1990,"",IF(Main[[#This Row],[Class]]="C",WORKDAY(Main[[#This Row],[Tech Start Date]],9),IF(Main[[#This Row],[Class]]="B", WORKDAY(Main[[#This Row],[Tech Start Date]],6),IF(Main[[#This Row],[Class]]="A",WORKDAY(Main[[#This Row],[Tech Start Date]],2),""))))</f>
        <v/>
      </c>
      <c r="N1376" s="170" t="str">
        <f>IF(Main[[#This Row],[Tech Start Date]]&lt;1/1/1990,"",IF(Main[[#This Row],[Class]]="C",WORKDAY(Main[[#This Row],[Tech Start Date]],19),IF(Main[[#This Row],[Class]]="B", WORKDAY(Main[[#This Row],[Tech Start Date]],12),IF(Main[[#This Row],[Class]]="A",WORKDAY(Main[[#This Row],[Tech Start Date]],4),""))))</f>
        <v/>
      </c>
      <c r="O1376" s="170" t="str">
        <f>IF(Main[[#This Row],[Tech Start Date]]&lt;1/1/1990,"",IF(Main[[#This Row],[Class]]="C",WORKDAY(Main[[#This Row],[Tech Start Date]],23),IF(Main[[#This Row],[Class]]="B", WORKDAY(Main[[#This Row],[Tech Start Date]],15),IF(Main[[#This Row],[Class]]="A",WORKDAY(Main[[#This Row],[Tech Start Date]],5),""))))</f>
        <v/>
      </c>
      <c r="P1376" s="170" t="str">
        <f>IF(Main[[#This Row],[Tech Start Date]]&lt;1/1/1990,"",IF(Main[[#This Row],[Class]]="C",WORKDAY(Main[[#This Row],[Tech Start Date]],28),IF(Main[[#This Row],[Class]]="B", WORKDAY(Main[[#This Row],[Tech Start Date]],19),IF(Main[[#This Row],[Class]]="A",WORKDAY(Main[[#This Row],[Tech Start Date]],9),""))))</f>
        <v/>
      </c>
      <c r="Q1376" s="163">
        <v>40939</v>
      </c>
      <c r="R1376" s="163">
        <v>40879</v>
      </c>
      <c r="S1376" s="129" t="s">
        <v>17</v>
      </c>
      <c r="T1376" s="174" t="s">
        <v>4</v>
      </c>
      <c r="U1376" s="129" t="s">
        <v>29</v>
      </c>
      <c r="V1376" s="129" t="s">
        <v>1935</v>
      </c>
      <c r="W1376" s="129" t="s">
        <v>1937</v>
      </c>
      <c r="X1376" s="129" t="s">
        <v>559</v>
      </c>
      <c r="Y1376" s="129" t="s">
        <v>3039</v>
      </c>
      <c r="Z1376" s="129" t="s">
        <v>659</v>
      </c>
      <c r="AA1376" s="147" t="s">
        <v>559</v>
      </c>
    </row>
    <row r="1377" spans="1:27" ht="18.600000000000001" customHeight="1">
      <c r="A1377" s="143" t="str">
        <f>IF(priority(Main[[#This Row],[Comments]])&lt;&gt;0, priority(Main[[#This Row],[Comments]]),"")</f>
        <v/>
      </c>
      <c r="B1377" s="128" t="s">
        <v>2061</v>
      </c>
      <c r="C1377" s="129" t="s">
        <v>116</v>
      </c>
      <c r="D1377" s="161" t="s">
        <v>2276</v>
      </c>
      <c r="E1377" s="163">
        <v>40751.429224537038</v>
      </c>
      <c r="F1377" s="163"/>
      <c r="G1377" s="165" t="str">
        <f>IF(stdProdLT(Main[[#This Row],[Comments]])=0.1,"N/A",IF(stdProdLT(Main[[#This Row],[Comments]])=0,"",stdProdLT(Main[[#This Row],[Comments]])))</f>
        <v/>
      </c>
      <c r="H1377" s="167" t="str">
        <f>IF(AND(Main[[#This Row],[In Stock Date]]&lt;&gt;"",Main[[#This Row],[Revised Due Date]]&lt;&gt;""),Main[[#This Row],[In Stock Date]]-Main[[#This Row],[Revised Due Date]],"")</f>
        <v/>
      </c>
      <c r="I1377" s="129" t="s">
        <v>2065</v>
      </c>
      <c r="J1377" s="129" t="s">
        <v>28</v>
      </c>
      <c r="K1377" s="129" t="s">
        <v>1944</v>
      </c>
      <c r="L1377" s="163">
        <v>40742</v>
      </c>
      <c r="M1377" s="170" t="str">
        <f>IF(Main[[#This Row],[Tech Start Date]]&lt;1/1/1990,"",IF(Main[[#This Row],[Class]]="C",WORKDAY(Main[[#This Row],[Tech Start Date]],9),IF(Main[[#This Row],[Class]]="B", WORKDAY(Main[[#This Row],[Tech Start Date]],6),IF(Main[[#This Row],[Class]]="A",WORKDAY(Main[[#This Row],[Tech Start Date]],2),""))))</f>
        <v/>
      </c>
      <c r="N1377" s="170" t="str">
        <f>IF(Main[[#This Row],[Tech Start Date]]&lt;1/1/1990,"",IF(Main[[#This Row],[Class]]="C",WORKDAY(Main[[#This Row],[Tech Start Date]],19),IF(Main[[#This Row],[Class]]="B", WORKDAY(Main[[#This Row],[Tech Start Date]],12),IF(Main[[#This Row],[Class]]="A",WORKDAY(Main[[#This Row],[Tech Start Date]],4),""))))</f>
        <v/>
      </c>
      <c r="O1377" s="170" t="str">
        <f>IF(Main[[#This Row],[Tech Start Date]]&lt;1/1/1990,"",IF(Main[[#This Row],[Class]]="C",WORKDAY(Main[[#This Row],[Tech Start Date]],23),IF(Main[[#This Row],[Class]]="B", WORKDAY(Main[[#This Row],[Tech Start Date]],15),IF(Main[[#This Row],[Class]]="A",WORKDAY(Main[[#This Row],[Tech Start Date]],5),""))))</f>
        <v/>
      </c>
      <c r="P1377" s="170" t="str">
        <f>IF(Main[[#This Row],[Tech Start Date]]&lt;1/1/1990,"",IF(Main[[#This Row],[Class]]="C",WORKDAY(Main[[#This Row],[Tech Start Date]],28),IF(Main[[#This Row],[Class]]="B", WORKDAY(Main[[#This Row],[Tech Start Date]],19),IF(Main[[#This Row],[Class]]="A",WORKDAY(Main[[#This Row],[Tech Start Date]],9),""))))</f>
        <v/>
      </c>
      <c r="Q1377" s="163"/>
      <c r="R1377" s="163">
        <v>40868</v>
      </c>
      <c r="S1377" s="129" t="s">
        <v>17</v>
      </c>
      <c r="T1377" s="174" t="s">
        <v>4</v>
      </c>
      <c r="U1377" s="129" t="s">
        <v>29</v>
      </c>
      <c r="V1377" s="129" t="s">
        <v>1935</v>
      </c>
      <c r="W1377" s="129" t="s">
        <v>1937</v>
      </c>
      <c r="X1377" s="129" t="s">
        <v>659</v>
      </c>
      <c r="Y1377" s="129" t="s">
        <v>3215</v>
      </c>
      <c r="Z1377" s="129" t="s">
        <v>659</v>
      </c>
      <c r="AA1377" s="147" t="s">
        <v>659</v>
      </c>
    </row>
    <row r="1378" spans="1:27" ht="18.600000000000001" customHeight="1">
      <c r="A1378" s="143" t="str">
        <f>IF(priority(Main[[#This Row],[Comments]])&lt;&gt;0, priority(Main[[#This Row],[Comments]]),"")</f>
        <v/>
      </c>
      <c r="B1378" s="128" t="s">
        <v>1040</v>
      </c>
      <c r="C1378" s="129" t="s">
        <v>46</v>
      </c>
      <c r="D1378" s="161" t="s">
        <v>2163</v>
      </c>
      <c r="E1378" s="163">
        <v>40549.665949074071</v>
      </c>
      <c r="F1378" s="163">
        <v>40603</v>
      </c>
      <c r="G1378" s="165" t="str">
        <f>IF(stdProdLT(Main[[#This Row],[Comments]])=0.1,"N/A",IF(stdProdLT(Main[[#This Row],[Comments]])=0,"",stdProdLT(Main[[#This Row],[Comments]])))</f>
        <v/>
      </c>
      <c r="H1378" s="167" t="str">
        <f>IF(AND(Main[[#This Row],[In Stock Date]]&lt;&gt;"",Main[[#This Row],[Revised Due Date]]&lt;&gt;""),Main[[#This Row],[In Stock Date]]-Main[[#This Row],[Revised Due Date]],"")</f>
        <v/>
      </c>
      <c r="I1378" s="129" t="s">
        <v>173</v>
      </c>
      <c r="J1378" s="129" t="s">
        <v>70</v>
      </c>
      <c r="K1378" s="129" t="s">
        <v>1944</v>
      </c>
      <c r="L1378" s="163">
        <v>40751</v>
      </c>
      <c r="M1378" s="170" t="str">
        <f>IF(Main[[#This Row],[Tech Start Date]]&lt;1/1/1990,"",IF(Main[[#This Row],[Class]]="C",WORKDAY(Main[[#This Row],[Tech Start Date]],9),IF(Main[[#This Row],[Class]]="B", WORKDAY(Main[[#This Row],[Tech Start Date]],6),IF(Main[[#This Row],[Class]]="A",WORKDAY(Main[[#This Row],[Tech Start Date]],2),""))))</f>
        <v/>
      </c>
      <c r="N1378" s="170" t="str">
        <f>IF(Main[[#This Row],[Tech Start Date]]&lt;1/1/1990,"",IF(Main[[#This Row],[Class]]="C",WORKDAY(Main[[#This Row],[Tech Start Date]],19),IF(Main[[#This Row],[Class]]="B", WORKDAY(Main[[#This Row],[Tech Start Date]],12),IF(Main[[#This Row],[Class]]="A",WORKDAY(Main[[#This Row],[Tech Start Date]],4),""))))</f>
        <v/>
      </c>
      <c r="O1378" s="170" t="str">
        <f>IF(Main[[#This Row],[Tech Start Date]]&lt;1/1/1990,"",IF(Main[[#This Row],[Class]]="C",WORKDAY(Main[[#This Row],[Tech Start Date]],23),IF(Main[[#This Row],[Class]]="B", WORKDAY(Main[[#This Row],[Tech Start Date]],15),IF(Main[[#This Row],[Class]]="A",WORKDAY(Main[[#This Row],[Tech Start Date]],5),""))))</f>
        <v/>
      </c>
      <c r="P1378" s="170" t="str">
        <f>IF(Main[[#This Row],[Tech Start Date]]&lt;1/1/1990,"",IF(Main[[#This Row],[Class]]="C",WORKDAY(Main[[#This Row],[Tech Start Date]],28),IF(Main[[#This Row],[Class]]="B", WORKDAY(Main[[#This Row],[Tech Start Date]],19),IF(Main[[#This Row],[Class]]="A",WORKDAY(Main[[#This Row],[Tech Start Date]],9),""))))</f>
        <v/>
      </c>
      <c r="Q1378" s="163">
        <v>40603</v>
      </c>
      <c r="R1378" s="163"/>
      <c r="S1378" s="129" t="s">
        <v>17</v>
      </c>
      <c r="T1378" s="174" t="s">
        <v>4</v>
      </c>
      <c r="U1378" s="129" t="s">
        <v>29</v>
      </c>
      <c r="V1378" s="129" t="s">
        <v>1935</v>
      </c>
      <c r="W1378" s="129" t="s">
        <v>1937</v>
      </c>
      <c r="X1378" s="129" t="s">
        <v>559</v>
      </c>
      <c r="Y1378" s="129" t="s">
        <v>3039</v>
      </c>
      <c r="Z1378" s="129" t="s">
        <v>980</v>
      </c>
      <c r="AA1378" s="147" t="s">
        <v>559</v>
      </c>
    </row>
    <row r="1379" spans="1:27" ht="18.600000000000001" customHeight="1">
      <c r="A1379" s="143" t="str">
        <f>IF(priority(Main[[#This Row],[Comments]])&lt;&gt;0, priority(Main[[#This Row],[Comments]]),"")</f>
        <v/>
      </c>
      <c r="B1379" s="128" t="s">
        <v>2068</v>
      </c>
      <c r="C1379" s="129" t="s">
        <v>4</v>
      </c>
      <c r="D1379" s="161" t="s">
        <v>2076</v>
      </c>
      <c r="E1379" s="163"/>
      <c r="F1379" s="163"/>
      <c r="G1379" s="165" t="str">
        <f>IF(stdProdLT(Main[[#This Row],[Comments]])=0.1,"N/A",IF(stdProdLT(Main[[#This Row],[Comments]])=0,"",stdProdLT(Main[[#This Row],[Comments]])))</f>
        <v/>
      </c>
      <c r="H1379" s="167" t="str">
        <f>IF(AND(Main[[#This Row],[In Stock Date]]&lt;&gt;"",Main[[#This Row],[Revised Due Date]]&lt;&gt;""),Main[[#This Row],[In Stock Date]]-Main[[#This Row],[Revised Due Date]],"")</f>
        <v/>
      </c>
      <c r="I1379" s="129" t="s">
        <v>900</v>
      </c>
      <c r="J1379" s="129" t="s">
        <v>28</v>
      </c>
      <c r="K1379" s="129" t="s">
        <v>1941</v>
      </c>
      <c r="L1379" s="163">
        <v>40752</v>
      </c>
      <c r="M1379" s="170">
        <f>IF(Main[[#This Row],[Tech Start Date]]&lt;1/1/1990,"",IF(Main[[#This Row],[Class]]="C",WORKDAY(Main[[#This Row],[Tech Start Date]],9),IF(Main[[#This Row],[Class]]="B", WORKDAY(Main[[#This Row],[Tech Start Date]],6),IF(Main[[#This Row],[Class]]="A",WORKDAY(Main[[#This Row],[Tech Start Date]],2),""))))</f>
        <v>40756</v>
      </c>
      <c r="N1379" s="170">
        <f>IF(Main[[#This Row],[Tech Start Date]]&lt;1/1/1990,"",IF(Main[[#This Row],[Class]]="C",WORKDAY(Main[[#This Row],[Tech Start Date]],19),IF(Main[[#This Row],[Class]]="B", WORKDAY(Main[[#This Row],[Tech Start Date]],12),IF(Main[[#This Row],[Class]]="A",WORKDAY(Main[[#This Row],[Tech Start Date]],4),""))))</f>
        <v>40758</v>
      </c>
      <c r="O1379" s="170">
        <f>IF(Main[[#This Row],[Tech Start Date]]&lt;1/1/1990,"",IF(Main[[#This Row],[Class]]="C",WORKDAY(Main[[#This Row],[Tech Start Date]],23),IF(Main[[#This Row],[Class]]="B", WORKDAY(Main[[#This Row],[Tech Start Date]],15),IF(Main[[#This Row],[Class]]="A",WORKDAY(Main[[#This Row],[Tech Start Date]],5),""))))</f>
        <v>40759</v>
      </c>
      <c r="P1379" s="170">
        <f>IF(Main[[#This Row],[Tech Start Date]]&lt;1/1/1990,"",IF(Main[[#This Row],[Class]]="C",WORKDAY(Main[[#This Row],[Tech Start Date]],28),IF(Main[[#This Row],[Class]]="B", WORKDAY(Main[[#This Row],[Tech Start Date]],19),IF(Main[[#This Row],[Class]]="A",WORKDAY(Main[[#This Row],[Tech Start Date]],9),""))))</f>
        <v>40765</v>
      </c>
      <c r="Q1379" s="163">
        <v>40758</v>
      </c>
      <c r="R1379" s="163">
        <v>40786</v>
      </c>
      <c r="S1379" s="129" t="s">
        <v>6</v>
      </c>
      <c r="T1379" s="174" t="s">
        <v>4</v>
      </c>
      <c r="U1379" s="129" t="s">
        <v>14</v>
      </c>
      <c r="V1379" s="129" t="s">
        <v>1932</v>
      </c>
      <c r="W1379" s="129" t="s">
        <v>1936</v>
      </c>
      <c r="X1379" s="129" t="s">
        <v>888</v>
      </c>
      <c r="Y1379" s="129" t="s">
        <v>3096</v>
      </c>
      <c r="Z1379" s="129" t="s">
        <v>888</v>
      </c>
      <c r="AA1379" s="147" t="s">
        <v>888</v>
      </c>
    </row>
    <row r="1380" spans="1:27" ht="18.600000000000001" customHeight="1">
      <c r="A1380" s="143" t="str">
        <f>IF(priority(Main[[#This Row],[Comments]])&lt;&gt;0, priority(Main[[#This Row],[Comments]]),"")</f>
        <v/>
      </c>
      <c r="B1380" s="128" t="s">
        <v>1915</v>
      </c>
      <c r="C1380" s="129" t="s">
        <v>72</v>
      </c>
      <c r="D1380" s="161" t="s">
        <v>2164</v>
      </c>
      <c r="E1380" s="163">
        <v>40470.014479166668</v>
      </c>
      <c r="F1380" s="163">
        <v>40487</v>
      </c>
      <c r="G1380" s="165">
        <f>IF(stdProdLT(Main[[#This Row],[Comments]])=0.1,"N/A",IF(stdProdLT(Main[[#This Row],[Comments]])=0,"",stdProdLT(Main[[#This Row],[Comments]])))</f>
        <v>42</v>
      </c>
      <c r="H1380" s="167">
        <f>IF(AND(Main[[#This Row],[In Stock Date]]&lt;&gt;"",Main[[#This Row],[Revised Due Date]]&lt;&gt;""),Main[[#This Row],[In Stock Date]]-Main[[#This Row],[Revised Due Date]],"")</f>
        <v>-294</v>
      </c>
      <c r="I1380" s="129" t="s">
        <v>2075</v>
      </c>
      <c r="J1380" s="129" t="s">
        <v>52</v>
      </c>
      <c r="K1380" s="129" t="s">
        <v>1939</v>
      </c>
      <c r="L1380" s="163">
        <v>40756</v>
      </c>
      <c r="M1380" s="170">
        <f>IF(Main[[#This Row],[Tech Start Date]]&lt;1/1/1990,"",IF(Main[[#This Row],[Class]]="C",WORKDAY(Main[[#This Row],[Tech Start Date]],9),IF(Main[[#This Row],[Class]]="B", WORKDAY(Main[[#This Row],[Tech Start Date]],6),IF(Main[[#This Row],[Class]]="A",WORKDAY(Main[[#This Row],[Tech Start Date]],2),""))))</f>
        <v>40764</v>
      </c>
      <c r="N1380" s="170">
        <f>IF(Main[[#This Row],[Tech Start Date]]&lt;1/1/1990,"",IF(Main[[#This Row],[Class]]="C",WORKDAY(Main[[#This Row],[Tech Start Date]],19),IF(Main[[#This Row],[Class]]="B", WORKDAY(Main[[#This Row],[Tech Start Date]],12),IF(Main[[#This Row],[Class]]="A",WORKDAY(Main[[#This Row],[Tech Start Date]],4),""))))</f>
        <v>40772</v>
      </c>
      <c r="O1380" s="170">
        <f>IF(Main[[#This Row],[Tech Start Date]]&lt;1/1/1990,"",IF(Main[[#This Row],[Class]]="C",WORKDAY(Main[[#This Row],[Tech Start Date]],23),IF(Main[[#This Row],[Class]]="B", WORKDAY(Main[[#This Row],[Tech Start Date]],15),IF(Main[[#This Row],[Class]]="A",WORKDAY(Main[[#This Row],[Tech Start Date]],5),""))))</f>
        <v>40777</v>
      </c>
      <c r="P1380" s="170">
        <f>IF(Main[[#This Row],[Tech Start Date]]&lt;1/1/1990,"",IF(Main[[#This Row],[Class]]="C",WORKDAY(Main[[#This Row],[Tech Start Date]],28),IF(Main[[#This Row],[Class]]="B", WORKDAY(Main[[#This Row],[Tech Start Date]],19),IF(Main[[#This Row],[Class]]="A",WORKDAY(Main[[#This Row],[Tech Start Date]],9),""))))</f>
        <v>40781</v>
      </c>
      <c r="Q1380" s="163"/>
      <c r="R1380" s="163">
        <v>40781</v>
      </c>
      <c r="S1380" s="129" t="s">
        <v>6</v>
      </c>
      <c r="T1380" s="174" t="s">
        <v>2165</v>
      </c>
      <c r="U1380" s="129" t="s">
        <v>29</v>
      </c>
      <c r="V1380" s="129" t="s">
        <v>1933</v>
      </c>
      <c r="W1380" s="129" t="s">
        <v>1934</v>
      </c>
      <c r="X1380" s="129" t="s">
        <v>2985</v>
      </c>
      <c r="Y1380" s="129" t="s">
        <v>3166</v>
      </c>
      <c r="Z1380" s="129" t="s">
        <v>2075</v>
      </c>
      <c r="AA1380" s="147" t="s">
        <v>2985</v>
      </c>
    </row>
    <row r="1381" spans="1:27" ht="18.600000000000001" customHeight="1">
      <c r="A1381" s="143" t="str">
        <f>IF(priority(Main[[#This Row],[Comments]])&lt;&gt;0, priority(Main[[#This Row],[Comments]]),"")</f>
        <v/>
      </c>
      <c r="B1381" s="128" t="s">
        <v>1314</v>
      </c>
      <c r="C1381" s="129" t="s">
        <v>378</v>
      </c>
      <c r="D1381" s="161" t="s">
        <v>2291</v>
      </c>
      <c r="E1381" s="163">
        <v>40711.60083333333</v>
      </c>
      <c r="F1381" s="163">
        <v>40877</v>
      </c>
      <c r="G1381" s="165" t="str">
        <f>IF(stdProdLT(Main[[#This Row],[Comments]])=0.1,"N/A",IF(stdProdLT(Main[[#This Row],[Comments]])=0,"",stdProdLT(Main[[#This Row],[Comments]])))</f>
        <v/>
      </c>
      <c r="H1381" s="167">
        <f>IF(AND(Main[[#This Row],[In Stock Date]]&lt;&gt;"",Main[[#This Row],[Revised Due Date]]&lt;&gt;""),Main[[#This Row],[In Stock Date]]-Main[[#This Row],[Revised Due Date]],"")</f>
        <v>0</v>
      </c>
      <c r="I1381" s="129" t="s">
        <v>2066</v>
      </c>
      <c r="J1381" s="129" t="s">
        <v>28</v>
      </c>
      <c r="K1381" s="129" t="s">
        <v>1944</v>
      </c>
      <c r="L1381" s="163">
        <v>40767</v>
      </c>
      <c r="M1381" s="170" t="str">
        <f>IF(Main[[#This Row],[Tech Start Date]]&lt;1/1/1990,"",IF(Main[[#This Row],[Class]]="C",WORKDAY(Main[[#This Row],[Tech Start Date]],9),IF(Main[[#This Row],[Class]]="B", WORKDAY(Main[[#This Row],[Tech Start Date]],6),IF(Main[[#This Row],[Class]]="A",WORKDAY(Main[[#This Row],[Tech Start Date]],2),""))))</f>
        <v/>
      </c>
      <c r="N1381" s="170" t="str">
        <f>IF(Main[[#This Row],[Tech Start Date]]&lt;1/1/1990,"",IF(Main[[#This Row],[Class]]="C",WORKDAY(Main[[#This Row],[Tech Start Date]],19),IF(Main[[#This Row],[Class]]="B", WORKDAY(Main[[#This Row],[Tech Start Date]],12),IF(Main[[#This Row],[Class]]="A",WORKDAY(Main[[#This Row],[Tech Start Date]],4),""))))</f>
        <v/>
      </c>
      <c r="O1381" s="170" t="str">
        <f>IF(Main[[#This Row],[Tech Start Date]]&lt;1/1/1990,"",IF(Main[[#This Row],[Class]]="C",WORKDAY(Main[[#This Row],[Tech Start Date]],23),IF(Main[[#This Row],[Class]]="B", WORKDAY(Main[[#This Row],[Tech Start Date]],15),IF(Main[[#This Row],[Class]]="A",WORKDAY(Main[[#This Row],[Tech Start Date]],5),""))))</f>
        <v/>
      </c>
      <c r="P1381" s="170" t="str">
        <f>IF(Main[[#This Row],[Tech Start Date]]&lt;1/1/1990,"",IF(Main[[#This Row],[Class]]="C",WORKDAY(Main[[#This Row],[Tech Start Date]],28),IF(Main[[#This Row],[Class]]="B", WORKDAY(Main[[#This Row],[Tech Start Date]],19),IF(Main[[#This Row],[Class]]="A",WORKDAY(Main[[#This Row],[Tech Start Date]],9),""))))</f>
        <v/>
      </c>
      <c r="Q1381" s="163">
        <v>40877</v>
      </c>
      <c r="R1381" s="163">
        <v>40877</v>
      </c>
      <c r="S1381" s="129" t="s">
        <v>17</v>
      </c>
      <c r="T1381" s="174" t="s">
        <v>4</v>
      </c>
      <c r="U1381" s="129" t="s">
        <v>29</v>
      </c>
      <c r="V1381" s="129" t="s">
        <v>1935</v>
      </c>
      <c r="W1381" s="129" t="s">
        <v>1940</v>
      </c>
      <c r="X1381" s="129" t="s">
        <v>559</v>
      </c>
      <c r="Y1381" s="129" t="s">
        <v>3039</v>
      </c>
      <c r="Z1381" s="129" t="s">
        <v>535</v>
      </c>
      <c r="AA1381" s="147" t="s">
        <v>559</v>
      </c>
    </row>
    <row r="1382" spans="1:27" ht="18.600000000000001" customHeight="1">
      <c r="A1382" s="143" t="str">
        <f>IF(priority(Main[[#This Row],[Comments]])&lt;&gt;0, priority(Main[[#This Row],[Comments]]),"")</f>
        <v/>
      </c>
      <c r="B1382" s="128" t="s">
        <v>2169</v>
      </c>
      <c r="C1382" s="129" t="s">
        <v>4</v>
      </c>
      <c r="D1382" s="161" t="s">
        <v>2659</v>
      </c>
      <c r="E1382" s="163">
        <v>40772.447592592594</v>
      </c>
      <c r="F1382" s="163"/>
      <c r="G1382" s="165" t="str">
        <f>IF(stdProdLT(Main[[#This Row],[Comments]])=0.1,"N/A",IF(stdProdLT(Main[[#This Row],[Comments]])=0,"",stdProdLT(Main[[#This Row],[Comments]])))</f>
        <v/>
      </c>
      <c r="H1382" s="167" t="str">
        <f>IF(AND(Main[[#This Row],[In Stock Date]]&lt;&gt;"",Main[[#This Row],[Revised Due Date]]&lt;&gt;""),Main[[#This Row],[In Stock Date]]-Main[[#This Row],[Revised Due Date]],"")</f>
        <v/>
      </c>
      <c r="I1382" s="129" t="s">
        <v>888</v>
      </c>
      <c r="J1382" s="129" t="s">
        <v>28</v>
      </c>
      <c r="K1382" s="129" t="s">
        <v>1945</v>
      </c>
      <c r="L1382" s="163">
        <v>40772</v>
      </c>
      <c r="M1382" s="170">
        <f>IF(Main[[#This Row],[Tech Start Date]]&lt;1/1/1990,"",IF(Main[[#This Row],[Class]]="C",WORKDAY(Main[[#This Row],[Tech Start Date]],9),IF(Main[[#This Row],[Class]]="B", WORKDAY(Main[[#This Row],[Tech Start Date]],6),IF(Main[[#This Row],[Class]]="A",WORKDAY(Main[[#This Row],[Tech Start Date]],2),""))))</f>
        <v>40785</v>
      </c>
      <c r="N1382" s="170">
        <f>IF(Main[[#This Row],[Tech Start Date]]&lt;1/1/1990,"",IF(Main[[#This Row],[Class]]="C",WORKDAY(Main[[#This Row],[Tech Start Date]],19),IF(Main[[#This Row],[Class]]="B", WORKDAY(Main[[#This Row],[Tech Start Date]],12),IF(Main[[#This Row],[Class]]="A",WORKDAY(Main[[#This Row],[Tech Start Date]],4),""))))</f>
        <v>40799</v>
      </c>
      <c r="O1382" s="170">
        <f>IF(Main[[#This Row],[Tech Start Date]]&lt;1/1/1990,"",IF(Main[[#This Row],[Class]]="C",WORKDAY(Main[[#This Row],[Tech Start Date]],23),IF(Main[[#This Row],[Class]]="B", WORKDAY(Main[[#This Row],[Tech Start Date]],15),IF(Main[[#This Row],[Class]]="A",WORKDAY(Main[[#This Row],[Tech Start Date]],5),""))))</f>
        <v>40805</v>
      </c>
      <c r="P1382" s="170">
        <f>IF(Main[[#This Row],[Tech Start Date]]&lt;1/1/1990,"",IF(Main[[#This Row],[Class]]="C",WORKDAY(Main[[#This Row],[Tech Start Date]],28),IF(Main[[#This Row],[Class]]="B", WORKDAY(Main[[#This Row],[Tech Start Date]],19),IF(Main[[#This Row],[Class]]="A",WORKDAY(Main[[#This Row],[Tech Start Date]],9),""))))</f>
        <v>40812</v>
      </c>
      <c r="Q1382" s="163">
        <v>40786</v>
      </c>
      <c r="R1382" s="163">
        <v>40907</v>
      </c>
      <c r="S1382" s="129" t="s">
        <v>17</v>
      </c>
      <c r="T1382" s="174" t="s">
        <v>2350</v>
      </c>
      <c r="U1382" s="129" t="s">
        <v>29</v>
      </c>
      <c r="V1382" s="129" t="s">
        <v>1932</v>
      </c>
      <c r="W1382" s="129" t="s">
        <v>1934</v>
      </c>
      <c r="X1382" s="129" t="s">
        <v>888</v>
      </c>
      <c r="Y1382" s="129" t="s">
        <v>3096</v>
      </c>
      <c r="Z1382" s="129" t="s">
        <v>129</v>
      </c>
      <c r="AA1382" s="147" t="s">
        <v>888</v>
      </c>
    </row>
    <row r="1383" spans="1:27" ht="18.600000000000001" customHeight="1">
      <c r="A1383" s="143" t="str">
        <f>IF(priority(Main[[#This Row],[Comments]])&lt;&gt;0, priority(Main[[#This Row],[Comments]]),"")</f>
        <v/>
      </c>
      <c r="B1383" s="128" t="s">
        <v>2168</v>
      </c>
      <c r="C1383" s="129" t="s">
        <v>4</v>
      </c>
      <c r="D1383" s="161" t="s">
        <v>2872</v>
      </c>
      <c r="E1383" s="163">
        <v>40772.344918981478</v>
      </c>
      <c r="F1383" s="163"/>
      <c r="G1383" s="165" t="str">
        <f>IF(stdProdLT(Main[[#This Row],[Comments]])=0.1,"N/A",IF(stdProdLT(Main[[#This Row],[Comments]])=0,"",stdProdLT(Main[[#This Row],[Comments]])))</f>
        <v/>
      </c>
      <c r="H1383" s="167" t="str">
        <f>IF(AND(Main[[#This Row],[In Stock Date]]&lt;&gt;"",Main[[#This Row],[Revised Due Date]]&lt;&gt;""),Main[[#This Row],[In Stock Date]]-Main[[#This Row],[Revised Due Date]],"")</f>
        <v/>
      </c>
      <c r="I1383" s="129" t="s">
        <v>888</v>
      </c>
      <c r="J1383" s="129" t="s">
        <v>28</v>
      </c>
      <c r="K1383" s="129" t="s">
        <v>1939</v>
      </c>
      <c r="L1383" s="163">
        <v>40772</v>
      </c>
      <c r="M1383" s="170">
        <f>IF(Main[[#This Row],[Tech Start Date]]&lt;1/1/1990,"",IF(Main[[#This Row],[Class]]="C",WORKDAY(Main[[#This Row],[Tech Start Date]],9),IF(Main[[#This Row],[Class]]="B", WORKDAY(Main[[#This Row],[Tech Start Date]],6),IF(Main[[#This Row],[Class]]="A",WORKDAY(Main[[#This Row],[Tech Start Date]],2),""))))</f>
        <v>40780</v>
      </c>
      <c r="N1383" s="170">
        <f>IF(Main[[#This Row],[Tech Start Date]]&lt;1/1/1990,"",IF(Main[[#This Row],[Class]]="C",WORKDAY(Main[[#This Row],[Tech Start Date]],19),IF(Main[[#This Row],[Class]]="B", WORKDAY(Main[[#This Row],[Tech Start Date]],12),IF(Main[[#This Row],[Class]]="A",WORKDAY(Main[[#This Row],[Tech Start Date]],4),""))))</f>
        <v>40788</v>
      </c>
      <c r="O1383" s="170">
        <f>IF(Main[[#This Row],[Tech Start Date]]&lt;1/1/1990,"",IF(Main[[#This Row],[Class]]="C",WORKDAY(Main[[#This Row],[Tech Start Date]],23),IF(Main[[#This Row],[Class]]="B", WORKDAY(Main[[#This Row],[Tech Start Date]],15),IF(Main[[#This Row],[Class]]="A",WORKDAY(Main[[#This Row],[Tech Start Date]],5),""))))</f>
        <v>40793</v>
      </c>
      <c r="P1383" s="170">
        <f>IF(Main[[#This Row],[Tech Start Date]]&lt;1/1/1990,"",IF(Main[[#This Row],[Class]]="C",WORKDAY(Main[[#This Row],[Tech Start Date]],28),IF(Main[[#This Row],[Class]]="B", WORKDAY(Main[[#This Row],[Tech Start Date]],19),IF(Main[[#This Row],[Class]]="A",WORKDAY(Main[[#This Row],[Tech Start Date]],9),""))))</f>
        <v>40799</v>
      </c>
      <c r="Q1383" s="163">
        <v>40779</v>
      </c>
      <c r="R1383" s="163">
        <v>40907</v>
      </c>
      <c r="S1383" s="129" t="s">
        <v>6</v>
      </c>
      <c r="T1383" s="174" t="s">
        <v>4</v>
      </c>
      <c r="U1383" s="129" t="s">
        <v>29</v>
      </c>
      <c r="V1383" s="129" t="s">
        <v>1932</v>
      </c>
      <c r="W1383" s="129" t="s">
        <v>1940</v>
      </c>
      <c r="X1383" s="129" t="s">
        <v>888</v>
      </c>
      <c r="Y1383" s="129" t="s">
        <v>4</v>
      </c>
      <c r="Z1383" s="129" t="s">
        <v>129</v>
      </c>
      <c r="AA1383" s="147" t="s">
        <v>3664</v>
      </c>
    </row>
    <row r="1384" spans="1:27" ht="18.600000000000001" customHeight="1">
      <c r="A1384" s="143" t="str">
        <f>IF(priority(Main[[#This Row],[Comments]])&lt;&gt;0, priority(Main[[#This Row],[Comments]]),"")</f>
        <v/>
      </c>
      <c r="B1384" s="128" t="s">
        <v>2173</v>
      </c>
      <c r="C1384" s="129" t="s">
        <v>53</v>
      </c>
      <c r="D1384" s="161" t="s">
        <v>2174</v>
      </c>
      <c r="E1384" s="163">
        <v>40774.327164351853</v>
      </c>
      <c r="F1384" s="163">
        <v>40786</v>
      </c>
      <c r="G1384" s="165" t="str">
        <f>IF(stdProdLT(Main[[#This Row],[Comments]])=0.1,"N/A",IF(stdProdLT(Main[[#This Row],[Comments]])=0,"",stdProdLT(Main[[#This Row],[Comments]])))</f>
        <v/>
      </c>
      <c r="H1384" s="167">
        <f>IF(AND(Main[[#This Row],[In Stock Date]]&lt;&gt;"",Main[[#This Row],[Revised Due Date]]&lt;&gt;""),Main[[#This Row],[In Stock Date]]-Main[[#This Row],[Revised Due Date]],"")</f>
        <v>-6</v>
      </c>
      <c r="I1384" s="129" t="s">
        <v>2075</v>
      </c>
      <c r="J1384" s="129" t="s">
        <v>52</v>
      </c>
      <c r="K1384" s="129" t="s">
        <v>1941</v>
      </c>
      <c r="L1384" s="163">
        <v>40777</v>
      </c>
      <c r="M1384" s="170">
        <f>IF(Main[[#This Row],[Tech Start Date]]&lt;1/1/1990,"",IF(Main[[#This Row],[Class]]="C",WORKDAY(Main[[#This Row],[Tech Start Date]],9),IF(Main[[#This Row],[Class]]="B", WORKDAY(Main[[#This Row],[Tech Start Date]],6),IF(Main[[#This Row],[Class]]="A",WORKDAY(Main[[#This Row],[Tech Start Date]],2),""))))</f>
        <v>40779</v>
      </c>
      <c r="N1384" s="170">
        <f>IF(Main[[#This Row],[Tech Start Date]]&lt;1/1/1990,"",IF(Main[[#This Row],[Class]]="C",WORKDAY(Main[[#This Row],[Tech Start Date]],19),IF(Main[[#This Row],[Class]]="B", WORKDAY(Main[[#This Row],[Tech Start Date]],12),IF(Main[[#This Row],[Class]]="A",WORKDAY(Main[[#This Row],[Tech Start Date]],4),""))))</f>
        <v>40781</v>
      </c>
      <c r="O1384" s="170">
        <f>IF(Main[[#This Row],[Tech Start Date]]&lt;1/1/1990,"",IF(Main[[#This Row],[Class]]="C",WORKDAY(Main[[#This Row],[Tech Start Date]],23),IF(Main[[#This Row],[Class]]="B", WORKDAY(Main[[#This Row],[Tech Start Date]],15),IF(Main[[#This Row],[Class]]="A",WORKDAY(Main[[#This Row],[Tech Start Date]],5),""))))</f>
        <v>40784</v>
      </c>
      <c r="P1384" s="170">
        <f>IF(Main[[#This Row],[Tech Start Date]]&lt;1/1/1990,"",IF(Main[[#This Row],[Class]]="C",WORKDAY(Main[[#This Row],[Tech Start Date]],28),IF(Main[[#This Row],[Class]]="B", WORKDAY(Main[[#This Row],[Tech Start Date]],19),IF(Main[[#This Row],[Class]]="A",WORKDAY(Main[[#This Row],[Tech Start Date]],9),""))))</f>
        <v>40788</v>
      </c>
      <c r="Q1384" s="163"/>
      <c r="R1384" s="163">
        <v>40792</v>
      </c>
      <c r="S1384" s="129" t="s">
        <v>6</v>
      </c>
      <c r="T1384" s="174" t="s">
        <v>4</v>
      </c>
      <c r="U1384" s="129" t="s">
        <v>29</v>
      </c>
      <c r="V1384" s="129" t="s">
        <v>1933</v>
      </c>
      <c r="W1384" s="129" t="s">
        <v>1934</v>
      </c>
      <c r="X1384" s="129" t="s">
        <v>2899</v>
      </c>
      <c r="Y1384" s="129" t="s">
        <v>3080</v>
      </c>
      <c r="Z1384" s="129" t="s">
        <v>2075</v>
      </c>
      <c r="AA1384" s="147" t="s">
        <v>2899</v>
      </c>
    </row>
    <row r="1385" spans="1:27" ht="18.600000000000001" customHeight="1">
      <c r="A1385" s="143" t="str">
        <f>IF(priority(Main[[#This Row],[Comments]])&lt;&gt;0, priority(Main[[#This Row],[Comments]]),"")</f>
        <v/>
      </c>
      <c r="B1385" s="128" t="s">
        <v>2175</v>
      </c>
      <c r="C1385" s="129" t="s">
        <v>2176</v>
      </c>
      <c r="D1385" s="161" t="s">
        <v>2177</v>
      </c>
      <c r="E1385" s="163">
        <v>40778.69290509259</v>
      </c>
      <c r="F1385" s="163"/>
      <c r="G1385" s="165" t="str">
        <f>IF(stdProdLT(Main[[#This Row],[Comments]])=0.1,"N/A",IF(stdProdLT(Main[[#This Row],[Comments]])=0,"",stdProdLT(Main[[#This Row],[Comments]])))</f>
        <v/>
      </c>
      <c r="H1385" s="167" t="str">
        <f>IF(AND(Main[[#This Row],[In Stock Date]]&lt;&gt;"",Main[[#This Row],[Revised Due Date]]&lt;&gt;""),Main[[#This Row],[In Stock Date]]-Main[[#This Row],[Revised Due Date]],"")</f>
        <v/>
      </c>
      <c r="I1385" s="129" t="s">
        <v>953</v>
      </c>
      <c r="J1385" s="129" t="s">
        <v>28</v>
      </c>
      <c r="K1385" s="168" t="s">
        <v>1939</v>
      </c>
      <c r="L1385" s="163">
        <v>40778</v>
      </c>
      <c r="M1385" s="170">
        <f>IF(Main[[#This Row],[Tech Start Date]]&lt;1/1/1990,"",IF(Main[[#This Row],[Class]]="C",WORKDAY(Main[[#This Row],[Tech Start Date]],9),IF(Main[[#This Row],[Class]]="B", WORKDAY(Main[[#This Row],[Tech Start Date]],6),IF(Main[[#This Row],[Class]]="A",WORKDAY(Main[[#This Row],[Tech Start Date]],2),""))))</f>
        <v>40786</v>
      </c>
      <c r="N1385" s="170">
        <f>IF(Main[[#This Row],[Tech Start Date]]&lt;1/1/1990,"",IF(Main[[#This Row],[Class]]="C",WORKDAY(Main[[#This Row],[Tech Start Date]],19),IF(Main[[#This Row],[Class]]="B", WORKDAY(Main[[#This Row],[Tech Start Date]],12),IF(Main[[#This Row],[Class]]="A",WORKDAY(Main[[#This Row],[Tech Start Date]],4),""))))</f>
        <v>40794</v>
      </c>
      <c r="O1385" s="170">
        <f>IF(Main[[#This Row],[Tech Start Date]]&lt;1/1/1990,"",IF(Main[[#This Row],[Class]]="C",WORKDAY(Main[[#This Row],[Tech Start Date]],23),IF(Main[[#This Row],[Class]]="B", WORKDAY(Main[[#This Row],[Tech Start Date]],15),IF(Main[[#This Row],[Class]]="A",WORKDAY(Main[[#This Row],[Tech Start Date]],5),""))))</f>
        <v>40799</v>
      </c>
      <c r="P1385" s="170">
        <f>IF(Main[[#This Row],[Tech Start Date]]&lt;1/1/1990,"",IF(Main[[#This Row],[Class]]="C",WORKDAY(Main[[#This Row],[Tech Start Date]],28),IF(Main[[#This Row],[Class]]="B", WORKDAY(Main[[#This Row],[Tech Start Date]],19),IF(Main[[#This Row],[Class]]="A",WORKDAY(Main[[#This Row],[Tech Start Date]],9),""))))</f>
        <v>40805</v>
      </c>
      <c r="Q1385" s="163"/>
      <c r="R1385" s="163">
        <v>40807</v>
      </c>
      <c r="S1385" s="129" t="s">
        <v>6</v>
      </c>
      <c r="T1385" s="174" t="s">
        <v>4</v>
      </c>
      <c r="U1385" s="129" t="s">
        <v>29</v>
      </c>
      <c r="V1385" s="129" t="s">
        <v>1933</v>
      </c>
      <c r="W1385" s="129" t="s">
        <v>1936</v>
      </c>
      <c r="X1385" s="129" t="s">
        <v>2075</v>
      </c>
      <c r="Y1385" s="129" t="s">
        <v>3242</v>
      </c>
      <c r="Z1385" s="129" t="s">
        <v>2075</v>
      </c>
      <c r="AA1385" s="147" t="s">
        <v>2075</v>
      </c>
    </row>
    <row r="1386" spans="1:27" ht="18.600000000000001" customHeight="1">
      <c r="A1386" s="143" t="str">
        <f>IF(priority(Main[[#This Row],[Comments]])&lt;&gt;0, priority(Main[[#This Row],[Comments]]),"")</f>
        <v/>
      </c>
      <c r="B1386" s="128" t="s">
        <v>2179</v>
      </c>
      <c r="C1386" s="129" t="s">
        <v>2176</v>
      </c>
      <c r="D1386" s="161" t="s">
        <v>2180</v>
      </c>
      <c r="E1386" s="163">
        <v>40778.690706018519</v>
      </c>
      <c r="F1386" s="163"/>
      <c r="G1386" s="165" t="str">
        <f>IF(stdProdLT(Main[[#This Row],[Comments]])=0.1,"N/A",IF(stdProdLT(Main[[#This Row],[Comments]])=0,"",stdProdLT(Main[[#This Row],[Comments]])))</f>
        <v/>
      </c>
      <c r="H1386" s="167" t="str">
        <f>IF(AND(Main[[#This Row],[In Stock Date]]&lt;&gt;"",Main[[#This Row],[Revised Due Date]]&lt;&gt;""),Main[[#This Row],[In Stock Date]]-Main[[#This Row],[Revised Due Date]],"")</f>
        <v/>
      </c>
      <c r="I1386" s="129" t="s">
        <v>953</v>
      </c>
      <c r="J1386" s="129" t="s">
        <v>28</v>
      </c>
      <c r="K1386" s="129" t="s">
        <v>1941</v>
      </c>
      <c r="L1386" s="163">
        <v>40778</v>
      </c>
      <c r="M1386" s="170">
        <f>IF(Main[[#This Row],[Tech Start Date]]&lt;1/1/1990,"",IF(Main[[#This Row],[Class]]="C",WORKDAY(Main[[#This Row],[Tech Start Date]],9),IF(Main[[#This Row],[Class]]="B", WORKDAY(Main[[#This Row],[Tech Start Date]],6),IF(Main[[#This Row],[Class]]="A",WORKDAY(Main[[#This Row],[Tech Start Date]],2),""))))</f>
        <v>40780</v>
      </c>
      <c r="N1386" s="170">
        <f>IF(Main[[#This Row],[Tech Start Date]]&lt;1/1/1990,"",IF(Main[[#This Row],[Class]]="C",WORKDAY(Main[[#This Row],[Tech Start Date]],19),IF(Main[[#This Row],[Class]]="B", WORKDAY(Main[[#This Row],[Tech Start Date]],12),IF(Main[[#This Row],[Class]]="A",WORKDAY(Main[[#This Row],[Tech Start Date]],4),""))))</f>
        <v>40784</v>
      </c>
      <c r="O1386" s="170">
        <f>IF(Main[[#This Row],[Tech Start Date]]&lt;1/1/1990,"",IF(Main[[#This Row],[Class]]="C",WORKDAY(Main[[#This Row],[Tech Start Date]],23),IF(Main[[#This Row],[Class]]="B", WORKDAY(Main[[#This Row],[Tech Start Date]],15),IF(Main[[#This Row],[Class]]="A",WORKDAY(Main[[#This Row],[Tech Start Date]],5),""))))</f>
        <v>40785</v>
      </c>
      <c r="P1386" s="170">
        <f>IF(Main[[#This Row],[Tech Start Date]]&lt;1/1/1990,"",IF(Main[[#This Row],[Class]]="C",WORKDAY(Main[[#This Row],[Tech Start Date]],28),IF(Main[[#This Row],[Class]]="B", WORKDAY(Main[[#This Row],[Tech Start Date]],19),IF(Main[[#This Row],[Class]]="A",WORKDAY(Main[[#This Row],[Tech Start Date]],9),""))))</f>
        <v>40791</v>
      </c>
      <c r="Q1386" s="163"/>
      <c r="R1386" s="163">
        <v>40807</v>
      </c>
      <c r="S1386" s="129" t="s">
        <v>6</v>
      </c>
      <c r="T1386" s="174" t="s">
        <v>4</v>
      </c>
      <c r="U1386" s="129" t="s">
        <v>29</v>
      </c>
      <c r="V1386" s="129" t="s">
        <v>1933</v>
      </c>
      <c r="W1386" s="129" t="s">
        <v>1934</v>
      </c>
      <c r="X1386" s="129" t="s">
        <v>2075</v>
      </c>
      <c r="Y1386" s="129" t="s">
        <v>3242</v>
      </c>
      <c r="Z1386" s="129" t="s">
        <v>2075</v>
      </c>
      <c r="AA1386" s="147" t="s">
        <v>2075</v>
      </c>
    </row>
    <row r="1387" spans="1:27" ht="18.600000000000001" customHeight="1">
      <c r="A1387" s="143" t="str">
        <f>IF(priority(Main[[#This Row],[Comments]])&lt;&gt;0, priority(Main[[#This Row],[Comments]]),"")</f>
        <v/>
      </c>
      <c r="B1387" s="128" t="s">
        <v>2235</v>
      </c>
      <c r="C1387" s="129" t="s">
        <v>2236</v>
      </c>
      <c r="D1387" s="161" t="s">
        <v>2874</v>
      </c>
      <c r="E1387" s="163"/>
      <c r="F1387" s="163">
        <v>40940</v>
      </c>
      <c r="G1387" s="165">
        <f>IF(stdProdLT(Main[[#This Row],[Comments]])=0.1,"N/A",IF(stdProdLT(Main[[#This Row],[Comments]])=0,"",stdProdLT(Main[[#This Row],[Comments]])))</f>
        <v>112</v>
      </c>
      <c r="H1387" s="167" t="str">
        <f>IF(AND(Main[[#This Row],[In Stock Date]]&lt;&gt;"",Main[[#This Row],[Revised Due Date]]&lt;&gt;""),Main[[#This Row],[In Stock Date]]-Main[[#This Row],[Revised Due Date]],"")</f>
        <v/>
      </c>
      <c r="I1387" s="129" t="s">
        <v>949</v>
      </c>
      <c r="J1387" s="129" t="s">
        <v>28</v>
      </c>
      <c r="K1387" s="129" t="s">
        <v>1939</v>
      </c>
      <c r="L1387" s="163">
        <v>40792</v>
      </c>
      <c r="M1387" s="170">
        <f>IF(Main[[#This Row],[Tech Start Date]]&lt;1/1/1990,"",IF(Main[[#This Row],[Class]]="C",WORKDAY(Main[[#This Row],[Tech Start Date]],9),IF(Main[[#This Row],[Class]]="B", WORKDAY(Main[[#This Row],[Tech Start Date]],6),IF(Main[[#This Row],[Class]]="A",WORKDAY(Main[[#This Row],[Tech Start Date]],2),""))))</f>
        <v>40800</v>
      </c>
      <c r="N1387" s="170">
        <f>IF(Main[[#This Row],[Tech Start Date]]&lt;1/1/1990,"",IF(Main[[#This Row],[Class]]="C",WORKDAY(Main[[#This Row],[Tech Start Date]],19),IF(Main[[#This Row],[Class]]="B", WORKDAY(Main[[#This Row],[Tech Start Date]],12),IF(Main[[#This Row],[Class]]="A",WORKDAY(Main[[#This Row],[Tech Start Date]],4),""))))</f>
        <v>40808</v>
      </c>
      <c r="O1387" s="170">
        <f>IF(Main[[#This Row],[Tech Start Date]]&lt;1/1/1990,"",IF(Main[[#This Row],[Class]]="C",WORKDAY(Main[[#This Row],[Tech Start Date]],23),IF(Main[[#This Row],[Class]]="B", WORKDAY(Main[[#This Row],[Tech Start Date]],15),IF(Main[[#This Row],[Class]]="A",WORKDAY(Main[[#This Row],[Tech Start Date]],5),""))))</f>
        <v>40813</v>
      </c>
      <c r="P1387" s="170">
        <f>IF(Main[[#This Row],[Tech Start Date]]&lt;1/1/1990,"",IF(Main[[#This Row],[Class]]="C",WORKDAY(Main[[#This Row],[Tech Start Date]],28),IF(Main[[#This Row],[Class]]="B", WORKDAY(Main[[#This Row],[Tech Start Date]],19),IF(Main[[#This Row],[Class]]="A",WORKDAY(Main[[#This Row],[Tech Start Date]],9),""))))</f>
        <v>40819</v>
      </c>
      <c r="Q1387" s="163">
        <v>40792</v>
      </c>
      <c r="R1387" s="163"/>
      <c r="S1387" s="129" t="s">
        <v>11</v>
      </c>
      <c r="T1387" s="174" t="s">
        <v>3452</v>
      </c>
      <c r="U1387" s="129" t="s">
        <v>14</v>
      </c>
      <c r="V1387" s="129" t="s">
        <v>1932</v>
      </c>
      <c r="W1387" s="129" t="s">
        <v>1937</v>
      </c>
      <c r="X1387" s="129" t="s">
        <v>2916</v>
      </c>
      <c r="Y1387" s="129" t="s">
        <v>3070</v>
      </c>
      <c r="Z1387" s="129" t="s">
        <v>129</v>
      </c>
      <c r="AA1387" s="147" t="s">
        <v>2933</v>
      </c>
    </row>
    <row r="1388" spans="1:27" ht="18.600000000000001" customHeight="1">
      <c r="A1388" s="143" t="str">
        <f>IF(priority(Main[[#This Row],[Comments]])&lt;&gt;0, priority(Main[[#This Row],[Comments]]),"")</f>
        <v/>
      </c>
      <c r="B1388" s="128" t="s">
        <v>2277</v>
      </c>
      <c r="C1388" s="129" t="s">
        <v>149</v>
      </c>
      <c r="D1388" s="161" t="s">
        <v>3816</v>
      </c>
      <c r="E1388" s="163">
        <v>40794.58861111111</v>
      </c>
      <c r="F1388" s="163">
        <v>41096</v>
      </c>
      <c r="G1388" s="165">
        <f>IF(stdProdLT(Main[[#This Row],[Comments]])=0.1,"N/A",IF(stdProdLT(Main[[#This Row],[Comments]])=0,"",stdProdLT(Main[[#This Row],[Comments]])))</f>
        <v>168</v>
      </c>
      <c r="H1388" s="167" t="str">
        <f>IF(AND(Main[[#This Row],[In Stock Date]]&lt;&gt;"",Main[[#This Row],[Revised Due Date]]&lt;&gt;""),Main[[#This Row],[In Stock Date]]-Main[[#This Row],[Revised Due Date]],"")</f>
        <v/>
      </c>
      <c r="I1388" s="129" t="s">
        <v>81</v>
      </c>
      <c r="J1388" s="129" t="s">
        <v>52</v>
      </c>
      <c r="K1388" s="129" t="s">
        <v>1945</v>
      </c>
      <c r="L1388" s="163">
        <v>40795</v>
      </c>
      <c r="M1388" s="170">
        <f>IF(Main[[#This Row],[Tech Start Date]]&lt;1/1/1990,"",IF(Main[[#This Row],[Class]]="C",WORKDAY(Main[[#This Row],[Tech Start Date]],9),IF(Main[[#This Row],[Class]]="B", WORKDAY(Main[[#This Row],[Tech Start Date]],6),IF(Main[[#This Row],[Class]]="A",WORKDAY(Main[[#This Row],[Tech Start Date]],2),""))))</f>
        <v>40808</v>
      </c>
      <c r="N1388" s="170">
        <f>IF(Main[[#This Row],[Tech Start Date]]&lt;1/1/1990,"",IF(Main[[#This Row],[Class]]="C",WORKDAY(Main[[#This Row],[Tech Start Date]],19),IF(Main[[#This Row],[Class]]="B", WORKDAY(Main[[#This Row],[Tech Start Date]],12),IF(Main[[#This Row],[Class]]="A",WORKDAY(Main[[#This Row],[Tech Start Date]],4),""))))</f>
        <v>40822</v>
      </c>
      <c r="O1388" s="170">
        <f>IF(Main[[#This Row],[Tech Start Date]]&lt;1/1/1990,"",IF(Main[[#This Row],[Class]]="C",WORKDAY(Main[[#This Row],[Tech Start Date]],23),IF(Main[[#This Row],[Class]]="B", WORKDAY(Main[[#This Row],[Tech Start Date]],15),IF(Main[[#This Row],[Class]]="A",WORKDAY(Main[[#This Row],[Tech Start Date]],5),""))))</f>
        <v>40828</v>
      </c>
      <c r="P1388" s="170">
        <f>IF(Main[[#This Row],[Tech Start Date]]&lt;1/1/1990,"",IF(Main[[#This Row],[Class]]="C",WORKDAY(Main[[#This Row],[Tech Start Date]],28),IF(Main[[#This Row],[Class]]="B", WORKDAY(Main[[#This Row],[Tech Start Date]],19),IF(Main[[#This Row],[Class]]="A",WORKDAY(Main[[#This Row],[Tech Start Date]],9),""))))</f>
        <v>40835</v>
      </c>
      <c r="Q1388" s="163">
        <v>40971</v>
      </c>
      <c r="R1388" s="163"/>
      <c r="S1388" s="129" t="s">
        <v>11</v>
      </c>
      <c r="T1388" s="174" t="s">
        <v>3817</v>
      </c>
      <c r="U1388" s="129" t="s">
        <v>29</v>
      </c>
      <c r="V1388" s="129" t="s">
        <v>1935</v>
      </c>
      <c r="W1388" s="129" t="s">
        <v>1940</v>
      </c>
      <c r="X1388" s="129" t="s">
        <v>2975</v>
      </c>
      <c r="Y1388" s="129" t="s">
        <v>3190</v>
      </c>
      <c r="Z1388" s="129" t="s">
        <v>775</v>
      </c>
      <c r="AA1388" s="147" t="s">
        <v>2975</v>
      </c>
    </row>
    <row r="1389" spans="1:27" ht="18.600000000000001" customHeight="1">
      <c r="A1389" s="143" t="str">
        <f>IF(priority(Main[[#This Row],[Comments]])&lt;&gt;0, priority(Main[[#This Row],[Comments]]),"")</f>
        <v/>
      </c>
      <c r="B1389" s="128" t="s">
        <v>2227</v>
      </c>
      <c r="C1389" s="129" t="s">
        <v>116</v>
      </c>
      <c r="D1389" s="161" t="s">
        <v>2228</v>
      </c>
      <c r="E1389" s="163">
        <v>40787.614270833335</v>
      </c>
      <c r="F1389" s="163"/>
      <c r="G1389" s="165" t="str">
        <f>IF(stdProdLT(Main[[#This Row],[Comments]])=0.1,"N/A",IF(stdProdLT(Main[[#This Row],[Comments]])=0,"",stdProdLT(Main[[#This Row],[Comments]])))</f>
        <v/>
      </c>
      <c r="H1389" s="167" t="str">
        <f>IF(AND(Main[[#This Row],[In Stock Date]]&lt;&gt;"",Main[[#This Row],[Revised Due Date]]&lt;&gt;""),Main[[#This Row],[In Stock Date]]-Main[[#This Row],[Revised Due Date]],"")</f>
        <v/>
      </c>
      <c r="I1389" s="129" t="s">
        <v>2278</v>
      </c>
      <c r="J1389" s="129" t="s">
        <v>28</v>
      </c>
      <c r="K1389" s="129" t="s">
        <v>1945</v>
      </c>
      <c r="L1389" s="163">
        <v>40798</v>
      </c>
      <c r="M1389" s="170">
        <f>IF(Main[[#This Row],[Tech Start Date]]&lt;1/1/1990,"",IF(Main[[#This Row],[Class]]="C",WORKDAY(Main[[#This Row],[Tech Start Date]],9),IF(Main[[#This Row],[Class]]="B", WORKDAY(Main[[#This Row],[Tech Start Date]],6),IF(Main[[#This Row],[Class]]="A",WORKDAY(Main[[#This Row],[Tech Start Date]],2),""))))</f>
        <v>40809</v>
      </c>
      <c r="N1389" s="170">
        <f>IF(Main[[#This Row],[Tech Start Date]]&lt;1/1/1990,"",IF(Main[[#This Row],[Class]]="C",WORKDAY(Main[[#This Row],[Tech Start Date]],19),IF(Main[[#This Row],[Class]]="B", WORKDAY(Main[[#This Row],[Tech Start Date]],12),IF(Main[[#This Row],[Class]]="A",WORKDAY(Main[[#This Row],[Tech Start Date]],4),""))))</f>
        <v>40823</v>
      </c>
      <c r="O1389" s="170">
        <f>IF(Main[[#This Row],[Tech Start Date]]&lt;1/1/1990,"",IF(Main[[#This Row],[Class]]="C",WORKDAY(Main[[#This Row],[Tech Start Date]],23),IF(Main[[#This Row],[Class]]="B", WORKDAY(Main[[#This Row],[Tech Start Date]],15),IF(Main[[#This Row],[Class]]="A",WORKDAY(Main[[#This Row],[Tech Start Date]],5),""))))</f>
        <v>40829</v>
      </c>
      <c r="P1389" s="170">
        <f>IF(Main[[#This Row],[Tech Start Date]]&lt;1/1/1990,"",IF(Main[[#This Row],[Class]]="C",WORKDAY(Main[[#This Row],[Tech Start Date]],28),IF(Main[[#This Row],[Class]]="B", WORKDAY(Main[[#This Row],[Tech Start Date]],19),IF(Main[[#This Row],[Class]]="A",WORKDAY(Main[[#This Row],[Tech Start Date]],9),""))))</f>
        <v>40836</v>
      </c>
      <c r="Q1389" s="163">
        <v>40914</v>
      </c>
      <c r="R1389" s="163">
        <v>40841</v>
      </c>
      <c r="S1389" s="129" t="s">
        <v>6</v>
      </c>
      <c r="T1389" s="174" t="s">
        <v>4</v>
      </c>
      <c r="U1389" s="129" t="s">
        <v>29</v>
      </c>
      <c r="V1389" s="129" t="s">
        <v>1933</v>
      </c>
      <c r="W1389" s="129" t="s">
        <v>1934</v>
      </c>
      <c r="X1389" s="129" t="s">
        <v>2075</v>
      </c>
      <c r="Y1389" s="129" t="s">
        <v>3242</v>
      </c>
      <c r="Z1389" s="129" t="s">
        <v>2075</v>
      </c>
      <c r="AA1389" s="147" t="s">
        <v>2075</v>
      </c>
    </row>
    <row r="1390" spans="1:27" ht="18.600000000000001" customHeight="1">
      <c r="A1390" s="143" t="str">
        <f>IF(priority(Main[[#This Row],[Comments]])&lt;&gt;0, priority(Main[[#This Row],[Comments]]),"")</f>
        <v/>
      </c>
      <c r="B1390" s="128" t="s">
        <v>2204</v>
      </c>
      <c r="C1390" s="129" t="s">
        <v>4</v>
      </c>
      <c r="D1390" s="161" t="s">
        <v>2205</v>
      </c>
      <c r="E1390" s="163">
        <v>40787.619050925925</v>
      </c>
      <c r="F1390" s="163"/>
      <c r="G1390" s="165" t="str">
        <f>IF(stdProdLT(Main[[#This Row],[Comments]])=0.1,"N/A",IF(stdProdLT(Main[[#This Row],[Comments]])=0,"",stdProdLT(Main[[#This Row],[Comments]])))</f>
        <v/>
      </c>
      <c r="H1390" s="167" t="str">
        <f>IF(AND(Main[[#This Row],[In Stock Date]]&lt;&gt;"",Main[[#This Row],[Revised Due Date]]&lt;&gt;""),Main[[#This Row],[In Stock Date]]-Main[[#This Row],[Revised Due Date]],"")</f>
        <v/>
      </c>
      <c r="I1390" s="129" t="s">
        <v>952</v>
      </c>
      <c r="J1390" s="129" t="s">
        <v>28</v>
      </c>
      <c r="K1390" s="129" t="s">
        <v>1945</v>
      </c>
      <c r="L1390" s="163">
        <v>40798</v>
      </c>
      <c r="M1390" s="170">
        <f>IF(Main[[#This Row],[Tech Start Date]]&lt;1/1/1990,"",IF(Main[[#This Row],[Class]]="C",WORKDAY(Main[[#This Row],[Tech Start Date]],9),IF(Main[[#This Row],[Class]]="B", WORKDAY(Main[[#This Row],[Tech Start Date]],6),IF(Main[[#This Row],[Class]]="A",WORKDAY(Main[[#This Row],[Tech Start Date]],2),""))))</f>
        <v>40809</v>
      </c>
      <c r="N1390" s="170">
        <f>IF(Main[[#This Row],[Tech Start Date]]&lt;1/1/1990,"",IF(Main[[#This Row],[Class]]="C",WORKDAY(Main[[#This Row],[Tech Start Date]],19),IF(Main[[#This Row],[Class]]="B", WORKDAY(Main[[#This Row],[Tech Start Date]],12),IF(Main[[#This Row],[Class]]="A",WORKDAY(Main[[#This Row],[Tech Start Date]],4),""))))</f>
        <v>40823</v>
      </c>
      <c r="O1390" s="170">
        <f>IF(Main[[#This Row],[Tech Start Date]]&lt;1/1/1990,"",IF(Main[[#This Row],[Class]]="C",WORKDAY(Main[[#This Row],[Tech Start Date]],23),IF(Main[[#This Row],[Class]]="B", WORKDAY(Main[[#This Row],[Tech Start Date]],15),IF(Main[[#This Row],[Class]]="A",WORKDAY(Main[[#This Row],[Tech Start Date]],5),""))))</f>
        <v>40829</v>
      </c>
      <c r="P1390" s="170">
        <f>IF(Main[[#This Row],[Tech Start Date]]&lt;1/1/1990,"",IF(Main[[#This Row],[Class]]="C",WORKDAY(Main[[#This Row],[Tech Start Date]],28),IF(Main[[#This Row],[Class]]="B", WORKDAY(Main[[#This Row],[Tech Start Date]],19),IF(Main[[#This Row],[Class]]="A",WORKDAY(Main[[#This Row],[Tech Start Date]],9),""))))</f>
        <v>40836</v>
      </c>
      <c r="Q1390" s="163">
        <v>40914</v>
      </c>
      <c r="R1390" s="163">
        <v>40841</v>
      </c>
      <c r="S1390" s="129" t="s">
        <v>6</v>
      </c>
      <c r="T1390" s="174" t="s">
        <v>4</v>
      </c>
      <c r="U1390" s="129" t="s">
        <v>29</v>
      </c>
      <c r="V1390" s="129" t="s">
        <v>1933</v>
      </c>
      <c r="W1390" s="129" t="s">
        <v>1934</v>
      </c>
      <c r="X1390" s="129" t="s">
        <v>2075</v>
      </c>
      <c r="Y1390" s="129" t="s">
        <v>3242</v>
      </c>
      <c r="Z1390" s="129" t="s">
        <v>2075</v>
      </c>
      <c r="AA1390" s="147" t="s">
        <v>2075</v>
      </c>
    </row>
    <row r="1391" spans="1:27" ht="18.600000000000001" customHeight="1">
      <c r="A1391" s="143" t="str">
        <f>IF(priority(Main[[#This Row],[Comments]])&lt;&gt;0, priority(Main[[#This Row],[Comments]]),"")</f>
        <v/>
      </c>
      <c r="B1391" s="128" t="s">
        <v>2257</v>
      </c>
      <c r="C1391" s="129" t="s">
        <v>2258</v>
      </c>
      <c r="D1391" s="161" t="s">
        <v>2259</v>
      </c>
      <c r="E1391" s="163"/>
      <c r="F1391" s="163">
        <v>40814</v>
      </c>
      <c r="G1391" s="165">
        <f>IF(stdProdLT(Main[[#This Row],[Comments]])=0.1,"N/A",IF(stdProdLT(Main[[#This Row],[Comments]])=0,"",stdProdLT(Main[[#This Row],[Comments]])))</f>
        <v>112</v>
      </c>
      <c r="H1391" s="167">
        <f>IF(AND(Main[[#This Row],[In Stock Date]]&lt;&gt;"",Main[[#This Row],[Revised Due Date]]&lt;&gt;""),Main[[#This Row],[In Stock Date]]-Main[[#This Row],[Revised Due Date]],"")</f>
        <v>-6</v>
      </c>
      <c r="I1391" s="129" t="s">
        <v>2066</v>
      </c>
      <c r="J1391" s="129" t="s">
        <v>28</v>
      </c>
      <c r="K1391" s="129" t="s">
        <v>1941</v>
      </c>
      <c r="L1391" s="163">
        <v>40805</v>
      </c>
      <c r="M1391" s="170">
        <f>IF(Main[[#This Row],[Tech Start Date]]&lt;1/1/1990,"",IF(Main[[#This Row],[Class]]="C",WORKDAY(Main[[#This Row],[Tech Start Date]],9),IF(Main[[#This Row],[Class]]="B", WORKDAY(Main[[#This Row],[Tech Start Date]],6),IF(Main[[#This Row],[Class]]="A",WORKDAY(Main[[#This Row],[Tech Start Date]],2),""))))</f>
        <v>40807</v>
      </c>
      <c r="N1391" s="170">
        <f>IF(Main[[#This Row],[Tech Start Date]]&lt;1/1/1990,"",IF(Main[[#This Row],[Class]]="C",WORKDAY(Main[[#This Row],[Tech Start Date]],19),IF(Main[[#This Row],[Class]]="B", WORKDAY(Main[[#This Row],[Tech Start Date]],12),IF(Main[[#This Row],[Class]]="A",WORKDAY(Main[[#This Row],[Tech Start Date]],4),""))))</f>
        <v>40809</v>
      </c>
      <c r="O1391" s="170">
        <f>IF(Main[[#This Row],[Tech Start Date]]&lt;1/1/1990,"",IF(Main[[#This Row],[Class]]="C",WORKDAY(Main[[#This Row],[Tech Start Date]],23),IF(Main[[#This Row],[Class]]="B", WORKDAY(Main[[#This Row],[Tech Start Date]],15),IF(Main[[#This Row],[Class]]="A",WORKDAY(Main[[#This Row],[Tech Start Date]],5),""))))</f>
        <v>40812</v>
      </c>
      <c r="P1391" s="170">
        <f>IF(Main[[#This Row],[Tech Start Date]]&lt;1/1/1990,"",IF(Main[[#This Row],[Class]]="C",WORKDAY(Main[[#This Row],[Tech Start Date]],28),IF(Main[[#This Row],[Class]]="B", WORKDAY(Main[[#This Row],[Tech Start Date]],19),IF(Main[[#This Row],[Class]]="A",WORKDAY(Main[[#This Row],[Tech Start Date]],9),""))))</f>
        <v>40816</v>
      </c>
      <c r="Q1391" s="163">
        <v>40819</v>
      </c>
      <c r="R1391" s="163">
        <v>40820</v>
      </c>
      <c r="S1391" s="129" t="s">
        <v>11</v>
      </c>
      <c r="T1391" s="174" t="s">
        <v>2292</v>
      </c>
      <c r="U1391" s="129" t="s">
        <v>14</v>
      </c>
      <c r="V1391" s="129" t="s">
        <v>1935</v>
      </c>
      <c r="W1391" s="129" t="s">
        <v>1940</v>
      </c>
      <c r="X1391" s="129" t="s">
        <v>3007</v>
      </c>
      <c r="Y1391" s="129" t="s">
        <v>4</v>
      </c>
      <c r="Z1391" s="129" t="s">
        <v>2066</v>
      </c>
      <c r="AA1391" s="147" t="s">
        <v>3007</v>
      </c>
    </row>
    <row r="1392" spans="1:27" ht="18.600000000000001" customHeight="1">
      <c r="A1392" s="143" t="str">
        <f>IF(priority(Main[[#This Row],[Comments]])&lt;&gt;0, priority(Main[[#This Row],[Comments]]),"")</f>
        <v/>
      </c>
      <c r="B1392" s="128" t="s">
        <v>2099</v>
      </c>
      <c r="C1392" s="129" t="s">
        <v>33</v>
      </c>
      <c r="D1392" s="161" t="s">
        <v>2875</v>
      </c>
      <c r="E1392" s="163">
        <v>40776.124837962961</v>
      </c>
      <c r="F1392" s="163">
        <v>41007</v>
      </c>
      <c r="G1392" s="165">
        <f>IF(stdProdLT(Main[[#This Row],[Comments]])=0.1,"N/A",IF(stdProdLT(Main[[#This Row],[Comments]])=0,"",stdProdLT(Main[[#This Row],[Comments]])))</f>
        <v>112</v>
      </c>
      <c r="H1392" s="167" t="str">
        <f>IF(AND(Main[[#This Row],[In Stock Date]]&lt;&gt;"",Main[[#This Row],[Revised Due Date]]&lt;&gt;""),Main[[#This Row],[In Stock Date]]-Main[[#This Row],[Revised Due Date]],"")</f>
        <v/>
      </c>
      <c r="I1392" s="129" t="s">
        <v>923</v>
      </c>
      <c r="J1392" s="129" t="s">
        <v>52</v>
      </c>
      <c r="K1392" s="129" t="s">
        <v>1945</v>
      </c>
      <c r="L1392" s="163">
        <v>40805</v>
      </c>
      <c r="M1392" s="170">
        <f>IF(Main[[#This Row],[Tech Start Date]]&lt;1/1/1990,"",IF(Main[[#This Row],[Class]]="C",WORKDAY(Main[[#This Row],[Tech Start Date]],9),IF(Main[[#This Row],[Class]]="B", WORKDAY(Main[[#This Row],[Tech Start Date]],6),IF(Main[[#This Row],[Class]]="A",WORKDAY(Main[[#This Row],[Tech Start Date]],2),""))))</f>
        <v>40816</v>
      </c>
      <c r="N1392" s="170">
        <f>IF(Main[[#This Row],[Tech Start Date]]&lt;1/1/1990,"",IF(Main[[#This Row],[Class]]="C",WORKDAY(Main[[#This Row],[Tech Start Date]],19),IF(Main[[#This Row],[Class]]="B", WORKDAY(Main[[#This Row],[Tech Start Date]],12),IF(Main[[#This Row],[Class]]="A",WORKDAY(Main[[#This Row],[Tech Start Date]],4),""))))</f>
        <v>40830</v>
      </c>
      <c r="O1392" s="170">
        <f>IF(Main[[#This Row],[Tech Start Date]]&lt;1/1/1990,"",IF(Main[[#This Row],[Class]]="C",WORKDAY(Main[[#This Row],[Tech Start Date]],23),IF(Main[[#This Row],[Class]]="B", WORKDAY(Main[[#This Row],[Tech Start Date]],15),IF(Main[[#This Row],[Class]]="A",WORKDAY(Main[[#This Row],[Tech Start Date]],5),""))))</f>
        <v>40836</v>
      </c>
      <c r="P1392" s="170">
        <f>IF(Main[[#This Row],[Tech Start Date]]&lt;1/1/1990,"",IF(Main[[#This Row],[Class]]="C",WORKDAY(Main[[#This Row],[Tech Start Date]],28),IF(Main[[#This Row],[Class]]="B", WORKDAY(Main[[#This Row],[Tech Start Date]],19),IF(Main[[#This Row],[Class]]="A",WORKDAY(Main[[#This Row],[Tech Start Date]],9),""))))</f>
        <v>40843</v>
      </c>
      <c r="Q1392" s="163">
        <v>40811</v>
      </c>
      <c r="R1392" s="163"/>
      <c r="S1392" s="129" t="s">
        <v>11</v>
      </c>
      <c r="T1392" s="174" t="s">
        <v>3555</v>
      </c>
      <c r="U1392" s="129" t="s">
        <v>29</v>
      </c>
      <c r="V1392" s="129" t="s">
        <v>1932</v>
      </c>
      <c r="W1392" s="129" t="s">
        <v>1937</v>
      </c>
      <c r="X1392" s="129" t="s">
        <v>2910</v>
      </c>
      <c r="Y1392" s="129" t="s">
        <v>3033</v>
      </c>
      <c r="Z1392" s="129" t="s">
        <v>129</v>
      </c>
      <c r="AA1392" s="147" t="s">
        <v>2910</v>
      </c>
    </row>
    <row r="1393" spans="1:27" ht="18.600000000000001" customHeight="1">
      <c r="A1393" s="143" t="str">
        <f>IF(priority(Main[[#This Row],[Comments]])&lt;&gt;0, priority(Main[[#This Row],[Comments]]),"")</f>
        <v/>
      </c>
      <c r="B1393" s="128" t="s">
        <v>2119</v>
      </c>
      <c r="C1393" s="129" t="s">
        <v>4</v>
      </c>
      <c r="D1393" s="161" t="s">
        <v>2876</v>
      </c>
      <c r="E1393" s="163">
        <v>40760.556030092594</v>
      </c>
      <c r="F1393" s="163"/>
      <c r="G1393" s="165" t="str">
        <f>IF(stdProdLT(Main[[#This Row],[Comments]])=0.1,"N/A",IF(stdProdLT(Main[[#This Row],[Comments]])=0,"",stdProdLT(Main[[#This Row],[Comments]])))</f>
        <v/>
      </c>
      <c r="H1393" s="167" t="str">
        <f>IF(AND(Main[[#This Row],[In Stock Date]]&lt;&gt;"",Main[[#This Row],[Revised Due Date]]&lt;&gt;""),Main[[#This Row],[In Stock Date]]-Main[[#This Row],[Revised Due Date]],"")</f>
        <v/>
      </c>
      <c r="I1393" s="129" t="s">
        <v>900</v>
      </c>
      <c r="J1393" s="129" t="s">
        <v>4</v>
      </c>
      <c r="K1393" s="129" t="s">
        <v>1944</v>
      </c>
      <c r="L1393" s="163">
        <v>40805</v>
      </c>
      <c r="M1393" s="170" t="str">
        <f>IF(Main[[#This Row],[Tech Start Date]]&lt;1/1/1990,"",IF(Main[[#This Row],[Class]]="C",WORKDAY(Main[[#This Row],[Tech Start Date]],9),IF(Main[[#This Row],[Class]]="B", WORKDAY(Main[[#This Row],[Tech Start Date]],6),IF(Main[[#This Row],[Class]]="A",WORKDAY(Main[[#This Row],[Tech Start Date]],2),""))))</f>
        <v/>
      </c>
      <c r="N1393" s="170" t="str">
        <f>IF(Main[[#This Row],[Tech Start Date]]&lt;1/1/1990,"",IF(Main[[#This Row],[Class]]="C",WORKDAY(Main[[#This Row],[Tech Start Date]],19),IF(Main[[#This Row],[Class]]="B", WORKDAY(Main[[#This Row],[Tech Start Date]],12),IF(Main[[#This Row],[Class]]="A",WORKDAY(Main[[#This Row],[Tech Start Date]],4),""))))</f>
        <v/>
      </c>
      <c r="O1393" s="170" t="str">
        <f>IF(Main[[#This Row],[Tech Start Date]]&lt;1/1/1990,"",IF(Main[[#This Row],[Class]]="C",WORKDAY(Main[[#This Row],[Tech Start Date]],23),IF(Main[[#This Row],[Class]]="B", WORKDAY(Main[[#This Row],[Tech Start Date]],15),IF(Main[[#This Row],[Class]]="A",WORKDAY(Main[[#This Row],[Tech Start Date]],5),""))))</f>
        <v/>
      </c>
      <c r="P1393" s="170" t="str">
        <f>IF(Main[[#This Row],[Tech Start Date]]&lt;1/1/1990,"",IF(Main[[#This Row],[Class]]="C",WORKDAY(Main[[#This Row],[Tech Start Date]],28),IF(Main[[#This Row],[Class]]="B", WORKDAY(Main[[#This Row],[Tech Start Date]],19),IF(Main[[#This Row],[Class]]="A",WORKDAY(Main[[#This Row],[Tech Start Date]],9),""))))</f>
        <v/>
      </c>
      <c r="Q1393" s="163"/>
      <c r="R1393" s="163">
        <v>41075</v>
      </c>
      <c r="S1393" s="129" t="s">
        <v>6</v>
      </c>
      <c r="T1393" s="174" t="s">
        <v>4</v>
      </c>
      <c r="U1393" s="129" t="s">
        <v>29</v>
      </c>
      <c r="V1393" s="129" t="s">
        <v>1932</v>
      </c>
      <c r="W1393" s="129" t="s">
        <v>1936</v>
      </c>
      <c r="X1393" s="129" t="s">
        <v>310</v>
      </c>
      <c r="Y1393" s="129" t="s">
        <v>4</v>
      </c>
      <c r="Z1393" s="129" t="s">
        <v>888</v>
      </c>
      <c r="AA1393" s="147" t="s">
        <v>4</v>
      </c>
    </row>
    <row r="1394" spans="1:27" ht="18.600000000000001" customHeight="1">
      <c r="A1394" s="143" t="str">
        <f>IF(priority(Main[[#This Row],[Comments]])&lt;&gt;0, priority(Main[[#This Row],[Comments]]),"")</f>
        <v/>
      </c>
      <c r="B1394" s="128" t="s">
        <v>2660</v>
      </c>
      <c r="C1394" s="129" t="s">
        <v>523</v>
      </c>
      <c r="D1394" s="161" t="s">
        <v>2661</v>
      </c>
      <c r="E1394" s="163"/>
      <c r="F1394" s="163">
        <v>40854</v>
      </c>
      <c r="G1394" s="165">
        <f>IF(stdProdLT(Main[[#This Row],[Comments]])=0.1,"N/A",IF(stdProdLT(Main[[#This Row],[Comments]])=0,"",stdProdLT(Main[[#This Row],[Comments]])))</f>
        <v>98</v>
      </c>
      <c r="H1394" s="167">
        <f>IF(AND(Main[[#This Row],[In Stock Date]]&lt;&gt;"",Main[[#This Row],[Revised Due Date]]&lt;&gt;""),Main[[#This Row],[In Stock Date]]-Main[[#This Row],[Revised Due Date]],"")</f>
        <v>18</v>
      </c>
      <c r="I1394" s="129" t="s">
        <v>2066</v>
      </c>
      <c r="J1394" s="129" t="s">
        <v>28</v>
      </c>
      <c r="K1394" s="129" t="s">
        <v>1941</v>
      </c>
      <c r="L1394" s="163">
        <v>40821</v>
      </c>
      <c r="M1394" s="170">
        <f>IF(Main[[#This Row],[Tech Start Date]]&lt;1/1/1990,"",IF(Main[[#This Row],[Class]]="C",WORKDAY(Main[[#This Row],[Tech Start Date]],9),IF(Main[[#This Row],[Class]]="B", WORKDAY(Main[[#This Row],[Tech Start Date]],6),IF(Main[[#This Row],[Class]]="A",WORKDAY(Main[[#This Row],[Tech Start Date]],2),""))))</f>
        <v>40823</v>
      </c>
      <c r="N1394" s="170">
        <f>IF(Main[[#This Row],[Tech Start Date]]&lt;1/1/1990,"",IF(Main[[#This Row],[Class]]="C",WORKDAY(Main[[#This Row],[Tech Start Date]],19),IF(Main[[#This Row],[Class]]="B", WORKDAY(Main[[#This Row],[Tech Start Date]],12),IF(Main[[#This Row],[Class]]="A",WORKDAY(Main[[#This Row],[Tech Start Date]],4),""))))</f>
        <v>40827</v>
      </c>
      <c r="O1394" s="170">
        <f>IF(Main[[#This Row],[Tech Start Date]]&lt;1/1/1990,"",IF(Main[[#This Row],[Class]]="C",WORKDAY(Main[[#This Row],[Tech Start Date]],23),IF(Main[[#This Row],[Class]]="B", WORKDAY(Main[[#This Row],[Tech Start Date]],15),IF(Main[[#This Row],[Class]]="A",WORKDAY(Main[[#This Row],[Tech Start Date]],5),""))))</f>
        <v>40828</v>
      </c>
      <c r="P1394" s="170">
        <f>IF(Main[[#This Row],[Tech Start Date]]&lt;1/1/1990,"",IF(Main[[#This Row],[Class]]="C",WORKDAY(Main[[#This Row],[Tech Start Date]],28),IF(Main[[#This Row],[Class]]="B", WORKDAY(Main[[#This Row],[Tech Start Date]],19),IF(Main[[#This Row],[Class]]="A",WORKDAY(Main[[#This Row],[Tech Start Date]],9),""))))</f>
        <v>40834</v>
      </c>
      <c r="Q1394" s="163"/>
      <c r="R1394" s="163">
        <v>40836</v>
      </c>
      <c r="S1394" s="129" t="s">
        <v>11</v>
      </c>
      <c r="T1394" s="174" t="s">
        <v>2662</v>
      </c>
      <c r="U1394" s="129" t="s">
        <v>14</v>
      </c>
      <c r="V1394" s="129" t="s">
        <v>1935</v>
      </c>
      <c r="W1394" s="129" t="s">
        <v>1940</v>
      </c>
      <c r="X1394" s="129" t="s">
        <v>50</v>
      </c>
      <c r="Y1394" s="129" t="s">
        <v>3245</v>
      </c>
      <c r="Z1394" s="129" t="s">
        <v>535</v>
      </c>
      <c r="AA1394" s="147" t="s">
        <v>3665</v>
      </c>
    </row>
    <row r="1395" spans="1:27" ht="18.600000000000001" customHeight="1">
      <c r="A1395" s="143" t="str">
        <f>IF(priority(Main[[#This Row],[Comments]])&lt;&gt;0, priority(Main[[#This Row],[Comments]]),"")</f>
        <v/>
      </c>
      <c r="B1395" s="128" t="s">
        <v>2663</v>
      </c>
      <c r="C1395" s="129" t="s">
        <v>116</v>
      </c>
      <c r="D1395" s="161" t="s">
        <v>2664</v>
      </c>
      <c r="E1395" s="163">
        <v>40823.419490740744</v>
      </c>
      <c r="F1395" s="163"/>
      <c r="G1395" s="165" t="str">
        <f>IF(stdProdLT(Main[[#This Row],[Comments]])=0.1,"N/A",IF(stdProdLT(Main[[#This Row],[Comments]])=0,"",stdProdLT(Main[[#This Row],[Comments]])))</f>
        <v/>
      </c>
      <c r="H1395" s="167" t="str">
        <f>IF(AND(Main[[#This Row],[In Stock Date]]&lt;&gt;"",Main[[#This Row],[Revised Due Date]]&lt;&gt;""),Main[[#This Row],[In Stock Date]]-Main[[#This Row],[Revised Due Date]],"")</f>
        <v/>
      </c>
      <c r="I1395" s="129" t="s">
        <v>242</v>
      </c>
      <c r="J1395" s="129" t="s">
        <v>21</v>
      </c>
      <c r="K1395" s="129" t="s">
        <v>1939</v>
      </c>
      <c r="L1395" s="163">
        <v>40823</v>
      </c>
      <c r="M1395" s="170">
        <f>IF(Main[[#This Row],[Tech Start Date]]&lt;1/1/1990,"",IF(Main[[#This Row],[Class]]="C",WORKDAY(Main[[#This Row],[Tech Start Date]],9),IF(Main[[#This Row],[Class]]="B", WORKDAY(Main[[#This Row],[Tech Start Date]],6),IF(Main[[#This Row],[Class]]="A",WORKDAY(Main[[#This Row],[Tech Start Date]],2),""))))</f>
        <v>40833</v>
      </c>
      <c r="N1395" s="170">
        <f>IF(Main[[#This Row],[Tech Start Date]]&lt;1/1/1990,"",IF(Main[[#This Row],[Class]]="C",WORKDAY(Main[[#This Row],[Tech Start Date]],19),IF(Main[[#This Row],[Class]]="B", WORKDAY(Main[[#This Row],[Tech Start Date]],12),IF(Main[[#This Row],[Class]]="A",WORKDAY(Main[[#This Row],[Tech Start Date]],4),""))))</f>
        <v>40841</v>
      </c>
      <c r="O1395" s="170">
        <f>IF(Main[[#This Row],[Tech Start Date]]&lt;1/1/1990,"",IF(Main[[#This Row],[Class]]="C",WORKDAY(Main[[#This Row],[Tech Start Date]],23),IF(Main[[#This Row],[Class]]="B", WORKDAY(Main[[#This Row],[Tech Start Date]],15),IF(Main[[#This Row],[Class]]="A",WORKDAY(Main[[#This Row],[Tech Start Date]],5),""))))</f>
        <v>40844</v>
      </c>
      <c r="P1395" s="170">
        <f>IF(Main[[#This Row],[Tech Start Date]]&lt;1/1/1990,"",IF(Main[[#This Row],[Class]]="C",WORKDAY(Main[[#This Row],[Tech Start Date]],28),IF(Main[[#This Row],[Class]]="B", WORKDAY(Main[[#This Row],[Tech Start Date]],19),IF(Main[[#This Row],[Class]]="A",WORKDAY(Main[[#This Row],[Tech Start Date]],9),""))))</f>
        <v>40850</v>
      </c>
      <c r="Q1395" s="163"/>
      <c r="R1395" s="163">
        <v>40837</v>
      </c>
      <c r="S1395" s="129" t="s">
        <v>6</v>
      </c>
      <c r="T1395" s="174" t="s">
        <v>4</v>
      </c>
      <c r="U1395" s="129" t="s">
        <v>29</v>
      </c>
      <c r="V1395" s="129" t="s">
        <v>1935</v>
      </c>
      <c r="W1395" s="129" t="s">
        <v>1936</v>
      </c>
      <c r="X1395" s="129" t="s">
        <v>2066</v>
      </c>
      <c r="Y1395" s="129" t="s">
        <v>3246</v>
      </c>
      <c r="Z1395" s="129" t="s">
        <v>535</v>
      </c>
      <c r="AA1395" s="147" t="s">
        <v>2066</v>
      </c>
    </row>
    <row r="1396" spans="1:27" ht="18.600000000000001" customHeight="1">
      <c r="A1396" s="143" t="str">
        <f>IF(priority(Main[[#This Row],[Comments]])&lt;&gt;0, priority(Main[[#This Row],[Comments]]),"")</f>
        <v/>
      </c>
      <c r="B1396" s="128" t="s">
        <v>2667</v>
      </c>
      <c r="C1396" s="129" t="s">
        <v>116</v>
      </c>
      <c r="D1396" s="161" t="s">
        <v>2668</v>
      </c>
      <c r="E1396" s="163"/>
      <c r="F1396" s="163"/>
      <c r="G1396" s="165" t="str">
        <f>IF(stdProdLT(Main[[#This Row],[Comments]])=0.1,"N/A",IF(stdProdLT(Main[[#This Row],[Comments]])=0,"",stdProdLT(Main[[#This Row],[Comments]])))</f>
        <v>N/A</v>
      </c>
      <c r="H1396" s="167" t="str">
        <f>IF(AND(Main[[#This Row],[In Stock Date]]&lt;&gt;"",Main[[#This Row],[Revised Due Date]]&lt;&gt;""),Main[[#This Row],[In Stock Date]]-Main[[#This Row],[Revised Due Date]],"")</f>
        <v/>
      </c>
      <c r="I1396" s="129" t="s">
        <v>173</v>
      </c>
      <c r="J1396" s="129" t="s">
        <v>1998</v>
      </c>
      <c r="K1396" s="129" t="s">
        <v>1941</v>
      </c>
      <c r="L1396" s="163">
        <v>40835</v>
      </c>
      <c r="M1396" s="170">
        <f>IF(Main[[#This Row],[Tech Start Date]]&lt;1/1/1990,"",IF(Main[[#This Row],[Class]]="C",WORKDAY(Main[[#This Row],[Tech Start Date]],9),IF(Main[[#This Row],[Class]]="B", WORKDAY(Main[[#This Row],[Tech Start Date]],6),IF(Main[[#This Row],[Class]]="A",WORKDAY(Main[[#This Row],[Tech Start Date]],2),""))))</f>
        <v>40837</v>
      </c>
      <c r="N1396" s="170">
        <f>IF(Main[[#This Row],[Tech Start Date]]&lt;1/1/1990,"",IF(Main[[#This Row],[Class]]="C",WORKDAY(Main[[#This Row],[Tech Start Date]],19),IF(Main[[#This Row],[Class]]="B", WORKDAY(Main[[#This Row],[Tech Start Date]],12),IF(Main[[#This Row],[Class]]="A",WORKDAY(Main[[#This Row],[Tech Start Date]],4),""))))</f>
        <v>40841</v>
      </c>
      <c r="O1396" s="170">
        <f>IF(Main[[#This Row],[Tech Start Date]]&lt;1/1/1990,"",IF(Main[[#This Row],[Class]]="C",WORKDAY(Main[[#This Row],[Tech Start Date]],23),IF(Main[[#This Row],[Class]]="B", WORKDAY(Main[[#This Row],[Tech Start Date]],15),IF(Main[[#This Row],[Class]]="A",WORKDAY(Main[[#This Row],[Tech Start Date]],5),""))))</f>
        <v>40842</v>
      </c>
      <c r="P1396" s="170">
        <f>IF(Main[[#This Row],[Tech Start Date]]&lt;1/1/1990,"",IF(Main[[#This Row],[Class]]="C",WORKDAY(Main[[#This Row],[Tech Start Date]],28),IF(Main[[#This Row],[Class]]="B", WORKDAY(Main[[#This Row],[Tech Start Date]],19),IF(Main[[#This Row],[Class]]="A",WORKDAY(Main[[#This Row],[Tech Start Date]],9),""))))</f>
        <v>40848</v>
      </c>
      <c r="Q1396" s="163">
        <v>40954</v>
      </c>
      <c r="R1396" s="163">
        <v>40850</v>
      </c>
      <c r="S1396" s="129" t="s">
        <v>11</v>
      </c>
      <c r="T1396" s="174" t="s">
        <v>2669</v>
      </c>
      <c r="U1396" s="129" t="s">
        <v>14</v>
      </c>
      <c r="V1396" s="129" t="s">
        <v>1935</v>
      </c>
      <c r="W1396" s="129" t="s">
        <v>1936</v>
      </c>
      <c r="X1396" s="129" t="s">
        <v>559</v>
      </c>
      <c r="Y1396" s="129" t="s">
        <v>3039</v>
      </c>
      <c r="Z1396" s="129" t="s">
        <v>535</v>
      </c>
      <c r="AA1396" s="147" t="s">
        <v>559</v>
      </c>
    </row>
    <row r="1397" spans="1:27" ht="18.600000000000001" customHeight="1">
      <c r="A1397" s="143" t="str">
        <f>IF(priority(Main[[#This Row],[Comments]])&lt;&gt;0, priority(Main[[#This Row],[Comments]]),"")</f>
        <v/>
      </c>
      <c r="B1397" s="128" t="s">
        <v>2671</v>
      </c>
      <c r="C1397" s="129" t="s">
        <v>4</v>
      </c>
      <c r="D1397" s="161" t="s">
        <v>3818</v>
      </c>
      <c r="E1397" s="163">
        <v>40848.357997685183</v>
      </c>
      <c r="F1397" s="163"/>
      <c r="G1397" s="165" t="str">
        <f>IF(stdProdLT(Main[[#This Row],[Comments]])=0.1,"N/A",IF(stdProdLT(Main[[#This Row],[Comments]])=0,"",stdProdLT(Main[[#This Row],[Comments]])))</f>
        <v/>
      </c>
      <c r="H1397" s="167" t="str">
        <f>IF(AND(Main[[#This Row],[In Stock Date]]&lt;&gt;"",Main[[#This Row],[Revised Due Date]]&lt;&gt;""),Main[[#This Row],[In Stock Date]]-Main[[#This Row],[Revised Due Date]],"")</f>
        <v/>
      </c>
      <c r="I1397" s="129" t="s">
        <v>2672</v>
      </c>
      <c r="J1397" s="129" t="s">
        <v>28</v>
      </c>
      <c r="K1397" s="168" t="s">
        <v>1944</v>
      </c>
      <c r="L1397" s="163">
        <v>40840</v>
      </c>
      <c r="M1397" s="170" t="str">
        <f>IF(Main[[#This Row],[Tech Start Date]]&lt;1/1/1990,"",IF(Main[[#This Row],[Class]]="C",WORKDAY(Main[[#This Row],[Tech Start Date]],9),IF(Main[[#This Row],[Class]]="B", WORKDAY(Main[[#This Row],[Tech Start Date]],6),IF(Main[[#This Row],[Class]]="A",WORKDAY(Main[[#This Row],[Tech Start Date]],2),""))))</f>
        <v/>
      </c>
      <c r="N1397" s="170" t="str">
        <f>IF(Main[[#This Row],[Tech Start Date]]&lt;1/1/1990,"",IF(Main[[#This Row],[Class]]="C",WORKDAY(Main[[#This Row],[Tech Start Date]],19),IF(Main[[#This Row],[Class]]="B", WORKDAY(Main[[#This Row],[Tech Start Date]],12),IF(Main[[#This Row],[Class]]="A",WORKDAY(Main[[#This Row],[Tech Start Date]],4),""))))</f>
        <v/>
      </c>
      <c r="O1397" s="170" t="str">
        <f>IF(Main[[#This Row],[Tech Start Date]]&lt;1/1/1990,"",IF(Main[[#This Row],[Class]]="C",WORKDAY(Main[[#This Row],[Tech Start Date]],23),IF(Main[[#This Row],[Class]]="B", WORKDAY(Main[[#This Row],[Tech Start Date]],15),IF(Main[[#This Row],[Class]]="A",WORKDAY(Main[[#This Row],[Tech Start Date]],5),""))))</f>
        <v/>
      </c>
      <c r="P1397" s="170" t="str">
        <f>IF(Main[[#This Row],[Tech Start Date]]&lt;1/1/1990,"",IF(Main[[#This Row],[Class]]="C",WORKDAY(Main[[#This Row],[Tech Start Date]],28),IF(Main[[#This Row],[Class]]="B", WORKDAY(Main[[#This Row],[Tech Start Date]],19),IF(Main[[#This Row],[Class]]="A",WORKDAY(Main[[#This Row],[Tech Start Date]],9),""))))</f>
        <v/>
      </c>
      <c r="Q1397" s="163">
        <v>40998</v>
      </c>
      <c r="R1397" s="163">
        <v>40998</v>
      </c>
      <c r="S1397" s="129" t="s">
        <v>17</v>
      </c>
      <c r="T1397" s="174" t="s">
        <v>4</v>
      </c>
      <c r="U1397" s="129" t="s">
        <v>29</v>
      </c>
      <c r="V1397" s="129" t="s">
        <v>1932</v>
      </c>
      <c r="W1397" s="129" t="s">
        <v>1937</v>
      </c>
      <c r="X1397" s="129" t="s">
        <v>888</v>
      </c>
      <c r="Y1397" s="129" t="s">
        <v>3096</v>
      </c>
      <c r="Z1397" s="129" t="s">
        <v>888</v>
      </c>
      <c r="AA1397" s="147" t="s">
        <v>888</v>
      </c>
    </row>
    <row r="1398" spans="1:27" ht="18.600000000000001" customHeight="1">
      <c r="A1398" s="175" t="str">
        <f>IF(priority(Main[[#This Row],[Comments]])&lt;&gt;0, priority(Main[[#This Row],[Comments]]),"")</f>
        <v/>
      </c>
      <c r="B1398" s="146" t="s">
        <v>2678</v>
      </c>
      <c r="C1398" s="147" t="s">
        <v>2679</v>
      </c>
      <c r="D1398" s="148" t="s">
        <v>2680</v>
      </c>
      <c r="E1398" s="149"/>
      <c r="F1398" s="149"/>
      <c r="G1398" s="150" t="str">
        <f>IF(stdProdLT(Main[[#This Row],[Comments]])=0.1,"N/A",IF(stdProdLT(Main[[#This Row],[Comments]])=0,"",stdProdLT(Main[[#This Row],[Comments]])))</f>
        <v/>
      </c>
      <c r="H1398" s="151" t="str">
        <f>IF(AND(Main[[#This Row],[In Stock Date]]&lt;&gt;"",Main[[#This Row],[Revised Due Date]]&lt;&gt;""),Main[[#This Row],[In Stock Date]]-Main[[#This Row],[Revised Due Date]],"")</f>
        <v/>
      </c>
      <c r="I1398" s="147" t="s">
        <v>2066</v>
      </c>
      <c r="J1398" s="147" t="s">
        <v>28</v>
      </c>
      <c r="K1398" s="147" t="s">
        <v>1941</v>
      </c>
      <c r="L1398" s="149">
        <v>40848</v>
      </c>
      <c r="M1398" s="152">
        <f>IF(Main[[#This Row],[Tech Start Date]]&lt;1/1/1990,"",IF(Main[[#This Row],[Class]]="C",WORKDAY(Main[[#This Row],[Tech Start Date]],9),IF(Main[[#This Row],[Class]]="B", WORKDAY(Main[[#This Row],[Tech Start Date]],6),IF(Main[[#This Row],[Class]]="A",WORKDAY(Main[[#This Row],[Tech Start Date]],2),""))))</f>
        <v>40850</v>
      </c>
      <c r="N1398" s="152">
        <f>IF(Main[[#This Row],[Tech Start Date]]&lt;1/1/1990,"",IF(Main[[#This Row],[Class]]="C",WORKDAY(Main[[#This Row],[Tech Start Date]],19),IF(Main[[#This Row],[Class]]="B", WORKDAY(Main[[#This Row],[Tech Start Date]],12),IF(Main[[#This Row],[Class]]="A",WORKDAY(Main[[#This Row],[Tech Start Date]],4),""))))</f>
        <v>40854</v>
      </c>
      <c r="O1398" s="152">
        <f>IF(Main[[#This Row],[Tech Start Date]]&lt;1/1/1990,"",IF(Main[[#This Row],[Class]]="C",WORKDAY(Main[[#This Row],[Tech Start Date]],23),IF(Main[[#This Row],[Class]]="B", WORKDAY(Main[[#This Row],[Tech Start Date]],15),IF(Main[[#This Row],[Class]]="A",WORKDAY(Main[[#This Row],[Tech Start Date]],5),""))))</f>
        <v>40855</v>
      </c>
      <c r="P1398" s="152">
        <f>IF(Main[[#This Row],[Tech Start Date]]&lt;1/1/1990,"",IF(Main[[#This Row],[Class]]="C",WORKDAY(Main[[#This Row],[Tech Start Date]],28),IF(Main[[#This Row],[Class]]="B", WORKDAY(Main[[#This Row],[Tech Start Date]],19),IF(Main[[#This Row],[Class]]="A",WORKDAY(Main[[#This Row],[Tech Start Date]],9),""))))</f>
        <v>40861</v>
      </c>
      <c r="Q1398" s="149">
        <v>40849</v>
      </c>
      <c r="R1398" s="149">
        <v>40863</v>
      </c>
      <c r="S1398" s="147" t="s">
        <v>11</v>
      </c>
      <c r="T1398" s="153" t="s">
        <v>4</v>
      </c>
      <c r="U1398" s="147" t="s">
        <v>14</v>
      </c>
      <c r="V1398" s="147" t="s">
        <v>1942</v>
      </c>
      <c r="W1398" s="147" t="s">
        <v>1940</v>
      </c>
      <c r="X1398" s="147" t="s">
        <v>2928</v>
      </c>
      <c r="Y1398" s="147" t="s">
        <v>3064</v>
      </c>
      <c r="Z1398" s="147" t="s">
        <v>535</v>
      </c>
      <c r="AA1398" s="154" t="s">
        <v>2928</v>
      </c>
    </row>
    <row r="1399" spans="1:27" ht="18.600000000000001" customHeight="1">
      <c r="A1399" s="175" t="str">
        <f>IF(priority(Main[[#This Row],[Comments]])&lt;&gt;0, priority(Main[[#This Row],[Comments]]),"")</f>
        <v/>
      </c>
      <c r="B1399" s="146" t="s">
        <v>2673</v>
      </c>
      <c r="C1399" s="147" t="s">
        <v>2609</v>
      </c>
      <c r="D1399" s="148" t="s">
        <v>2882</v>
      </c>
      <c r="E1399" s="149">
        <v>40847.264097222222</v>
      </c>
      <c r="F1399" s="149">
        <v>40983</v>
      </c>
      <c r="G1399" s="150" t="str">
        <f>IF(stdProdLT(Main[[#This Row],[Comments]])=0.1,"N/A",IF(stdProdLT(Main[[#This Row],[Comments]])=0,"",stdProdLT(Main[[#This Row],[Comments]])))</f>
        <v>N/A</v>
      </c>
      <c r="H1399" s="151" t="str">
        <f>IF(AND(Main[[#This Row],[In Stock Date]]&lt;&gt;"",Main[[#This Row],[Revised Due Date]]&lt;&gt;""),Main[[#This Row],[In Stock Date]]-Main[[#This Row],[Revised Due Date]],"")</f>
        <v/>
      </c>
      <c r="I1399" s="147" t="s">
        <v>923</v>
      </c>
      <c r="J1399" s="147" t="s">
        <v>28</v>
      </c>
      <c r="K1399" s="147" t="s">
        <v>1945</v>
      </c>
      <c r="L1399" s="149">
        <v>40848</v>
      </c>
      <c r="M1399" s="152">
        <f>IF(Main[[#This Row],[Tech Start Date]]&lt;1/1/1990,"",IF(Main[[#This Row],[Class]]="C",WORKDAY(Main[[#This Row],[Tech Start Date]],9),IF(Main[[#This Row],[Class]]="B", WORKDAY(Main[[#This Row],[Tech Start Date]],6),IF(Main[[#This Row],[Class]]="A",WORKDAY(Main[[#This Row],[Tech Start Date]],2),""))))</f>
        <v>40861</v>
      </c>
      <c r="N1399" s="152">
        <f>IF(Main[[#This Row],[Tech Start Date]]&lt;1/1/1990,"",IF(Main[[#This Row],[Class]]="C",WORKDAY(Main[[#This Row],[Tech Start Date]],19),IF(Main[[#This Row],[Class]]="B", WORKDAY(Main[[#This Row],[Tech Start Date]],12),IF(Main[[#This Row],[Class]]="A",WORKDAY(Main[[#This Row],[Tech Start Date]],4),""))))</f>
        <v>40875</v>
      </c>
      <c r="O1399" s="152">
        <f>IF(Main[[#This Row],[Tech Start Date]]&lt;1/1/1990,"",IF(Main[[#This Row],[Class]]="C",WORKDAY(Main[[#This Row],[Tech Start Date]],23),IF(Main[[#This Row],[Class]]="B", WORKDAY(Main[[#This Row],[Tech Start Date]],15),IF(Main[[#This Row],[Class]]="A",WORKDAY(Main[[#This Row],[Tech Start Date]],5),""))))</f>
        <v>40879</v>
      </c>
      <c r="P1399" s="152">
        <f>IF(Main[[#This Row],[Tech Start Date]]&lt;1/1/1990,"",IF(Main[[#This Row],[Class]]="C",WORKDAY(Main[[#This Row],[Tech Start Date]],28),IF(Main[[#This Row],[Class]]="B", WORKDAY(Main[[#This Row],[Tech Start Date]],19),IF(Main[[#This Row],[Class]]="A",WORKDAY(Main[[#This Row],[Tech Start Date]],9),""))))</f>
        <v>40886</v>
      </c>
      <c r="Q1399" s="149">
        <v>40885</v>
      </c>
      <c r="R1399" s="149"/>
      <c r="S1399" s="147" t="s">
        <v>11</v>
      </c>
      <c r="T1399" s="153" t="s">
        <v>3335</v>
      </c>
      <c r="U1399" s="147" t="s">
        <v>539</v>
      </c>
      <c r="V1399" s="147" t="s">
        <v>1932</v>
      </c>
      <c r="W1399" s="147" t="s">
        <v>1940</v>
      </c>
      <c r="X1399" s="147" t="s">
        <v>2988</v>
      </c>
      <c r="Y1399" s="147" t="s">
        <v>3247</v>
      </c>
      <c r="Z1399" s="147" t="s">
        <v>129</v>
      </c>
      <c r="AA1399" s="154" t="s">
        <v>2988</v>
      </c>
    </row>
    <row r="1400" spans="1:27" ht="18.600000000000001" customHeight="1">
      <c r="A1400" s="175" t="str">
        <f>IF(priority(Main[[#This Row],[Comments]])&lt;&gt;0, priority(Main[[#This Row],[Comments]]),"")</f>
        <v/>
      </c>
      <c r="B1400" s="146" t="s">
        <v>2687</v>
      </c>
      <c r="C1400" s="147" t="s">
        <v>4</v>
      </c>
      <c r="D1400" s="148" t="s">
        <v>2688</v>
      </c>
      <c r="E1400" s="149">
        <v>40848.726550925923</v>
      </c>
      <c r="F1400" s="149"/>
      <c r="G1400" s="150" t="str">
        <f>IF(stdProdLT(Main[[#This Row],[Comments]])=0.1,"N/A",IF(stdProdLT(Main[[#This Row],[Comments]])=0,"",stdProdLT(Main[[#This Row],[Comments]])))</f>
        <v/>
      </c>
      <c r="H1400" s="151" t="str">
        <f>IF(AND(Main[[#This Row],[In Stock Date]]&lt;&gt;"",Main[[#This Row],[Revised Due Date]]&lt;&gt;""),Main[[#This Row],[In Stock Date]]-Main[[#This Row],[Revised Due Date]],"")</f>
        <v/>
      </c>
      <c r="I1400" s="147" t="s">
        <v>69</v>
      </c>
      <c r="J1400" s="147" t="s">
        <v>28</v>
      </c>
      <c r="K1400" s="147" t="s">
        <v>1941</v>
      </c>
      <c r="L1400" s="149">
        <v>40849</v>
      </c>
      <c r="M1400" s="152">
        <f>IF(Main[[#This Row],[Tech Start Date]]&lt;1/1/1990,"",IF(Main[[#This Row],[Class]]="C",WORKDAY(Main[[#This Row],[Tech Start Date]],9),IF(Main[[#This Row],[Class]]="B", WORKDAY(Main[[#This Row],[Tech Start Date]],6),IF(Main[[#This Row],[Class]]="A",WORKDAY(Main[[#This Row],[Tech Start Date]],2),""))))</f>
        <v>40851</v>
      </c>
      <c r="N1400" s="152">
        <f>IF(Main[[#This Row],[Tech Start Date]]&lt;1/1/1990,"",IF(Main[[#This Row],[Class]]="C",WORKDAY(Main[[#This Row],[Tech Start Date]],19),IF(Main[[#This Row],[Class]]="B", WORKDAY(Main[[#This Row],[Tech Start Date]],12),IF(Main[[#This Row],[Class]]="A",WORKDAY(Main[[#This Row],[Tech Start Date]],4),""))))</f>
        <v>40855</v>
      </c>
      <c r="O1400" s="152">
        <f>IF(Main[[#This Row],[Tech Start Date]]&lt;1/1/1990,"",IF(Main[[#This Row],[Class]]="C",WORKDAY(Main[[#This Row],[Tech Start Date]],23),IF(Main[[#This Row],[Class]]="B", WORKDAY(Main[[#This Row],[Tech Start Date]],15),IF(Main[[#This Row],[Class]]="A",WORKDAY(Main[[#This Row],[Tech Start Date]],5),""))))</f>
        <v>40856</v>
      </c>
      <c r="P1400" s="152">
        <f>IF(Main[[#This Row],[Tech Start Date]]&lt;1/1/1990,"",IF(Main[[#This Row],[Class]]="C",WORKDAY(Main[[#This Row],[Tech Start Date]],28),IF(Main[[#This Row],[Class]]="B", WORKDAY(Main[[#This Row],[Tech Start Date]],19),IF(Main[[#This Row],[Class]]="A",WORKDAY(Main[[#This Row],[Tech Start Date]],9),""))))</f>
        <v>40862</v>
      </c>
      <c r="Q1400" s="149"/>
      <c r="R1400" s="149">
        <v>40864</v>
      </c>
      <c r="S1400" s="147" t="s">
        <v>6</v>
      </c>
      <c r="T1400" s="153" t="s">
        <v>4</v>
      </c>
      <c r="U1400" s="147" t="s">
        <v>29</v>
      </c>
      <c r="V1400" s="147" t="s">
        <v>1942</v>
      </c>
      <c r="W1400" s="147" t="s">
        <v>1946</v>
      </c>
      <c r="X1400" s="147" t="s">
        <v>2925</v>
      </c>
      <c r="Y1400" s="147" t="s">
        <v>3058</v>
      </c>
      <c r="Z1400" s="147" t="s">
        <v>2949</v>
      </c>
      <c r="AA1400" s="154" t="s">
        <v>2925</v>
      </c>
    </row>
    <row r="1401" spans="1:27" ht="18.600000000000001" customHeight="1">
      <c r="A1401" s="175" t="str">
        <f>IF(priority(Main[[#This Row],[Comments]])&lt;&gt;0, priority(Main[[#This Row],[Comments]]),"")</f>
        <v/>
      </c>
      <c r="B1401" s="146" t="s">
        <v>2681</v>
      </c>
      <c r="C1401" s="147" t="s">
        <v>2609</v>
      </c>
      <c r="D1401" s="148" t="s">
        <v>2883</v>
      </c>
      <c r="E1401" s="149">
        <v>40843.117893518516</v>
      </c>
      <c r="F1401" s="149">
        <v>41000</v>
      </c>
      <c r="G1401" s="150">
        <f>IF(stdProdLT(Main[[#This Row],[Comments]])=0.1,"N/A",IF(stdProdLT(Main[[#This Row],[Comments]])=0,"",stdProdLT(Main[[#This Row],[Comments]])))</f>
        <v>168</v>
      </c>
      <c r="H1401" s="151" t="str">
        <f>IF(AND(Main[[#This Row],[In Stock Date]]&lt;&gt;"",Main[[#This Row],[Revised Due Date]]&lt;&gt;""),Main[[#This Row],[In Stock Date]]-Main[[#This Row],[Revised Due Date]],"")</f>
        <v/>
      </c>
      <c r="I1401" s="147" t="s">
        <v>905</v>
      </c>
      <c r="J1401" s="147" t="s">
        <v>52</v>
      </c>
      <c r="K1401" s="147" t="s">
        <v>1945</v>
      </c>
      <c r="L1401" s="149">
        <v>40849</v>
      </c>
      <c r="M1401" s="152">
        <f>IF(Main[[#This Row],[Tech Start Date]]&lt;1/1/1990,"",IF(Main[[#This Row],[Class]]="C",WORKDAY(Main[[#This Row],[Tech Start Date]],9),IF(Main[[#This Row],[Class]]="B", WORKDAY(Main[[#This Row],[Tech Start Date]],6),IF(Main[[#This Row],[Class]]="A",WORKDAY(Main[[#This Row],[Tech Start Date]],2),""))))</f>
        <v>40862</v>
      </c>
      <c r="N1401" s="152">
        <f>IF(Main[[#This Row],[Tech Start Date]]&lt;1/1/1990,"",IF(Main[[#This Row],[Class]]="C",WORKDAY(Main[[#This Row],[Tech Start Date]],19),IF(Main[[#This Row],[Class]]="B", WORKDAY(Main[[#This Row],[Tech Start Date]],12),IF(Main[[#This Row],[Class]]="A",WORKDAY(Main[[#This Row],[Tech Start Date]],4),""))))</f>
        <v>40876</v>
      </c>
      <c r="O1401" s="152">
        <f>IF(Main[[#This Row],[Tech Start Date]]&lt;1/1/1990,"",IF(Main[[#This Row],[Class]]="C",WORKDAY(Main[[#This Row],[Tech Start Date]],23),IF(Main[[#This Row],[Class]]="B", WORKDAY(Main[[#This Row],[Tech Start Date]],15),IF(Main[[#This Row],[Class]]="A",WORKDAY(Main[[#This Row],[Tech Start Date]],5),""))))</f>
        <v>40882</v>
      </c>
      <c r="P1401" s="152">
        <f>IF(Main[[#This Row],[Tech Start Date]]&lt;1/1/1990,"",IF(Main[[#This Row],[Class]]="C",WORKDAY(Main[[#This Row],[Tech Start Date]],28),IF(Main[[#This Row],[Class]]="B", WORKDAY(Main[[#This Row],[Tech Start Date]],19),IF(Main[[#This Row],[Class]]="A",WORKDAY(Main[[#This Row],[Tech Start Date]],9),""))))</f>
        <v>40889</v>
      </c>
      <c r="Q1401" s="149">
        <v>40880</v>
      </c>
      <c r="R1401" s="149"/>
      <c r="S1401" s="147" t="s">
        <v>11</v>
      </c>
      <c r="T1401" s="153" t="s">
        <v>3455</v>
      </c>
      <c r="U1401" s="147" t="s">
        <v>539</v>
      </c>
      <c r="V1401" s="147" t="s">
        <v>1935</v>
      </c>
      <c r="W1401" s="147" t="s">
        <v>1940</v>
      </c>
      <c r="X1401" s="147" t="s">
        <v>2988</v>
      </c>
      <c r="Y1401" s="147" t="s">
        <v>3247</v>
      </c>
      <c r="Z1401" s="147" t="s">
        <v>535</v>
      </c>
      <c r="AA1401" s="154" t="s">
        <v>2988</v>
      </c>
    </row>
    <row r="1402" spans="1:27" ht="18.600000000000001" customHeight="1">
      <c r="A1402" s="175" t="str">
        <f>IF(priority(Main[[#This Row],[Comments]])&lt;&gt;0, priority(Main[[#This Row],[Comments]]),"")</f>
        <v/>
      </c>
      <c r="B1402" s="146" t="s">
        <v>2685</v>
      </c>
      <c r="C1402" s="147" t="s">
        <v>2609</v>
      </c>
      <c r="D1402" s="148" t="s">
        <v>3270</v>
      </c>
      <c r="E1402" s="149">
        <v>40843.101504629631</v>
      </c>
      <c r="F1402" s="149"/>
      <c r="G1402" s="150">
        <f>IF(stdProdLT(Main[[#This Row],[Comments]])=0.1,"N/A",IF(stdProdLT(Main[[#This Row],[Comments]])=0,"",stdProdLT(Main[[#This Row],[Comments]])))</f>
        <v>168</v>
      </c>
      <c r="H1402" s="151" t="str">
        <f>IF(AND(Main[[#This Row],[In Stock Date]]&lt;&gt;"",Main[[#This Row],[Revised Due Date]]&lt;&gt;""),Main[[#This Row],[In Stock Date]]-Main[[#This Row],[Revised Due Date]],"")</f>
        <v/>
      </c>
      <c r="I1402" s="147" t="s">
        <v>173</v>
      </c>
      <c r="J1402" s="147" t="s">
        <v>70</v>
      </c>
      <c r="K1402" s="147" t="s">
        <v>1945</v>
      </c>
      <c r="L1402" s="149">
        <v>40849</v>
      </c>
      <c r="M1402" s="152">
        <f>IF(Main[[#This Row],[Tech Start Date]]&lt;1/1/1990,"",IF(Main[[#This Row],[Class]]="C",WORKDAY(Main[[#This Row],[Tech Start Date]],9),IF(Main[[#This Row],[Class]]="B", WORKDAY(Main[[#This Row],[Tech Start Date]],6),IF(Main[[#This Row],[Class]]="A",WORKDAY(Main[[#This Row],[Tech Start Date]],2),""))))</f>
        <v>40862</v>
      </c>
      <c r="N1402" s="152">
        <f>IF(Main[[#This Row],[Tech Start Date]]&lt;1/1/1990,"",IF(Main[[#This Row],[Class]]="C",WORKDAY(Main[[#This Row],[Tech Start Date]],19),IF(Main[[#This Row],[Class]]="B", WORKDAY(Main[[#This Row],[Tech Start Date]],12),IF(Main[[#This Row],[Class]]="A",WORKDAY(Main[[#This Row],[Tech Start Date]],4),""))))</f>
        <v>40876</v>
      </c>
      <c r="O1402" s="152">
        <f>IF(Main[[#This Row],[Tech Start Date]]&lt;1/1/1990,"",IF(Main[[#This Row],[Class]]="C",WORKDAY(Main[[#This Row],[Tech Start Date]],23),IF(Main[[#This Row],[Class]]="B", WORKDAY(Main[[#This Row],[Tech Start Date]],15),IF(Main[[#This Row],[Class]]="A",WORKDAY(Main[[#This Row],[Tech Start Date]],5),""))))</f>
        <v>40882</v>
      </c>
      <c r="P1402" s="152">
        <f>IF(Main[[#This Row],[Tech Start Date]]&lt;1/1/1990,"",IF(Main[[#This Row],[Class]]="C",WORKDAY(Main[[#This Row],[Tech Start Date]],28),IF(Main[[#This Row],[Class]]="B", WORKDAY(Main[[#This Row],[Tech Start Date]],19),IF(Main[[#This Row],[Class]]="A",WORKDAY(Main[[#This Row],[Tech Start Date]],9),""))))</f>
        <v>40889</v>
      </c>
      <c r="Q1402" s="149">
        <v>40881</v>
      </c>
      <c r="R1402" s="149"/>
      <c r="S1402" s="147" t="s">
        <v>11</v>
      </c>
      <c r="T1402" s="153" t="s">
        <v>3457</v>
      </c>
      <c r="U1402" s="147" t="s">
        <v>539</v>
      </c>
      <c r="V1402" s="147" t="s">
        <v>1935</v>
      </c>
      <c r="W1402" s="147" t="s">
        <v>1940</v>
      </c>
      <c r="X1402" s="147" t="s">
        <v>2988</v>
      </c>
      <c r="Y1402" s="147" t="s">
        <v>3247</v>
      </c>
      <c r="Z1402" s="147" t="s">
        <v>535</v>
      </c>
      <c r="AA1402" s="154" t="s">
        <v>2988</v>
      </c>
    </row>
    <row r="1403" spans="1:27" ht="18.600000000000001" customHeight="1">
      <c r="A1403" s="175" t="str">
        <f>IF(priority(Main[[#This Row],[Comments]])&lt;&gt;0, priority(Main[[#This Row],[Comments]]),"")</f>
        <v/>
      </c>
      <c r="B1403" s="146" t="s">
        <v>2605</v>
      </c>
      <c r="C1403" s="147" t="s">
        <v>2606</v>
      </c>
      <c r="D1403" s="148" t="s">
        <v>3271</v>
      </c>
      <c r="E1403" s="149">
        <v>40821.398842592593</v>
      </c>
      <c r="F1403" s="149">
        <v>41182</v>
      </c>
      <c r="G1403" s="150">
        <f>IF(stdProdLT(Main[[#This Row],[Comments]])=0.1,"N/A",IF(stdProdLT(Main[[#This Row],[Comments]])=0,"",stdProdLT(Main[[#This Row],[Comments]])))</f>
        <v>210</v>
      </c>
      <c r="H1403" s="151" t="str">
        <f>IF(AND(Main[[#This Row],[In Stock Date]]&lt;&gt;"",Main[[#This Row],[Revised Due Date]]&lt;&gt;""),Main[[#This Row],[In Stock Date]]-Main[[#This Row],[Revised Due Date]],"")</f>
        <v/>
      </c>
      <c r="I1403" s="147" t="s">
        <v>4</v>
      </c>
      <c r="J1403" s="147" t="s">
        <v>4</v>
      </c>
      <c r="K1403" s="147" t="s">
        <v>1945</v>
      </c>
      <c r="L1403" s="149">
        <v>40850</v>
      </c>
      <c r="M1403" s="152">
        <f>IF(Main[[#This Row],[Tech Start Date]]&lt;1/1/1990,"",IF(Main[[#This Row],[Class]]="C",WORKDAY(Main[[#This Row],[Tech Start Date]],9),IF(Main[[#This Row],[Class]]="B", WORKDAY(Main[[#This Row],[Tech Start Date]],6),IF(Main[[#This Row],[Class]]="A",WORKDAY(Main[[#This Row],[Tech Start Date]],2),""))))</f>
        <v>40863</v>
      </c>
      <c r="N1403" s="152">
        <f>IF(Main[[#This Row],[Tech Start Date]]&lt;1/1/1990,"",IF(Main[[#This Row],[Class]]="C",WORKDAY(Main[[#This Row],[Tech Start Date]],19),IF(Main[[#This Row],[Class]]="B", WORKDAY(Main[[#This Row],[Tech Start Date]],12),IF(Main[[#This Row],[Class]]="A",WORKDAY(Main[[#This Row],[Tech Start Date]],4),""))))</f>
        <v>40877</v>
      </c>
      <c r="O1403" s="152">
        <f>IF(Main[[#This Row],[Tech Start Date]]&lt;1/1/1990,"",IF(Main[[#This Row],[Class]]="C",WORKDAY(Main[[#This Row],[Tech Start Date]],23),IF(Main[[#This Row],[Class]]="B", WORKDAY(Main[[#This Row],[Tech Start Date]],15),IF(Main[[#This Row],[Class]]="A",WORKDAY(Main[[#This Row],[Tech Start Date]],5),""))))</f>
        <v>40883</v>
      </c>
      <c r="P1403" s="152">
        <f>IF(Main[[#This Row],[Tech Start Date]]&lt;1/1/1990,"",IF(Main[[#This Row],[Class]]="C",WORKDAY(Main[[#This Row],[Tech Start Date]],28),IF(Main[[#This Row],[Class]]="B", WORKDAY(Main[[#This Row],[Tech Start Date]],19),IF(Main[[#This Row],[Class]]="A",WORKDAY(Main[[#This Row],[Tech Start Date]],9),""))))</f>
        <v>40890</v>
      </c>
      <c r="Q1403" s="149">
        <v>40872</v>
      </c>
      <c r="R1403" s="156"/>
      <c r="S1403" s="147" t="s">
        <v>11</v>
      </c>
      <c r="T1403" s="153" t="s">
        <v>3458</v>
      </c>
      <c r="U1403" s="147" t="s">
        <v>539</v>
      </c>
      <c r="V1403" s="147" t="s">
        <v>1935</v>
      </c>
      <c r="W1403" s="147" t="s">
        <v>1937</v>
      </c>
      <c r="X1403" s="147" t="s">
        <v>2913</v>
      </c>
      <c r="Y1403" s="147" t="s">
        <v>3038</v>
      </c>
      <c r="Z1403" s="147" t="s">
        <v>4</v>
      </c>
      <c r="AA1403" s="154" t="s">
        <v>2913</v>
      </c>
    </row>
    <row r="1404" spans="1:27" ht="18.600000000000001" customHeight="1">
      <c r="A1404" s="175" t="str">
        <f>IF(priority(Main[[#This Row],[Comments]])&lt;&gt;0, priority(Main[[#This Row],[Comments]]),"")</f>
        <v/>
      </c>
      <c r="B1404" s="146" t="s">
        <v>1692</v>
      </c>
      <c r="C1404" s="147" t="s">
        <v>4</v>
      </c>
      <c r="D1404" s="148" t="s">
        <v>2692</v>
      </c>
      <c r="E1404" s="149">
        <v>40647.529861111114</v>
      </c>
      <c r="F1404" s="149"/>
      <c r="G1404" s="150" t="str">
        <f>IF(stdProdLT(Main[[#This Row],[Comments]])=0.1,"N/A",IF(stdProdLT(Main[[#This Row],[Comments]])=0,"",stdProdLT(Main[[#This Row],[Comments]])))</f>
        <v/>
      </c>
      <c r="H1404" s="151" t="str">
        <f>IF(AND(Main[[#This Row],[In Stock Date]]&lt;&gt;"",Main[[#This Row],[Revised Due Date]]&lt;&gt;""),Main[[#This Row],[In Stock Date]]-Main[[#This Row],[Revised Due Date]],"")</f>
        <v/>
      </c>
      <c r="I1404" s="147" t="s">
        <v>888</v>
      </c>
      <c r="J1404" s="147" t="s">
        <v>4</v>
      </c>
      <c r="K1404" s="147" t="s">
        <v>1941</v>
      </c>
      <c r="L1404" s="149">
        <v>40856</v>
      </c>
      <c r="M1404" s="152">
        <f>IF(Main[[#This Row],[Tech Start Date]]&lt;1/1/1990,"",IF(Main[[#This Row],[Class]]="C",WORKDAY(Main[[#This Row],[Tech Start Date]],9),IF(Main[[#This Row],[Class]]="B", WORKDAY(Main[[#This Row],[Tech Start Date]],6),IF(Main[[#This Row],[Class]]="A",WORKDAY(Main[[#This Row],[Tech Start Date]],2),""))))</f>
        <v>40858</v>
      </c>
      <c r="N1404" s="152">
        <f>IF(Main[[#This Row],[Tech Start Date]]&lt;1/1/1990,"",IF(Main[[#This Row],[Class]]="C",WORKDAY(Main[[#This Row],[Tech Start Date]],19),IF(Main[[#This Row],[Class]]="B", WORKDAY(Main[[#This Row],[Tech Start Date]],12),IF(Main[[#This Row],[Class]]="A",WORKDAY(Main[[#This Row],[Tech Start Date]],4),""))))</f>
        <v>40862</v>
      </c>
      <c r="O1404" s="152">
        <f>IF(Main[[#This Row],[Tech Start Date]]&lt;1/1/1990,"",IF(Main[[#This Row],[Class]]="C",WORKDAY(Main[[#This Row],[Tech Start Date]],23),IF(Main[[#This Row],[Class]]="B", WORKDAY(Main[[#This Row],[Tech Start Date]],15),IF(Main[[#This Row],[Class]]="A",WORKDAY(Main[[#This Row],[Tech Start Date]],5),""))))</f>
        <v>40863</v>
      </c>
      <c r="P1404" s="152">
        <f>IF(Main[[#This Row],[Tech Start Date]]&lt;1/1/1990,"",IF(Main[[#This Row],[Class]]="C",WORKDAY(Main[[#This Row],[Tech Start Date]],28),IF(Main[[#This Row],[Class]]="B", WORKDAY(Main[[#This Row],[Tech Start Date]],19),IF(Main[[#This Row],[Class]]="A",WORKDAY(Main[[#This Row],[Tech Start Date]],9),""))))</f>
        <v>40869</v>
      </c>
      <c r="Q1404" s="149">
        <v>40877</v>
      </c>
      <c r="R1404" s="149">
        <v>40883</v>
      </c>
      <c r="S1404" s="147" t="s">
        <v>6</v>
      </c>
      <c r="T1404" s="153" t="s">
        <v>2693</v>
      </c>
      <c r="U1404" s="147" t="s">
        <v>29</v>
      </c>
      <c r="V1404" s="147" t="s">
        <v>1932</v>
      </c>
      <c r="W1404" s="147" t="s">
        <v>1934</v>
      </c>
      <c r="X1404" s="147" t="s">
        <v>933</v>
      </c>
      <c r="Y1404" s="147" t="s">
        <v>3069</v>
      </c>
      <c r="Z1404" s="147" t="s">
        <v>129</v>
      </c>
      <c r="AA1404" s="154" t="s">
        <v>933</v>
      </c>
    </row>
    <row r="1405" spans="1:27" ht="18.600000000000001" customHeight="1">
      <c r="A1405" s="175" t="str">
        <f>IF(priority(Main[[#This Row],[Comments]])&lt;&gt;0, priority(Main[[#This Row],[Comments]]),"")</f>
        <v/>
      </c>
      <c r="B1405" s="146" t="s">
        <v>2694</v>
      </c>
      <c r="C1405" s="147" t="s">
        <v>4</v>
      </c>
      <c r="D1405" s="148" t="s">
        <v>2695</v>
      </c>
      <c r="E1405" s="149">
        <v>40864.413506944446</v>
      </c>
      <c r="F1405" s="149"/>
      <c r="G1405" s="150" t="str">
        <f>IF(stdProdLT(Main[[#This Row],[Comments]])=0.1,"N/A",IF(stdProdLT(Main[[#This Row],[Comments]])=0,"",stdProdLT(Main[[#This Row],[Comments]])))</f>
        <v/>
      </c>
      <c r="H1405" s="151" t="str">
        <f>IF(AND(Main[[#This Row],[In Stock Date]]&lt;&gt;"",Main[[#This Row],[Revised Due Date]]&lt;&gt;""),Main[[#This Row],[In Stock Date]]-Main[[#This Row],[Revised Due Date]],"")</f>
        <v/>
      </c>
      <c r="I1405" s="147" t="s">
        <v>953</v>
      </c>
      <c r="J1405" s="147" t="s">
        <v>28</v>
      </c>
      <c r="K1405" s="147" t="s">
        <v>1941</v>
      </c>
      <c r="L1405" s="149">
        <v>40864</v>
      </c>
      <c r="M1405" s="152">
        <f>IF(Main[[#This Row],[Tech Start Date]]&lt;1/1/1990,"",IF(Main[[#This Row],[Class]]="C",WORKDAY(Main[[#This Row],[Tech Start Date]],9),IF(Main[[#This Row],[Class]]="B", WORKDAY(Main[[#This Row],[Tech Start Date]],6),IF(Main[[#This Row],[Class]]="A",WORKDAY(Main[[#This Row],[Tech Start Date]],2),""))))</f>
        <v>40868</v>
      </c>
      <c r="N1405" s="152">
        <f>IF(Main[[#This Row],[Tech Start Date]]&lt;1/1/1990,"",IF(Main[[#This Row],[Class]]="C",WORKDAY(Main[[#This Row],[Tech Start Date]],19),IF(Main[[#This Row],[Class]]="B", WORKDAY(Main[[#This Row],[Tech Start Date]],12),IF(Main[[#This Row],[Class]]="A",WORKDAY(Main[[#This Row],[Tech Start Date]],4),""))))</f>
        <v>40870</v>
      </c>
      <c r="O1405" s="152">
        <f>IF(Main[[#This Row],[Tech Start Date]]&lt;1/1/1990,"",IF(Main[[#This Row],[Class]]="C",WORKDAY(Main[[#This Row],[Tech Start Date]],23),IF(Main[[#This Row],[Class]]="B", WORKDAY(Main[[#This Row],[Tech Start Date]],15),IF(Main[[#This Row],[Class]]="A",WORKDAY(Main[[#This Row],[Tech Start Date]],5),""))))</f>
        <v>40871</v>
      </c>
      <c r="P1405" s="152">
        <f>IF(Main[[#This Row],[Tech Start Date]]&lt;1/1/1990,"",IF(Main[[#This Row],[Class]]="C",WORKDAY(Main[[#This Row],[Tech Start Date]],28),IF(Main[[#This Row],[Class]]="B", WORKDAY(Main[[#This Row],[Tech Start Date]],19),IF(Main[[#This Row],[Class]]="A",WORKDAY(Main[[#This Row],[Tech Start Date]],9),""))))</f>
        <v>40877</v>
      </c>
      <c r="Q1405" s="149"/>
      <c r="R1405" s="149">
        <v>40877</v>
      </c>
      <c r="S1405" s="147" t="s">
        <v>6</v>
      </c>
      <c r="T1405" s="153" t="s">
        <v>4</v>
      </c>
      <c r="U1405" s="147" t="s">
        <v>29</v>
      </c>
      <c r="V1405" s="147" t="s">
        <v>1933</v>
      </c>
      <c r="W1405" s="147" t="s">
        <v>1936</v>
      </c>
      <c r="X1405" s="147" t="s">
        <v>953</v>
      </c>
      <c r="Y1405" s="147" t="s">
        <v>3082</v>
      </c>
      <c r="Z1405" s="147" t="s">
        <v>2075</v>
      </c>
      <c r="AA1405" s="154" t="s">
        <v>953</v>
      </c>
    </row>
    <row r="1406" spans="1:27" ht="18.600000000000001" customHeight="1">
      <c r="A1406" s="175" t="str">
        <f>IF(priority(Main[[#This Row],[Comments]])&lt;&gt;0, priority(Main[[#This Row],[Comments]]),"")</f>
        <v/>
      </c>
      <c r="B1406" s="146" t="s">
        <v>2701</v>
      </c>
      <c r="C1406" s="147" t="s">
        <v>72</v>
      </c>
      <c r="D1406" s="148" t="s">
        <v>2714</v>
      </c>
      <c r="E1406" s="149"/>
      <c r="F1406" s="149"/>
      <c r="G1406" s="150" t="str">
        <f>IF(stdProdLT(Main[[#This Row],[Comments]])=0.1,"N/A",IF(stdProdLT(Main[[#This Row],[Comments]])=0,"",stdProdLT(Main[[#This Row],[Comments]])))</f>
        <v/>
      </c>
      <c r="H1406" s="151" t="str">
        <f>IF(AND(Main[[#This Row],[In Stock Date]]&lt;&gt;"",Main[[#This Row],[Revised Due Date]]&lt;&gt;""),Main[[#This Row],[In Stock Date]]-Main[[#This Row],[Revised Due Date]],"")</f>
        <v/>
      </c>
      <c r="I1406" s="147" t="s">
        <v>2278</v>
      </c>
      <c r="J1406" s="147" t="s">
        <v>28</v>
      </c>
      <c r="K1406" s="147" t="s">
        <v>1941</v>
      </c>
      <c r="L1406" s="149">
        <v>40869</v>
      </c>
      <c r="M1406" s="152">
        <f>IF(Main[[#This Row],[Tech Start Date]]&lt;1/1/1990,"",IF(Main[[#This Row],[Class]]="C",WORKDAY(Main[[#This Row],[Tech Start Date]],9),IF(Main[[#This Row],[Class]]="B", WORKDAY(Main[[#This Row],[Tech Start Date]],6),IF(Main[[#This Row],[Class]]="A",WORKDAY(Main[[#This Row],[Tech Start Date]],2),""))))</f>
        <v>40871</v>
      </c>
      <c r="N1406" s="152">
        <f>IF(Main[[#This Row],[Tech Start Date]]&lt;1/1/1990,"",IF(Main[[#This Row],[Class]]="C",WORKDAY(Main[[#This Row],[Tech Start Date]],19),IF(Main[[#This Row],[Class]]="B", WORKDAY(Main[[#This Row],[Tech Start Date]],12),IF(Main[[#This Row],[Class]]="A",WORKDAY(Main[[#This Row],[Tech Start Date]],4),""))))</f>
        <v>40875</v>
      </c>
      <c r="O1406" s="152">
        <f>IF(Main[[#This Row],[Tech Start Date]]&lt;1/1/1990,"",IF(Main[[#This Row],[Class]]="C",WORKDAY(Main[[#This Row],[Tech Start Date]],23),IF(Main[[#This Row],[Class]]="B", WORKDAY(Main[[#This Row],[Tech Start Date]],15),IF(Main[[#This Row],[Class]]="A",WORKDAY(Main[[#This Row],[Tech Start Date]],5),""))))</f>
        <v>40876</v>
      </c>
      <c r="P1406" s="152">
        <f>IF(Main[[#This Row],[Tech Start Date]]&lt;1/1/1990,"",IF(Main[[#This Row],[Class]]="C",WORKDAY(Main[[#This Row],[Tech Start Date]],28),IF(Main[[#This Row],[Class]]="B", WORKDAY(Main[[#This Row],[Tech Start Date]],19),IF(Main[[#This Row],[Class]]="A",WORKDAY(Main[[#This Row],[Tech Start Date]],9),""))))</f>
        <v>40882</v>
      </c>
      <c r="Q1406" s="149">
        <v>40882</v>
      </c>
      <c r="R1406" s="149"/>
      <c r="S1406" s="147" t="s">
        <v>11</v>
      </c>
      <c r="T1406" s="153" t="s">
        <v>4</v>
      </c>
      <c r="U1406" s="147" t="s">
        <v>14</v>
      </c>
      <c r="V1406" s="147" t="s">
        <v>1933</v>
      </c>
      <c r="W1406" s="147" t="s">
        <v>1934</v>
      </c>
      <c r="X1406" s="147" t="s">
        <v>2974</v>
      </c>
      <c r="Y1406" s="147" t="s">
        <v>3134</v>
      </c>
      <c r="Z1406" s="147" t="s">
        <v>2075</v>
      </c>
      <c r="AA1406" s="154" t="s">
        <v>2974</v>
      </c>
    </row>
    <row r="1407" spans="1:27" ht="18.600000000000001" customHeight="1">
      <c r="A1407" s="175" t="str">
        <f>IF(priority(Main[[#This Row],[Comments]])&lt;&gt;0, priority(Main[[#This Row],[Comments]]),"")</f>
        <v/>
      </c>
      <c r="B1407" s="146" t="s">
        <v>2699</v>
      </c>
      <c r="C1407" s="147" t="s">
        <v>72</v>
      </c>
      <c r="D1407" s="148" t="s">
        <v>2700</v>
      </c>
      <c r="E1407" s="149"/>
      <c r="F1407" s="149"/>
      <c r="G1407" s="150" t="str">
        <f>IF(stdProdLT(Main[[#This Row],[Comments]])=0.1,"N/A",IF(stdProdLT(Main[[#This Row],[Comments]])=0,"",stdProdLT(Main[[#This Row],[Comments]])))</f>
        <v/>
      </c>
      <c r="H1407" s="151" t="str">
        <f>IF(AND(Main[[#This Row],[In Stock Date]]&lt;&gt;"",Main[[#This Row],[Revised Due Date]]&lt;&gt;""),Main[[#This Row],[In Stock Date]]-Main[[#This Row],[Revised Due Date]],"")</f>
        <v/>
      </c>
      <c r="I1407" s="147" t="s">
        <v>2670</v>
      </c>
      <c r="J1407" s="147" t="s">
        <v>28</v>
      </c>
      <c r="K1407" s="147" t="s">
        <v>1941</v>
      </c>
      <c r="L1407" s="149">
        <v>40869</v>
      </c>
      <c r="M1407" s="152">
        <f>IF(Main[[#This Row],[Tech Start Date]]&lt;1/1/1990,"",IF(Main[[#This Row],[Class]]="C",WORKDAY(Main[[#This Row],[Tech Start Date]],9),IF(Main[[#This Row],[Class]]="B", WORKDAY(Main[[#This Row],[Tech Start Date]],6),IF(Main[[#This Row],[Class]]="A",WORKDAY(Main[[#This Row],[Tech Start Date]],2),""))))</f>
        <v>40871</v>
      </c>
      <c r="N1407" s="152">
        <f>IF(Main[[#This Row],[Tech Start Date]]&lt;1/1/1990,"",IF(Main[[#This Row],[Class]]="C",WORKDAY(Main[[#This Row],[Tech Start Date]],19),IF(Main[[#This Row],[Class]]="B", WORKDAY(Main[[#This Row],[Tech Start Date]],12),IF(Main[[#This Row],[Class]]="A",WORKDAY(Main[[#This Row],[Tech Start Date]],4),""))))</f>
        <v>40875</v>
      </c>
      <c r="O1407" s="152">
        <f>IF(Main[[#This Row],[Tech Start Date]]&lt;1/1/1990,"",IF(Main[[#This Row],[Class]]="C",WORKDAY(Main[[#This Row],[Tech Start Date]],23),IF(Main[[#This Row],[Class]]="B", WORKDAY(Main[[#This Row],[Tech Start Date]],15),IF(Main[[#This Row],[Class]]="A",WORKDAY(Main[[#This Row],[Tech Start Date]],5),""))))</f>
        <v>40876</v>
      </c>
      <c r="P1407" s="152">
        <f>IF(Main[[#This Row],[Tech Start Date]]&lt;1/1/1990,"",IF(Main[[#This Row],[Class]]="C",WORKDAY(Main[[#This Row],[Tech Start Date]],28),IF(Main[[#This Row],[Class]]="B", WORKDAY(Main[[#This Row],[Tech Start Date]],19),IF(Main[[#This Row],[Class]]="A",WORKDAY(Main[[#This Row],[Tech Start Date]],9),""))))</f>
        <v>40882</v>
      </c>
      <c r="Q1407" s="149">
        <v>40882</v>
      </c>
      <c r="R1407" s="149">
        <v>40882</v>
      </c>
      <c r="S1407" s="147" t="s">
        <v>11</v>
      </c>
      <c r="T1407" s="153" t="s">
        <v>4</v>
      </c>
      <c r="U1407" s="147" t="s">
        <v>14</v>
      </c>
      <c r="V1407" s="147" t="s">
        <v>1933</v>
      </c>
      <c r="W1407" s="147" t="s">
        <v>1934</v>
      </c>
      <c r="X1407" s="147" t="s">
        <v>2974</v>
      </c>
      <c r="Y1407" s="147" t="s">
        <v>3134</v>
      </c>
      <c r="Z1407" s="147" t="s">
        <v>2075</v>
      </c>
      <c r="AA1407" s="154" t="s">
        <v>2974</v>
      </c>
    </row>
    <row r="1408" spans="1:27" ht="18.600000000000001" customHeight="1">
      <c r="A1408" s="175" t="str">
        <f>IF(priority(Main[[#This Row],[Comments]])&lt;&gt;0, priority(Main[[#This Row],[Comments]]),"")</f>
        <v/>
      </c>
      <c r="B1408" s="146" t="s">
        <v>2696</v>
      </c>
      <c r="C1408" s="147" t="s">
        <v>72</v>
      </c>
      <c r="D1408" s="148" t="s">
        <v>2697</v>
      </c>
      <c r="E1408" s="149"/>
      <c r="F1408" s="149"/>
      <c r="G1408" s="150" t="str">
        <f>IF(stdProdLT(Main[[#This Row],[Comments]])=0.1,"N/A",IF(stdProdLT(Main[[#This Row],[Comments]])=0,"",stdProdLT(Main[[#This Row],[Comments]])))</f>
        <v/>
      </c>
      <c r="H1408" s="151" t="str">
        <f>IF(AND(Main[[#This Row],[In Stock Date]]&lt;&gt;"",Main[[#This Row],[Revised Due Date]]&lt;&gt;""),Main[[#This Row],[In Stock Date]]-Main[[#This Row],[Revised Due Date]],"")</f>
        <v/>
      </c>
      <c r="I1408" s="147" t="s">
        <v>2670</v>
      </c>
      <c r="J1408" s="147" t="s">
        <v>28</v>
      </c>
      <c r="K1408" s="147" t="s">
        <v>1941</v>
      </c>
      <c r="L1408" s="149">
        <v>40869</v>
      </c>
      <c r="M1408" s="152">
        <f>IF(Main[[#This Row],[Tech Start Date]]&lt;1/1/1990,"",IF(Main[[#This Row],[Class]]="C",WORKDAY(Main[[#This Row],[Tech Start Date]],9),IF(Main[[#This Row],[Class]]="B", WORKDAY(Main[[#This Row],[Tech Start Date]],6),IF(Main[[#This Row],[Class]]="A",WORKDAY(Main[[#This Row],[Tech Start Date]],2),""))))</f>
        <v>40871</v>
      </c>
      <c r="N1408" s="152">
        <f>IF(Main[[#This Row],[Tech Start Date]]&lt;1/1/1990,"",IF(Main[[#This Row],[Class]]="C",WORKDAY(Main[[#This Row],[Tech Start Date]],19),IF(Main[[#This Row],[Class]]="B", WORKDAY(Main[[#This Row],[Tech Start Date]],12),IF(Main[[#This Row],[Class]]="A",WORKDAY(Main[[#This Row],[Tech Start Date]],4),""))))</f>
        <v>40875</v>
      </c>
      <c r="O1408" s="152">
        <f>IF(Main[[#This Row],[Tech Start Date]]&lt;1/1/1990,"",IF(Main[[#This Row],[Class]]="C",WORKDAY(Main[[#This Row],[Tech Start Date]],23),IF(Main[[#This Row],[Class]]="B", WORKDAY(Main[[#This Row],[Tech Start Date]],15),IF(Main[[#This Row],[Class]]="A",WORKDAY(Main[[#This Row],[Tech Start Date]],5),""))))</f>
        <v>40876</v>
      </c>
      <c r="P1408" s="152">
        <f>IF(Main[[#This Row],[Tech Start Date]]&lt;1/1/1990,"",IF(Main[[#This Row],[Class]]="C",WORKDAY(Main[[#This Row],[Tech Start Date]],28),IF(Main[[#This Row],[Class]]="B", WORKDAY(Main[[#This Row],[Tech Start Date]],19),IF(Main[[#This Row],[Class]]="A",WORKDAY(Main[[#This Row],[Tech Start Date]],9),""))))</f>
        <v>40882</v>
      </c>
      <c r="Q1408" s="149">
        <v>40882</v>
      </c>
      <c r="R1408" s="149">
        <v>40882</v>
      </c>
      <c r="S1408" s="147" t="s">
        <v>17</v>
      </c>
      <c r="T1408" s="153" t="s">
        <v>4</v>
      </c>
      <c r="U1408" s="147" t="s">
        <v>14</v>
      </c>
      <c r="V1408" s="147" t="s">
        <v>1933</v>
      </c>
      <c r="W1408" s="147" t="s">
        <v>1934</v>
      </c>
      <c r="X1408" s="147" t="s">
        <v>2974</v>
      </c>
      <c r="Y1408" s="147" t="s">
        <v>3134</v>
      </c>
      <c r="Z1408" s="147" t="s">
        <v>2075</v>
      </c>
      <c r="AA1408" s="154" t="s">
        <v>2974</v>
      </c>
    </row>
    <row r="1409" spans="1:27" ht="18.600000000000001" customHeight="1">
      <c r="A1409" s="176" t="str">
        <f>IF(priority(Main[[#This Row],[Comments]])&lt;&gt;0, priority(Main[[#This Row],[Comments]]),"")</f>
        <v/>
      </c>
      <c r="B1409" s="146" t="s">
        <v>1241</v>
      </c>
      <c r="C1409" s="154" t="s">
        <v>33</v>
      </c>
      <c r="D1409" s="177" t="s">
        <v>3822</v>
      </c>
      <c r="E1409" s="178">
        <v>40603.336435185185</v>
      </c>
      <c r="F1409" s="178">
        <v>40632</v>
      </c>
      <c r="G1409" s="179" t="str">
        <f>IF(stdProdLT(Main[[#This Row],[Comments]])=0.1,"N/A",IF(stdProdLT(Main[[#This Row],[Comments]])=0,"",stdProdLT(Main[[#This Row],[Comments]])))</f>
        <v/>
      </c>
      <c r="H1409" s="180">
        <f>IF(AND(Main[[#This Row],[In Stock Date]]&lt;&gt;"",Main[[#This Row],[Revised Due Date]]&lt;&gt;""),Main[[#This Row],[In Stock Date]]-Main[[#This Row],[Revised Due Date]],"")</f>
        <v>-336</v>
      </c>
      <c r="I1409" s="154" t="s">
        <v>900</v>
      </c>
      <c r="J1409" s="154" t="s">
        <v>28</v>
      </c>
      <c r="K1409" s="154" t="s">
        <v>1944</v>
      </c>
      <c r="L1409" s="178">
        <v>40878</v>
      </c>
      <c r="M1409" s="181" t="str">
        <f>IF(Main[[#This Row],[Tech Start Date]]&lt;1/1/1990,"",IF(Main[[#This Row],[Class]]="C",WORKDAY(Main[[#This Row],[Tech Start Date]],9),IF(Main[[#This Row],[Class]]="B", WORKDAY(Main[[#This Row],[Tech Start Date]],6),IF(Main[[#This Row],[Class]]="A",WORKDAY(Main[[#This Row],[Tech Start Date]],2),""))))</f>
        <v/>
      </c>
      <c r="N1409" s="181" t="str">
        <f>IF(Main[[#This Row],[Tech Start Date]]&lt;1/1/1990,"",IF(Main[[#This Row],[Class]]="C",WORKDAY(Main[[#This Row],[Tech Start Date]],19),IF(Main[[#This Row],[Class]]="B", WORKDAY(Main[[#This Row],[Tech Start Date]],12),IF(Main[[#This Row],[Class]]="A",WORKDAY(Main[[#This Row],[Tech Start Date]],4),""))))</f>
        <v/>
      </c>
      <c r="O1409" s="181" t="str">
        <f>IF(Main[[#This Row],[Tech Start Date]]&lt;1/1/1990,"",IF(Main[[#This Row],[Class]]="C",WORKDAY(Main[[#This Row],[Tech Start Date]],23),IF(Main[[#This Row],[Class]]="B", WORKDAY(Main[[#This Row],[Tech Start Date]],15),IF(Main[[#This Row],[Class]]="A",WORKDAY(Main[[#This Row],[Tech Start Date]],5),""))))</f>
        <v/>
      </c>
      <c r="P1409" s="181" t="str">
        <f>IF(Main[[#This Row],[Tech Start Date]]&lt;1/1/1990,"",IF(Main[[#This Row],[Class]]="C",WORKDAY(Main[[#This Row],[Tech Start Date]],28),IF(Main[[#This Row],[Class]]="B", WORKDAY(Main[[#This Row],[Tech Start Date]],19),IF(Main[[#This Row],[Class]]="A",WORKDAY(Main[[#This Row],[Tech Start Date]],9),""))))</f>
        <v/>
      </c>
      <c r="Q1409" s="178">
        <v>40612</v>
      </c>
      <c r="R1409" s="178">
        <v>40968</v>
      </c>
      <c r="S1409" s="154" t="s">
        <v>17</v>
      </c>
      <c r="T1409" s="182" t="s">
        <v>4</v>
      </c>
      <c r="U1409" s="154" t="s">
        <v>29</v>
      </c>
      <c r="V1409" s="154" t="s">
        <v>1932</v>
      </c>
      <c r="W1409" s="154" t="s">
        <v>1937</v>
      </c>
      <c r="X1409" s="154" t="s">
        <v>2959</v>
      </c>
      <c r="Y1409" s="154" t="s">
        <v>3108</v>
      </c>
      <c r="Z1409" s="154" t="s">
        <v>888</v>
      </c>
      <c r="AA1409" s="154" t="s">
        <v>2959</v>
      </c>
    </row>
    <row r="1410" spans="1:27" ht="18.600000000000001" customHeight="1">
      <c r="A1410" s="176" t="str">
        <f>IF(priority(Main[[#This Row],[Comments]])&lt;&gt;0, priority(Main[[#This Row],[Comments]]),"")</f>
        <v/>
      </c>
      <c r="B1410" s="146" t="s">
        <v>2608</v>
      </c>
      <c r="C1410" s="154" t="s">
        <v>2609</v>
      </c>
      <c r="D1410" s="177" t="s">
        <v>2885</v>
      </c>
      <c r="E1410" s="178">
        <v>40857.997499999998</v>
      </c>
      <c r="F1410" s="178"/>
      <c r="G1410" s="179">
        <f>IF(stdProdLT(Main[[#This Row],[Comments]])=0.1,"N/A",IF(stdProdLT(Main[[#This Row],[Comments]])=0,"",stdProdLT(Main[[#This Row],[Comments]])))</f>
        <v>140</v>
      </c>
      <c r="H1410" s="180" t="str">
        <f>IF(AND(Main[[#This Row],[In Stock Date]]&lt;&gt;"",Main[[#This Row],[Revised Due Date]]&lt;&gt;""),Main[[#This Row],[In Stock Date]]-Main[[#This Row],[Revised Due Date]],"")</f>
        <v/>
      </c>
      <c r="I1410" s="154" t="s">
        <v>434</v>
      </c>
      <c r="J1410" s="154" t="s">
        <v>70</v>
      </c>
      <c r="K1410" s="154" t="s">
        <v>1941</v>
      </c>
      <c r="L1410" s="178">
        <v>40885</v>
      </c>
      <c r="M1410" s="181">
        <f>IF(Main[[#This Row],[Tech Start Date]]&lt;1/1/1990,"",IF(Main[[#This Row],[Class]]="C",WORKDAY(Main[[#This Row],[Tech Start Date]],9),IF(Main[[#This Row],[Class]]="B", WORKDAY(Main[[#This Row],[Tech Start Date]],6),IF(Main[[#This Row],[Class]]="A",WORKDAY(Main[[#This Row],[Tech Start Date]],2),""))))</f>
        <v>40889</v>
      </c>
      <c r="N1410" s="181">
        <f>IF(Main[[#This Row],[Tech Start Date]]&lt;1/1/1990,"",IF(Main[[#This Row],[Class]]="C",WORKDAY(Main[[#This Row],[Tech Start Date]],19),IF(Main[[#This Row],[Class]]="B", WORKDAY(Main[[#This Row],[Tech Start Date]],12),IF(Main[[#This Row],[Class]]="A",WORKDAY(Main[[#This Row],[Tech Start Date]],4),""))))</f>
        <v>40891</v>
      </c>
      <c r="O1410" s="181">
        <f>IF(Main[[#This Row],[Tech Start Date]]&lt;1/1/1990,"",IF(Main[[#This Row],[Class]]="C",WORKDAY(Main[[#This Row],[Tech Start Date]],23),IF(Main[[#This Row],[Class]]="B", WORKDAY(Main[[#This Row],[Tech Start Date]],15),IF(Main[[#This Row],[Class]]="A",WORKDAY(Main[[#This Row],[Tech Start Date]],5),""))))</f>
        <v>40892</v>
      </c>
      <c r="P1410" s="181">
        <f>IF(Main[[#This Row],[Tech Start Date]]&lt;1/1/1990,"",IF(Main[[#This Row],[Class]]="C",WORKDAY(Main[[#This Row],[Tech Start Date]],28),IF(Main[[#This Row],[Class]]="B", WORKDAY(Main[[#This Row],[Tech Start Date]],19),IF(Main[[#This Row],[Class]]="A",WORKDAY(Main[[#This Row],[Tech Start Date]],9),""))))</f>
        <v>40898</v>
      </c>
      <c r="Q1410" s="178">
        <v>40879</v>
      </c>
      <c r="R1410" s="178"/>
      <c r="S1410" s="154" t="s">
        <v>11</v>
      </c>
      <c r="T1410" s="182" t="s">
        <v>3463</v>
      </c>
      <c r="U1410" s="154" t="s">
        <v>539</v>
      </c>
      <c r="V1410" s="154" t="s">
        <v>1942</v>
      </c>
      <c r="W1410" s="154" t="s">
        <v>1940</v>
      </c>
      <c r="X1410" s="154" t="s">
        <v>2988</v>
      </c>
      <c r="Y1410" s="154" t="s">
        <v>4</v>
      </c>
      <c r="Z1410" s="154" t="s">
        <v>535</v>
      </c>
      <c r="AA1410" s="154" t="s">
        <v>2988</v>
      </c>
    </row>
    <row r="1411" spans="1:27" ht="18.600000000000001" customHeight="1">
      <c r="A1411" s="176" t="str">
        <f>IF(priority(Main[[#This Row],[Comments]])&lt;&gt;0, priority(Main[[#This Row],[Comments]]),"")</f>
        <v/>
      </c>
      <c r="B1411" s="146" t="s">
        <v>2886</v>
      </c>
      <c r="C1411" s="154" t="s">
        <v>3317</v>
      </c>
      <c r="D1411" s="177" t="s">
        <v>2887</v>
      </c>
      <c r="E1411" s="178">
        <v>40890.87877314815</v>
      </c>
      <c r="F1411" s="178"/>
      <c r="G1411" s="179">
        <f>IF(stdProdLT(Main[[#This Row],[Comments]])=0.1,"N/A",IF(stdProdLT(Main[[#This Row],[Comments]])=0,"",stdProdLT(Main[[#This Row],[Comments]])))</f>
        <v>154</v>
      </c>
      <c r="H1411" s="180" t="str">
        <f>IF(AND(Main[[#This Row],[In Stock Date]]&lt;&gt;"",Main[[#This Row],[Revised Due Date]]&lt;&gt;""),Main[[#This Row],[In Stock Date]]-Main[[#This Row],[Revised Due Date]],"")</f>
        <v/>
      </c>
      <c r="I1411" s="154" t="s">
        <v>242</v>
      </c>
      <c r="J1411" s="154" t="s">
        <v>52</v>
      </c>
      <c r="K1411" s="154" t="s">
        <v>1941</v>
      </c>
      <c r="L1411" s="178">
        <v>40904</v>
      </c>
      <c r="M1411" s="181">
        <f>IF(Main[[#This Row],[Tech Start Date]]&lt;1/1/1990,"",IF(Main[[#This Row],[Class]]="C",WORKDAY(Main[[#This Row],[Tech Start Date]],9),IF(Main[[#This Row],[Class]]="B", WORKDAY(Main[[#This Row],[Tech Start Date]],6),IF(Main[[#This Row],[Class]]="A",WORKDAY(Main[[#This Row],[Tech Start Date]],2),""))))</f>
        <v>40906</v>
      </c>
      <c r="N1411" s="181">
        <f>IF(Main[[#This Row],[Tech Start Date]]&lt;1/1/1990,"",IF(Main[[#This Row],[Class]]="C",WORKDAY(Main[[#This Row],[Tech Start Date]],19),IF(Main[[#This Row],[Class]]="B", WORKDAY(Main[[#This Row],[Tech Start Date]],12),IF(Main[[#This Row],[Class]]="A",WORKDAY(Main[[#This Row],[Tech Start Date]],4),""))))</f>
        <v>40910</v>
      </c>
      <c r="O1411" s="181">
        <f>IF(Main[[#This Row],[Tech Start Date]]&lt;1/1/1990,"",IF(Main[[#This Row],[Class]]="C",WORKDAY(Main[[#This Row],[Tech Start Date]],23),IF(Main[[#This Row],[Class]]="B", WORKDAY(Main[[#This Row],[Tech Start Date]],15),IF(Main[[#This Row],[Class]]="A",WORKDAY(Main[[#This Row],[Tech Start Date]],5),""))))</f>
        <v>40911</v>
      </c>
      <c r="P1411" s="181">
        <f>IF(Main[[#This Row],[Tech Start Date]]&lt;1/1/1990,"",IF(Main[[#This Row],[Class]]="C",WORKDAY(Main[[#This Row],[Tech Start Date]],28),IF(Main[[#This Row],[Class]]="B", WORKDAY(Main[[#This Row],[Tech Start Date]],19),IF(Main[[#This Row],[Class]]="A",WORKDAY(Main[[#This Row],[Tech Start Date]],9),""))))</f>
        <v>40917</v>
      </c>
      <c r="Q1411" s="178">
        <v>40892</v>
      </c>
      <c r="R1411" s="178"/>
      <c r="S1411" s="154" t="s">
        <v>11</v>
      </c>
      <c r="T1411" s="182" t="s">
        <v>3557</v>
      </c>
      <c r="U1411" s="154" t="s">
        <v>29</v>
      </c>
      <c r="V1411" s="154" t="s">
        <v>1935</v>
      </c>
      <c r="W1411" s="154" t="s">
        <v>1934</v>
      </c>
      <c r="X1411" s="154" t="s">
        <v>3009</v>
      </c>
      <c r="Y1411" s="154" t="s">
        <v>4</v>
      </c>
      <c r="Z1411" s="154" t="s">
        <v>535</v>
      </c>
      <c r="AA1411" s="154" t="s">
        <v>3009</v>
      </c>
    </row>
    <row r="1412" spans="1:27" ht="18.600000000000001" customHeight="1">
      <c r="A1412" s="176" t="str">
        <f>IF(priority(Main[[#This Row],[Comments]])&lt;&gt;0, priority(Main[[#This Row],[Comments]]),"")</f>
        <v/>
      </c>
      <c r="B1412" s="146" t="s">
        <v>2890</v>
      </c>
      <c r="C1412" s="154" t="s">
        <v>2891</v>
      </c>
      <c r="D1412" s="177" t="s">
        <v>3272</v>
      </c>
      <c r="E1412" s="178">
        <v>40889.938506944447</v>
      </c>
      <c r="F1412" s="178">
        <v>41029</v>
      </c>
      <c r="G1412" s="179">
        <f>IF(stdProdLT(Main[[#This Row],[Comments]])=0.1,"N/A",IF(stdProdLT(Main[[#This Row],[Comments]])=0,"",stdProdLT(Main[[#This Row],[Comments]])))</f>
        <v>154</v>
      </c>
      <c r="H1412" s="180" t="str">
        <f>IF(AND(Main[[#This Row],[In Stock Date]]&lt;&gt;"",Main[[#This Row],[Revised Due Date]]&lt;&gt;""),Main[[#This Row],[In Stock Date]]-Main[[#This Row],[Revised Due Date]],"")</f>
        <v/>
      </c>
      <c r="I1412" s="154" t="s">
        <v>775</v>
      </c>
      <c r="J1412" s="154" t="s">
        <v>28</v>
      </c>
      <c r="K1412" s="154" t="s">
        <v>1939</v>
      </c>
      <c r="L1412" s="178">
        <v>40904</v>
      </c>
      <c r="M1412" s="181">
        <f>IF(Main[[#This Row],[Tech Start Date]]&lt;1/1/1990,"",IF(Main[[#This Row],[Class]]="C",WORKDAY(Main[[#This Row],[Tech Start Date]],9),IF(Main[[#This Row],[Class]]="B", WORKDAY(Main[[#This Row],[Tech Start Date]],6),IF(Main[[#This Row],[Class]]="A",WORKDAY(Main[[#This Row],[Tech Start Date]],2),""))))</f>
        <v>40912</v>
      </c>
      <c r="N1412" s="181">
        <f>IF(Main[[#This Row],[Tech Start Date]]&lt;1/1/1990,"",IF(Main[[#This Row],[Class]]="C",WORKDAY(Main[[#This Row],[Tech Start Date]],19),IF(Main[[#This Row],[Class]]="B", WORKDAY(Main[[#This Row],[Tech Start Date]],12),IF(Main[[#This Row],[Class]]="A",WORKDAY(Main[[#This Row],[Tech Start Date]],4),""))))</f>
        <v>40920</v>
      </c>
      <c r="O1412" s="181">
        <f>IF(Main[[#This Row],[Tech Start Date]]&lt;1/1/1990,"",IF(Main[[#This Row],[Class]]="C",WORKDAY(Main[[#This Row],[Tech Start Date]],23),IF(Main[[#This Row],[Class]]="B", WORKDAY(Main[[#This Row],[Tech Start Date]],15),IF(Main[[#This Row],[Class]]="A",WORKDAY(Main[[#This Row],[Tech Start Date]],5),""))))</f>
        <v>40925</v>
      </c>
      <c r="P1412" s="181">
        <f>IF(Main[[#This Row],[Tech Start Date]]&lt;1/1/1990,"",IF(Main[[#This Row],[Class]]="C",WORKDAY(Main[[#This Row],[Tech Start Date]],28),IF(Main[[#This Row],[Class]]="B", WORKDAY(Main[[#This Row],[Tech Start Date]],19),IF(Main[[#This Row],[Class]]="A",WORKDAY(Main[[#This Row],[Tech Start Date]],9),""))))</f>
        <v>40931</v>
      </c>
      <c r="Q1412" s="178">
        <v>40918</v>
      </c>
      <c r="R1412" s="178"/>
      <c r="S1412" s="154" t="s">
        <v>11</v>
      </c>
      <c r="T1412" s="182" t="s">
        <v>3464</v>
      </c>
      <c r="U1412" s="154" t="s">
        <v>539</v>
      </c>
      <c r="V1412" s="154" t="s">
        <v>1935</v>
      </c>
      <c r="W1412" s="154" t="s">
        <v>1937</v>
      </c>
      <c r="X1412" s="154" t="s">
        <v>3010</v>
      </c>
      <c r="Y1412" s="154" t="s">
        <v>4</v>
      </c>
      <c r="Z1412" s="154" t="s">
        <v>535</v>
      </c>
      <c r="AA1412" s="154" t="s">
        <v>3010</v>
      </c>
    </row>
    <row r="1413" spans="1:27" ht="18.600000000000001" customHeight="1">
      <c r="A1413" s="176" t="str">
        <f>IF(priority(Main[[#This Row],[Comments]])&lt;&gt;0, priority(Main[[#This Row],[Comments]]),"")</f>
        <v/>
      </c>
      <c r="B1413" s="146" t="s">
        <v>2888</v>
      </c>
      <c r="C1413" s="154" t="s">
        <v>3317</v>
      </c>
      <c r="D1413" s="177" t="s">
        <v>2889</v>
      </c>
      <c r="E1413" s="178">
        <v>40890.878703703704</v>
      </c>
      <c r="F1413" s="178"/>
      <c r="G1413" s="179">
        <f>IF(stdProdLT(Main[[#This Row],[Comments]])=0.1,"N/A",IF(stdProdLT(Main[[#This Row],[Comments]])=0,"",stdProdLT(Main[[#This Row],[Comments]])))</f>
        <v>140</v>
      </c>
      <c r="H1413" s="180" t="str">
        <f>IF(AND(Main[[#This Row],[In Stock Date]]&lt;&gt;"",Main[[#This Row],[Revised Due Date]]&lt;&gt;""),Main[[#This Row],[In Stock Date]]-Main[[#This Row],[Revised Due Date]],"")</f>
        <v/>
      </c>
      <c r="I1413" s="154" t="s">
        <v>535</v>
      </c>
      <c r="J1413" s="154" t="s">
        <v>52</v>
      </c>
      <c r="K1413" s="154" t="s">
        <v>1939</v>
      </c>
      <c r="L1413" s="178">
        <v>40904</v>
      </c>
      <c r="M1413" s="181">
        <f>IF(Main[[#This Row],[Tech Start Date]]&lt;1/1/1990,"",IF(Main[[#This Row],[Class]]="C",WORKDAY(Main[[#This Row],[Tech Start Date]],9),IF(Main[[#This Row],[Class]]="B", WORKDAY(Main[[#This Row],[Tech Start Date]],6),IF(Main[[#This Row],[Class]]="A",WORKDAY(Main[[#This Row],[Tech Start Date]],2),""))))</f>
        <v>40912</v>
      </c>
      <c r="N1413" s="181">
        <f>IF(Main[[#This Row],[Tech Start Date]]&lt;1/1/1990,"",IF(Main[[#This Row],[Class]]="C",WORKDAY(Main[[#This Row],[Tech Start Date]],19),IF(Main[[#This Row],[Class]]="B", WORKDAY(Main[[#This Row],[Tech Start Date]],12),IF(Main[[#This Row],[Class]]="A",WORKDAY(Main[[#This Row],[Tech Start Date]],4),""))))</f>
        <v>40920</v>
      </c>
      <c r="O1413" s="181">
        <f>IF(Main[[#This Row],[Tech Start Date]]&lt;1/1/1990,"",IF(Main[[#This Row],[Class]]="C",WORKDAY(Main[[#This Row],[Tech Start Date]],23),IF(Main[[#This Row],[Class]]="B", WORKDAY(Main[[#This Row],[Tech Start Date]],15),IF(Main[[#This Row],[Class]]="A",WORKDAY(Main[[#This Row],[Tech Start Date]],5),""))))</f>
        <v>40925</v>
      </c>
      <c r="P1413" s="181">
        <f>IF(Main[[#This Row],[Tech Start Date]]&lt;1/1/1990,"",IF(Main[[#This Row],[Class]]="C",WORKDAY(Main[[#This Row],[Tech Start Date]],28),IF(Main[[#This Row],[Class]]="B", WORKDAY(Main[[#This Row],[Tech Start Date]],19),IF(Main[[#This Row],[Class]]="A",WORKDAY(Main[[#This Row],[Tech Start Date]],9),""))))</f>
        <v>40931</v>
      </c>
      <c r="Q1413" s="178">
        <v>40892</v>
      </c>
      <c r="R1413" s="178"/>
      <c r="S1413" s="154" t="s">
        <v>11</v>
      </c>
      <c r="T1413" s="182" t="s">
        <v>3556</v>
      </c>
      <c r="U1413" s="154" t="s">
        <v>29</v>
      </c>
      <c r="V1413" s="154" t="s">
        <v>1935</v>
      </c>
      <c r="W1413" s="154" t="s">
        <v>1934</v>
      </c>
      <c r="X1413" s="154" t="s">
        <v>3009</v>
      </c>
      <c r="Y1413" s="154" t="s">
        <v>4</v>
      </c>
      <c r="Z1413" s="154" t="s">
        <v>535</v>
      </c>
      <c r="AA1413" s="154" t="s">
        <v>3009</v>
      </c>
    </row>
    <row r="1414" spans="1:27" ht="18.600000000000001" customHeight="1">
      <c r="A1414" s="176" t="str">
        <f>IF(priority(Main[[#This Row],[Comments]])&lt;&gt;0, priority(Main[[#This Row],[Comments]]),"")</f>
        <v/>
      </c>
      <c r="B1414" s="146" t="s">
        <v>3265</v>
      </c>
      <c r="C1414" s="154" t="s">
        <v>3360</v>
      </c>
      <c r="D1414" s="177" t="s">
        <v>3475</v>
      </c>
      <c r="E1414" s="178">
        <v>40919.660682870373</v>
      </c>
      <c r="F1414" s="178">
        <v>41105</v>
      </c>
      <c r="G1414" s="179">
        <f>IF(stdProdLT(Main[[#This Row],[Comments]])=0.1,"N/A",IF(stdProdLT(Main[[#This Row],[Comments]])=0,"",stdProdLT(Main[[#This Row],[Comments]])))</f>
        <v>126</v>
      </c>
      <c r="H1414" s="180" t="str">
        <f>IF(AND(Main[[#This Row],[In Stock Date]]&lt;&gt;"",Main[[#This Row],[Revised Due Date]]&lt;&gt;""),Main[[#This Row],[In Stock Date]]-Main[[#This Row],[Revised Due Date]],"")</f>
        <v/>
      </c>
      <c r="I1414" s="154" t="s">
        <v>949</v>
      </c>
      <c r="J1414" s="154" t="s">
        <v>28</v>
      </c>
      <c r="K1414" s="154" t="s">
        <v>1939</v>
      </c>
      <c r="L1414" s="178">
        <v>40921</v>
      </c>
      <c r="M1414" s="181">
        <f>IF(Main[[#This Row],[Tech Start Date]]&lt;1/1/1990,"",IF(Main[[#This Row],[Class]]="C",WORKDAY(Main[[#This Row],[Tech Start Date]],9),IF(Main[[#This Row],[Class]]="B", WORKDAY(Main[[#This Row],[Tech Start Date]],6),IF(Main[[#This Row],[Class]]="A",WORKDAY(Main[[#This Row],[Tech Start Date]],2),""))))</f>
        <v>40931</v>
      </c>
      <c r="N1414" s="181">
        <f>IF(Main[[#This Row],[Tech Start Date]]&lt;1/1/1990,"",IF(Main[[#This Row],[Class]]="C",WORKDAY(Main[[#This Row],[Tech Start Date]],19),IF(Main[[#This Row],[Class]]="B", WORKDAY(Main[[#This Row],[Tech Start Date]],12),IF(Main[[#This Row],[Class]]="A",WORKDAY(Main[[#This Row],[Tech Start Date]],4),""))))</f>
        <v>40939</v>
      </c>
      <c r="O1414" s="181">
        <f>IF(Main[[#This Row],[Tech Start Date]]&lt;1/1/1990,"",IF(Main[[#This Row],[Class]]="C",WORKDAY(Main[[#This Row],[Tech Start Date]],23),IF(Main[[#This Row],[Class]]="B", WORKDAY(Main[[#This Row],[Tech Start Date]],15),IF(Main[[#This Row],[Class]]="A",WORKDAY(Main[[#This Row],[Tech Start Date]],5),""))))</f>
        <v>40942</v>
      </c>
      <c r="P1414" s="181">
        <f>IF(Main[[#This Row],[Tech Start Date]]&lt;1/1/1990,"",IF(Main[[#This Row],[Class]]="C",WORKDAY(Main[[#This Row],[Tech Start Date]],28),IF(Main[[#This Row],[Class]]="B", WORKDAY(Main[[#This Row],[Tech Start Date]],19),IF(Main[[#This Row],[Class]]="A",WORKDAY(Main[[#This Row],[Tech Start Date]],9),""))))</f>
        <v>40948</v>
      </c>
      <c r="Q1414" s="178">
        <v>41105</v>
      </c>
      <c r="R1414" s="178"/>
      <c r="S1414" s="154" t="s">
        <v>11</v>
      </c>
      <c r="T1414" s="182" t="s">
        <v>3476</v>
      </c>
      <c r="U1414" s="154" t="s">
        <v>539</v>
      </c>
      <c r="V1414" s="154" t="s">
        <v>1932</v>
      </c>
      <c r="W1414" s="154" t="s">
        <v>1943</v>
      </c>
      <c r="X1414" s="154" t="s">
        <v>2936</v>
      </c>
      <c r="Y1414" s="154" t="s">
        <v>3077</v>
      </c>
      <c r="Z1414" s="154" t="s">
        <v>129</v>
      </c>
      <c r="AA1414" s="154" t="s">
        <v>2936</v>
      </c>
    </row>
    <row r="1415" spans="1:27" ht="18.600000000000001" customHeight="1">
      <c r="A1415" s="176" t="str">
        <f>IF(priority(Main[[#This Row],[Comments]])&lt;&gt;0, priority(Main[[#This Row],[Comments]]),"")</f>
        <v/>
      </c>
      <c r="B1415" s="146" t="s">
        <v>3277</v>
      </c>
      <c r="C1415" s="154" t="s">
        <v>3307</v>
      </c>
      <c r="D1415" s="177" t="s">
        <v>3278</v>
      </c>
      <c r="E1415" s="178">
        <v>40920.303043981483</v>
      </c>
      <c r="F1415" s="178">
        <v>41153</v>
      </c>
      <c r="G1415" s="179">
        <f>IF(stdProdLT(Main[[#This Row],[Comments]])=0.1,"N/A",IF(stdProdLT(Main[[#This Row],[Comments]])=0,"",stdProdLT(Main[[#This Row],[Comments]])))</f>
        <v>168</v>
      </c>
      <c r="H1415" s="180" t="str">
        <f>IF(AND(Main[[#This Row],[In Stock Date]]&lt;&gt;"",Main[[#This Row],[Revised Due Date]]&lt;&gt;""),Main[[#This Row],[In Stock Date]]-Main[[#This Row],[Revised Due Date]],"")</f>
        <v/>
      </c>
      <c r="I1415" s="154" t="s">
        <v>242</v>
      </c>
      <c r="J1415" s="154" t="s">
        <v>21</v>
      </c>
      <c r="K1415" s="154" t="s">
        <v>1945</v>
      </c>
      <c r="L1415" s="178">
        <v>40925</v>
      </c>
      <c r="M1415" s="181">
        <f>IF(Main[[#This Row],[Tech Start Date]]&lt;1/1/1990,"",IF(Main[[#This Row],[Class]]="C",WORKDAY(Main[[#This Row],[Tech Start Date]],9),IF(Main[[#This Row],[Class]]="B", WORKDAY(Main[[#This Row],[Tech Start Date]],6),IF(Main[[#This Row],[Class]]="A",WORKDAY(Main[[#This Row],[Tech Start Date]],2),""))))</f>
        <v>40938</v>
      </c>
      <c r="N1415" s="181">
        <f>IF(Main[[#This Row],[Tech Start Date]]&lt;1/1/1990,"",IF(Main[[#This Row],[Class]]="C",WORKDAY(Main[[#This Row],[Tech Start Date]],19),IF(Main[[#This Row],[Class]]="B", WORKDAY(Main[[#This Row],[Tech Start Date]],12),IF(Main[[#This Row],[Class]]="A",WORKDAY(Main[[#This Row],[Tech Start Date]],4),""))))</f>
        <v>40952</v>
      </c>
      <c r="O1415" s="181">
        <f>IF(Main[[#This Row],[Tech Start Date]]&lt;1/1/1990,"",IF(Main[[#This Row],[Class]]="C",WORKDAY(Main[[#This Row],[Tech Start Date]],23),IF(Main[[#This Row],[Class]]="B", WORKDAY(Main[[#This Row],[Tech Start Date]],15),IF(Main[[#This Row],[Class]]="A",WORKDAY(Main[[#This Row],[Tech Start Date]],5),""))))</f>
        <v>40956</v>
      </c>
      <c r="P1415" s="181">
        <f>IF(Main[[#This Row],[Tech Start Date]]&lt;1/1/1990,"",IF(Main[[#This Row],[Class]]="C",WORKDAY(Main[[#This Row],[Tech Start Date]],28),IF(Main[[#This Row],[Class]]="B", WORKDAY(Main[[#This Row],[Tech Start Date]],19),IF(Main[[#This Row],[Class]]="A",WORKDAY(Main[[#This Row],[Tech Start Date]],9),""))))</f>
        <v>40963</v>
      </c>
      <c r="Q1415" s="178">
        <v>40984</v>
      </c>
      <c r="R1415" s="178"/>
      <c r="S1415" s="154" t="s">
        <v>11</v>
      </c>
      <c r="T1415" s="182" t="s">
        <v>3480</v>
      </c>
      <c r="U1415" s="154" t="s">
        <v>29</v>
      </c>
      <c r="V1415" s="154" t="s">
        <v>1935</v>
      </c>
      <c r="W1415" s="154" t="s">
        <v>1943</v>
      </c>
      <c r="X1415" s="154" t="s">
        <v>2930</v>
      </c>
      <c r="Y1415" s="154" t="s">
        <v>4</v>
      </c>
      <c r="Z1415" s="154" t="s">
        <v>535</v>
      </c>
      <c r="AA1415" s="154" t="s">
        <v>2930</v>
      </c>
    </row>
    <row r="1416" spans="1:27" ht="18.600000000000001" customHeight="1">
      <c r="A1416" s="176" t="str">
        <f>IF(priority(Main[[#This Row],[Comments]])&lt;&gt;0, priority(Main[[#This Row],[Comments]]),"")</f>
        <v/>
      </c>
      <c r="B1416" s="146" t="s">
        <v>3695</v>
      </c>
      <c r="C1416" s="154" t="s">
        <v>3696</v>
      </c>
      <c r="D1416" s="177" t="s">
        <v>3697</v>
      </c>
      <c r="E1416" s="178">
        <v>40899.057951388888</v>
      </c>
      <c r="F1416" s="178"/>
      <c r="G1416" s="179" t="str">
        <f>IF(stdProdLT(Main[[#This Row],[Comments]])=0.1,"N/A",IF(stdProdLT(Main[[#This Row],[Comments]])=0,"",stdProdLT(Main[[#This Row],[Comments]])))</f>
        <v>N/A</v>
      </c>
      <c r="H1416" s="180" t="str">
        <f>IF(AND(Main[[#This Row],[In Stock Date]]&lt;&gt;"",Main[[#This Row],[Revised Due Date]]&lt;&gt;""),Main[[#This Row],[In Stock Date]]-Main[[#This Row],[Revised Due Date]],"")</f>
        <v/>
      </c>
      <c r="I1416" s="154" t="s">
        <v>958</v>
      </c>
      <c r="J1416" s="154" t="s">
        <v>28</v>
      </c>
      <c r="K1416" s="154" t="s">
        <v>1945</v>
      </c>
      <c r="L1416" s="178">
        <v>40932</v>
      </c>
      <c r="M1416" s="181">
        <f>IF(Main[[#This Row],[Tech Start Date]]&lt;1/1/1990,"",IF(Main[[#This Row],[Class]]="C",WORKDAY(Main[[#This Row],[Tech Start Date]],9),IF(Main[[#This Row],[Class]]="B", WORKDAY(Main[[#This Row],[Tech Start Date]],6),IF(Main[[#This Row],[Class]]="A",WORKDAY(Main[[#This Row],[Tech Start Date]],2),""))))</f>
        <v>40945</v>
      </c>
      <c r="N1416" s="181">
        <f>IF(Main[[#This Row],[Tech Start Date]]&lt;1/1/1990,"",IF(Main[[#This Row],[Class]]="C",WORKDAY(Main[[#This Row],[Tech Start Date]],19),IF(Main[[#This Row],[Class]]="B", WORKDAY(Main[[#This Row],[Tech Start Date]],12),IF(Main[[#This Row],[Class]]="A",WORKDAY(Main[[#This Row],[Tech Start Date]],4),""))))</f>
        <v>40959</v>
      </c>
      <c r="O1416" s="181">
        <f>IF(Main[[#This Row],[Tech Start Date]]&lt;1/1/1990,"",IF(Main[[#This Row],[Class]]="C",WORKDAY(Main[[#This Row],[Tech Start Date]],23),IF(Main[[#This Row],[Class]]="B", WORKDAY(Main[[#This Row],[Tech Start Date]],15),IF(Main[[#This Row],[Class]]="A",WORKDAY(Main[[#This Row],[Tech Start Date]],5),""))))</f>
        <v>40963</v>
      </c>
      <c r="P1416" s="181">
        <f>IF(Main[[#This Row],[Tech Start Date]]&lt;1/1/1990,"",IF(Main[[#This Row],[Class]]="C",WORKDAY(Main[[#This Row],[Tech Start Date]],28),IF(Main[[#This Row],[Class]]="B", WORKDAY(Main[[#This Row],[Tech Start Date]],19),IF(Main[[#This Row],[Class]]="A",WORKDAY(Main[[#This Row],[Tech Start Date]],9),""))))</f>
        <v>40970</v>
      </c>
      <c r="Q1416" s="178">
        <v>40921</v>
      </c>
      <c r="R1416" s="178">
        <v>40968</v>
      </c>
      <c r="S1416" s="154" t="s">
        <v>17</v>
      </c>
      <c r="T1416" s="182" t="s">
        <v>3698</v>
      </c>
      <c r="U1416" s="154" t="s">
        <v>29</v>
      </c>
      <c r="V1416" s="154" t="s">
        <v>1933</v>
      </c>
      <c r="W1416" s="154" t="s">
        <v>1934</v>
      </c>
      <c r="X1416" s="154" t="s">
        <v>2919</v>
      </c>
      <c r="Y1416" s="154" t="s">
        <v>4</v>
      </c>
      <c r="Z1416" s="154" t="s">
        <v>2075</v>
      </c>
      <c r="AA1416" s="154" t="s">
        <v>2919</v>
      </c>
    </row>
    <row r="1417" spans="1:27" ht="18.600000000000001" customHeight="1">
      <c r="A1417" s="176" t="str">
        <f>IF(priority(Main[[#This Row],[Comments]])&lt;&gt;0, priority(Main[[#This Row],[Comments]]),"")</f>
        <v/>
      </c>
      <c r="B1417" s="146" t="s">
        <v>3487</v>
      </c>
      <c r="C1417" s="154" t="s">
        <v>72</v>
      </c>
      <c r="D1417" s="177" t="s">
        <v>3830</v>
      </c>
      <c r="E1417" s="178">
        <v>40931.826180555552</v>
      </c>
      <c r="F1417" s="178">
        <v>41090</v>
      </c>
      <c r="G1417" s="179" t="str">
        <f>IF(stdProdLT(Main[[#This Row],[Comments]])=0.1,"N/A",IF(stdProdLT(Main[[#This Row],[Comments]])=0,"",stdProdLT(Main[[#This Row],[Comments]])))</f>
        <v/>
      </c>
      <c r="H1417" s="180">
        <f>IF(AND(Main[[#This Row],[In Stock Date]]&lt;&gt;"",Main[[#This Row],[Revised Due Date]]&lt;&gt;""),Main[[#This Row],[In Stock Date]]-Main[[#This Row],[Revised Due Date]],"")</f>
        <v>115</v>
      </c>
      <c r="I1417" s="154" t="s">
        <v>2670</v>
      </c>
      <c r="J1417" s="154" t="s">
        <v>28</v>
      </c>
      <c r="K1417" s="154" t="s">
        <v>1945</v>
      </c>
      <c r="L1417" s="178">
        <v>40932</v>
      </c>
      <c r="M1417" s="181">
        <f>IF(Main[[#This Row],[Tech Start Date]]&lt;1/1/1990,"",IF(Main[[#This Row],[Class]]="C",WORKDAY(Main[[#This Row],[Tech Start Date]],9),IF(Main[[#This Row],[Class]]="B", WORKDAY(Main[[#This Row],[Tech Start Date]],6),IF(Main[[#This Row],[Class]]="A",WORKDAY(Main[[#This Row],[Tech Start Date]],2),""))))</f>
        <v>40945</v>
      </c>
      <c r="N1417" s="181">
        <f>IF(Main[[#This Row],[Tech Start Date]]&lt;1/1/1990,"",IF(Main[[#This Row],[Class]]="C",WORKDAY(Main[[#This Row],[Tech Start Date]],19),IF(Main[[#This Row],[Class]]="B", WORKDAY(Main[[#This Row],[Tech Start Date]],12),IF(Main[[#This Row],[Class]]="A",WORKDAY(Main[[#This Row],[Tech Start Date]],4),""))))</f>
        <v>40959</v>
      </c>
      <c r="O1417" s="181">
        <f>IF(Main[[#This Row],[Tech Start Date]]&lt;1/1/1990,"",IF(Main[[#This Row],[Class]]="C",WORKDAY(Main[[#This Row],[Tech Start Date]],23),IF(Main[[#This Row],[Class]]="B", WORKDAY(Main[[#This Row],[Tech Start Date]],15),IF(Main[[#This Row],[Class]]="A",WORKDAY(Main[[#This Row],[Tech Start Date]],5),""))))</f>
        <v>40963</v>
      </c>
      <c r="P1417" s="181">
        <f>IF(Main[[#This Row],[Tech Start Date]]&lt;1/1/1990,"",IF(Main[[#This Row],[Class]]="C",WORKDAY(Main[[#This Row],[Tech Start Date]],28),IF(Main[[#This Row],[Class]]="B", WORKDAY(Main[[#This Row],[Tech Start Date]],19),IF(Main[[#This Row],[Class]]="A",WORKDAY(Main[[#This Row],[Tech Start Date]],9),""))))</f>
        <v>40970</v>
      </c>
      <c r="Q1417" s="178">
        <v>40950</v>
      </c>
      <c r="R1417" s="178">
        <v>40975</v>
      </c>
      <c r="S1417" s="154" t="s">
        <v>11</v>
      </c>
      <c r="T1417" s="182" t="s">
        <v>3831</v>
      </c>
      <c r="U1417" s="154" t="s">
        <v>29</v>
      </c>
      <c r="V1417" s="154" t="s">
        <v>1933</v>
      </c>
      <c r="W1417" s="154" t="s">
        <v>1940</v>
      </c>
      <c r="X1417" s="154" t="s">
        <v>2931</v>
      </c>
      <c r="Y1417" s="154" t="s">
        <v>4</v>
      </c>
      <c r="Z1417" s="154" t="s">
        <v>2075</v>
      </c>
      <c r="AA1417" s="154" t="s">
        <v>2931</v>
      </c>
    </row>
    <row r="1418" spans="1:27" ht="18.600000000000001" customHeight="1">
      <c r="A1418" s="176" t="str">
        <f>IF(priority(Main[[#This Row],[Comments]])&lt;&gt;0, priority(Main[[#This Row],[Comments]]),"")</f>
        <v/>
      </c>
      <c r="B1418" s="146" t="s">
        <v>3369</v>
      </c>
      <c r="C1418" s="154" t="s">
        <v>583</v>
      </c>
      <c r="D1418" s="177" t="s">
        <v>3835</v>
      </c>
      <c r="E1418" s="178">
        <v>40933.480763888889</v>
      </c>
      <c r="F1418" s="178">
        <v>40975</v>
      </c>
      <c r="G1418" s="179" t="str">
        <f>IF(stdProdLT(Main[[#This Row],[Comments]])=0.1,"N/A",IF(stdProdLT(Main[[#This Row],[Comments]])=0,"",stdProdLT(Main[[#This Row],[Comments]])))</f>
        <v/>
      </c>
      <c r="H1418" s="180">
        <f>IF(AND(Main[[#This Row],[In Stock Date]]&lt;&gt;"",Main[[#This Row],[Revised Due Date]]&lt;&gt;""),Main[[#This Row],[In Stock Date]]-Main[[#This Row],[Revised Due Date]],"")</f>
        <v>7</v>
      </c>
      <c r="I1418" s="154" t="s">
        <v>952</v>
      </c>
      <c r="J1418" s="154" t="s">
        <v>28</v>
      </c>
      <c r="K1418" s="154" t="s">
        <v>1945</v>
      </c>
      <c r="L1418" s="178">
        <v>40938</v>
      </c>
      <c r="M1418" s="181">
        <f>IF(Main[[#This Row],[Tech Start Date]]&lt;1/1/1990,"",IF(Main[[#This Row],[Class]]="C",WORKDAY(Main[[#This Row],[Tech Start Date]],9),IF(Main[[#This Row],[Class]]="B", WORKDAY(Main[[#This Row],[Tech Start Date]],6),IF(Main[[#This Row],[Class]]="A",WORKDAY(Main[[#This Row],[Tech Start Date]],2),""))))</f>
        <v>40949</v>
      </c>
      <c r="N1418" s="181">
        <f>IF(Main[[#This Row],[Tech Start Date]]&lt;1/1/1990,"",IF(Main[[#This Row],[Class]]="C",WORKDAY(Main[[#This Row],[Tech Start Date]],19),IF(Main[[#This Row],[Class]]="B", WORKDAY(Main[[#This Row],[Tech Start Date]],12),IF(Main[[#This Row],[Class]]="A",WORKDAY(Main[[#This Row],[Tech Start Date]],4),""))))</f>
        <v>40963</v>
      </c>
      <c r="O1418" s="181">
        <f>IF(Main[[#This Row],[Tech Start Date]]&lt;1/1/1990,"",IF(Main[[#This Row],[Class]]="C",WORKDAY(Main[[#This Row],[Tech Start Date]],23),IF(Main[[#This Row],[Class]]="B", WORKDAY(Main[[#This Row],[Tech Start Date]],15),IF(Main[[#This Row],[Class]]="A",WORKDAY(Main[[#This Row],[Tech Start Date]],5),""))))</f>
        <v>40969</v>
      </c>
      <c r="P1418" s="181">
        <f>IF(Main[[#This Row],[Tech Start Date]]&lt;1/1/1990,"",IF(Main[[#This Row],[Class]]="C",WORKDAY(Main[[#This Row],[Tech Start Date]],28),IF(Main[[#This Row],[Class]]="B", WORKDAY(Main[[#This Row],[Tech Start Date]],19),IF(Main[[#This Row],[Class]]="A",WORKDAY(Main[[#This Row],[Tech Start Date]],9),""))))</f>
        <v>40976</v>
      </c>
      <c r="Q1418" s="178">
        <v>40940</v>
      </c>
      <c r="R1418" s="178">
        <v>40968</v>
      </c>
      <c r="S1418" s="154" t="s">
        <v>11</v>
      </c>
      <c r="T1418" s="182" t="s">
        <v>3836</v>
      </c>
      <c r="U1418" s="154" t="s">
        <v>29</v>
      </c>
      <c r="V1418" s="154" t="s">
        <v>1933</v>
      </c>
      <c r="W1418" s="154" t="s">
        <v>1934</v>
      </c>
      <c r="X1418" s="154" t="s">
        <v>2899</v>
      </c>
      <c r="Y1418" s="154" t="s">
        <v>4</v>
      </c>
      <c r="Z1418" s="154" t="s">
        <v>2075</v>
      </c>
      <c r="AA1418" s="154" t="s">
        <v>2899</v>
      </c>
    </row>
    <row r="1419" spans="1:27" ht="18.600000000000001" customHeight="1">
      <c r="A1419" s="176" t="str">
        <f>IF(priority(Main[[#This Row],[Comments]])&lt;&gt;0, priority(Main[[#This Row],[Comments]]),"")</f>
        <v/>
      </c>
      <c r="B1419" s="146" t="s">
        <v>3551</v>
      </c>
      <c r="C1419" s="154" t="s">
        <v>122</v>
      </c>
      <c r="D1419" s="177" t="s">
        <v>3670</v>
      </c>
      <c r="E1419" s="178">
        <v>40940.314641203702</v>
      </c>
      <c r="F1419" s="178"/>
      <c r="G1419" s="179" t="str">
        <f>IF(stdProdLT(Main[[#This Row],[Comments]])=0.1,"N/A",IF(stdProdLT(Main[[#This Row],[Comments]])=0,"",stdProdLT(Main[[#This Row],[Comments]])))</f>
        <v>N/A</v>
      </c>
      <c r="H1419" s="180" t="str">
        <f>IF(AND(Main[[#This Row],[In Stock Date]]&lt;&gt;"",Main[[#This Row],[Revised Due Date]]&lt;&gt;""),Main[[#This Row],[In Stock Date]]-Main[[#This Row],[Revised Due Date]],"")</f>
        <v/>
      </c>
      <c r="I1419" s="154" t="s">
        <v>923</v>
      </c>
      <c r="J1419" s="154" t="s">
        <v>52</v>
      </c>
      <c r="K1419" s="154" t="s">
        <v>1941</v>
      </c>
      <c r="L1419" s="178">
        <v>40939</v>
      </c>
      <c r="M1419" s="181">
        <f>IF(Main[[#This Row],[Tech Start Date]]&lt;1/1/1990,"",IF(Main[[#This Row],[Class]]="C",WORKDAY(Main[[#This Row],[Tech Start Date]],9),IF(Main[[#This Row],[Class]]="B", WORKDAY(Main[[#This Row],[Tech Start Date]],6),IF(Main[[#This Row],[Class]]="A",WORKDAY(Main[[#This Row],[Tech Start Date]],2),""))))</f>
        <v>40941</v>
      </c>
      <c r="N1419" s="181">
        <f>IF(Main[[#This Row],[Tech Start Date]]&lt;1/1/1990,"",IF(Main[[#This Row],[Class]]="C",WORKDAY(Main[[#This Row],[Tech Start Date]],19),IF(Main[[#This Row],[Class]]="B", WORKDAY(Main[[#This Row],[Tech Start Date]],12),IF(Main[[#This Row],[Class]]="A",WORKDAY(Main[[#This Row],[Tech Start Date]],4),""))))</f>
        <v>40945</v>
      </c>
      <c r="O1419" s="181">
        <f>IF(Main[[#This Row],[Tech Start Date]]&lt;1/1/1990,"",IF(Main[[#This Row],[Class]]="C",WORKDAY(Main[[#This Row],[Tech Start Date]],23),IF(Main[[#This Row],[Class]]="B", WORKDAY(Main[[#This Row],[Tech Start Date]],15),IF(Main[[#This Row],[Class]]="A",WORKDAY(Main[[#This Row],[Tech Start Date]],5),""))))</f>
        <v>40946</v>
      </c>
      <c r="P1419" s="181">
        <f>IF(Main[[#This Row],[Tech Start Date]]&lt;1/1/1990,"",IF(Main[[#This Row],[Class]]="C",WORKDAY(Main[[#This Row],[Tech Start Date]],28),IF(Main[[#This Row],[Class]]="B", WORKDAY(Main[[#This Row],[Tech Start Date]],19),IF(Main[[#This Row],[Class]]="A",WORKDAY(Main[[#This Row],[Tech Start Date]],9),""))))</f>
        <v>40952</v>
      </c>
      <c r="Q1419" s="178"/>
      <c r="R1419" s="178">
        <v>40961</v>
      </c>
      <c r="S1419" s="154" t="s">
        <v>11</v>
      </c>
      <c r="T1419" s="182" t="s">
        <v>3346</v>
      </c>
      <c r="U1419" s="154" t="s">
        <v>29</v>
      </c>
      <c r="V1419" s="154" t="s">
        <v>1932</v>
      </c>
      <c r="W1419" s="154" t="s">
        <v>1934</v>
      </c>
      <c r="X1419" s="154" t="s">
        <v>2936</v>
      </c>
      <c r="Y1419" s="154" t="s">
        <v>3077</v>
      </c>
      <c r="Z1419" s="154" t="s">
        <v>129</v>
      </c>
      <c r="AA1419" s="154" t="s">
        <v>2936</v>
      </c>
    </row>
    <row r="1420" spans="1:27" ht="18.600000000000001" customHeight="1">
      <c r="A1420" s="176" t="str">
        <f>IF(priority(Main[[#This Row],[Comments]])&lt;&gt;0, priority(Main[[#This Row],[Comments]]),"")</f>
        <v/>
      </c>
      <c r="B1420" s="146" t="s">
        <v>2797</v>
      </c>
      <c r="C1420" s="154" t="s">
        <v>216</v>
      </c>
      <c r="D1420" s="177" t="s">
        <v>3838</v>
      </c>
      <c r="E1420" s="178">
        <v>40914.471192129633</v>
      </c>
      <c r="F1420" s="178">
        <v>40928</v>
      </c>
      <c r="G1420" s="179" t="str">
        <f>IF(stdProdLT(Main[[#This Row],[Comments]])=0.1,"N/A",IF(stdProdLT(Main[[#This Row],[Comments]])=0,"",stdProdLT(Main[[#This Row],[Comments]])))</f>
        <v/>
      </c>
      <c r="H1420" s="180">
        <f>IF(AND(Main[[#This Row],[In Stock Date]]&lt;&gt;"",Main[[#This Row],[Revised Due Date]]&lt;&gt;""),Main[[#This Row],[In Stock Date]]-Main[[#This Row],[Revised Due Date]],"")</f>
        <v>-23</v>
      </c>
      <c r="I1420" s="154" t="s">
        <v>900</v>
      </c>
      <c r="J1420" s="154" t="s">
        <v>28</v>
      </c>
      <c r="K1420" s="154" t="s">
        <v>1939</v>
      </c>
      <c r="L1420" s="178">
        <v>40940</v>
      </c>
      <c r="M1420" s="181">
        <f>IF(Main[[#This Row],[Tech Start Date]]&lt;1/1/1990,"",IF(Main[[#This Row],[Class]]="C",WORKDAY(Main[[#This Row],[Tech Start Date]],9),IF(Main[[#This Row],[Class]]="B", WORKDAY(Main[[#This Row],[Tech Start Date]],6),IF(Main[[#This Row],[Class]]="A",WORKDAY(Main[[#This Row],[Tech Start Date]],2),""))))</f>
        <v>40948</v>
      </c>
      <c r="N1420" s="181">
        <f>IF(Main[[#This Row],[Tech Start Date]]&lt;1/1/1990,"",IF(Main[[#This Row],[Class]]="C",WORKDAY(Main[[#This Row],[Tech Start Date]],19),IF(Main[[#This Row],[Class]]="B", WORKDAY(Main[[#This Row],[Tech Start Date]],12),IF(Main[[#This Row],[Class]]="A",WORKDAY(Main[[#This Row],[Tech Start Date]],4),""))))</f>
        <v>40956</v>
      </c>
      <c r="O1420" s="181">
        <f>IF(Main[[#This Row],[Tech Start Date]]&lt;1/1/1990,"",IF(Main[[#This Row],[Class]]="C",WORKDAY(Main[[#This Row],[Tech Start Date]],23),IF(Main[[#This Row],[Class]]="B", WORKDAY(Main[[#This Row],[Tech Start Date]],15),IF(Main[[#This Row],[Class]]="A",WORKDAY(Main[[#This Row],[Tech Start Date]],5),""))))</f>
        <v>40961</v>
      </c>
      <c r="P1420" s="181">
        <f>IF(Main[[#This Row],[Tech Start Date]]&lt;1/1/1990,"",IF(Main[[#This Row],[Class]]="C",WORKDAY(Main[[#This Row],[Tech Start Date]],28),IF(Main[[#This Row],[Class]]="B", WORKDAY(Main[[#This Row],[Tech Start Date]],19),IF(Main[[#This Row],[Class]]="A",WORKDAY(Main[[#This Row],[Tech Start Date]],9),""))))</f>
        <v>40967</v>
      </c>
      <c r="Q1420" s="178"/>
      <c r="R1420" s="178">
        <v>40951</v>
      </c>
      <c r="S1420" s="154" t="s">
        <v>6</v>
      </c>
      <c r="T1420" s="182" t="s">
        <v>4</v>
      </c>
      <c r="U1420" s="154" t="s">
        <v>29</v>
      </c>
      <c r="V1420" s="154" t="s">
        <v>1932</v>
      </c>
      <c r="W1420" s="154" t="s">
        <v>1940</v>
      </c>
      <c r="X1420" s="154" t="s">
        <v>50</v>
      </c>
      <c r="Y1420" s="154" t="s">
        <v>3189</v>
      </c>
      <c r="Z1420" s="154" t="s">
        <v>888</v>
      </c>
      <c r="AA1420" s="154" t="s">
        <v>3653</v>
      </c>
    </row>
    <row r="1421" spans="1:27" ht="18.600000000000001" customHeight="1">
      <c r="A1421" s="176" t="str">
        <f>IF(priority(Main[[#This Row],[Comments]])&lt;&gt;0, priority(Main[[#This Row],[Comments]]),"")</f>
        <v/>
      </c>
      <c r="B1421" s="146" t="s">
        <v>3537</v>
      </c>
      <c r="C1421" s="154" t="s">
        <v>53</v>
      </c>
      <c r="D1421" s="177" t="s">
        <v>3840</v>
      </c>
      <c r="E1421" s="178">
        <v>40939.469178240739</v>
      </c>
      <c r="F1421" s="178">
        <v>40963</v>
      </c>
      <c r="G1421" s="179" t="str">
        <f>IF(stdProdLT(Main[[#This Row],[Comments]])=0.1,"N/A",IF(stdProdLT(Main[[#This Row],[Comments]])=0,"",stdProdLT(Main[[#This Row],[Comments]])))</f>
        <v/>
      </c>
      <c r="H1421" s="180">
        <f>IF(AND(Main[[#This Row],[In Stock Date]]&lt;&gt;"",Main[[#This Row],[Revised Due Date]]&lt;&gt;""),Main[[#This Row],[In Stock Date]]-Main[[#This Row],[Revised Due Date]],"")</f>
        <v>7</v>
      </c>
      <c r="I1421" s="154" t="s">
        <v>953</v>
      </c>
      <c r="J1421" s="154" t="s">
        <v>28</v>
      </c>
      <c r="K1421" s="154" t="s">
        <v>1945</v>
      </c>
      <c r="L1421" s="178">
        <v>40942</v>
      </c>
      <c r="M1421" s="181">
        <f>IF(Main[[#This Row],[Tech Start Date]]&lt;1/1/1990,"",IF(Main[[#This Row],[Class]]="C",WORKDAY(Main[[#This Row],[Tech Start Date]],9),IF(Main[[#This Row],[Class]]="B", WORKDAY(Main[[#This Row],[Tech Start Date]],6),IF(Main[[#This Row],[Class]]="A",WORKDAY(Main[[#This Row],[Tech Start Date]],2),""))))</f>
        <v>40955</v>
      </c>
      <c r="N1421" s="181">
        <f>IF(Main[[#This Row],[Tech Start Date]]&lt;1/1/1990,"",IF(Main[[#This Row],[Class]]="C",WORKDAY(Main[[#This Row],[Tech Start Date]],19),IF(Main[[#This Row],[Class]]="B", WORKDAY(Main[[#This Row],[Tech Start Date]],12),IF(Main[[#This Row],[Class]]="A",WORKDAY(Main[[#This Row],[Tech Start Date]],4),""))))</f>
        <v>40969</v>
      </c>
      <c r="O1421" s="181">
        <f>IF(Main[[#This Row],[Tech Start Date]]&lt;1/1/1990,"",IF(Main[[#This Row],[Class]]="C",WORKDAY(Main[[#This Row],[Tech Start Date]],23),IF(Main[[#This Row],[Class]]="B", WORKDAY(Main[[#This Row],[Tech Start Date]],15),IF(Main[[#This Row],[Class]]="A",WORKDAY(Main[[#This Row],[Tech Start Date]],5),""))))</f>
        <v>40975</v>
      </c>
      <c r="P1421" s="181">
        <f>IF(Main[[#This Row],[Tech Start Date]]&lt;1/1/1990,"",IF(Main[[#This Row],[Class]]="C",WORKDAY(Main[[#This Row],[Tech Start Date]],28),IF(Main[[#This Row],[Class]]="B", WORKDAY(Main[[#This Row],[Tech Start Date]],19),IF(Main[[#This Row],[Class]]="A",WORKDAY(Main[[#This Row],[Tech Start Date]],9),""))))</f>
        <v>40982</v>
      </c>
      <c r="Q1421" s="178"/>
      <c r="R1421" s="178">
        <v>40956</v>
      </c>
      <c r="S1421" s="154" t="s">
        <v>11</v>
      </c>
      <c r="T1421" s="182" t="s">
        <v>3841</v>
      </c>
      <c r="U1421" s="154" t="s">
        <v>29</v>
      </c>
      <c r="V1421" s="154" t="s">
        <v>1933</v>
      </c>
      <c r="W1421" s="154" t="s">
        <v>1934</v>
      </c>
      <c r="X1421" s="154" t="s">
        <v>2899</v>
      </c>
      <c r="Y1421" s="154" t="s">
        <v>4</v>
      </c>
      <c r="Z1421" s="154" t="s">
        <v>2075</v>
      </c>
      <c r="AA1421" s="154" t="s">
        <v>2899</v>
      </c>
    </row>
    <row r="1422" spans="1:27" ht="18.600000000000001" customHeight="1">
      <c r="A1422" s="176" t="str">
        <f>IF(priority(Main[[#This Row],[Comments]])&lt;&gt;0, priority(Main[[#This Row],[Comments]]),"")</f>
        <v/>
      </c>
      <c r="B1422" s="146" t="s">
        <v>3690</v>
      </c>
      <c r="C1422" s="154" t="s">
        <v>3691</v>
      </c>
      <c r="D1422" s="177" t="s">
        <v>3842</v>
      </c>
      <c r="E1422" s="178">
        <v>40941.352685185186</v>
      </c>
      <c r="F1422" s="178">
        <v>40960</v>
      </c>
      <c r="G1422" s="179" t="str">
        <f>IF(stdProdLT(Main[[#This Row],[Comments]])=0.1,"N/A",IF(stdProdLT(Main[[#This Row],[Comments]])=0,"",stdProdLT(Main[[#This Row],[Comments]])))</f>
        <v/>
      </c>
      <c r="H1422" s="180">
        <f>IF(AND(Main[[#This Row],[In Stock Date]]&lt;&gt;"",Main[[#This Row],[Revised Due Date]]&lt;&gt;""),Main[[#This Row],[In Stock Date]]-Main[[#This Row],[Revised Due Date]],"")</f>
        <v>5</v>
      </c>
      <c r="I1422" s="154" t="s">
        <v>2278</v>
      </c>
      <c r="J1422" s="154" t="s">
        <v>28</v>
      </c>
      <c r="K1422" s="154" t="s">
        <v>1945</v>
      </c>
      <c r="L1422" s="178">
        <v>40942</v>
      </c>
      <c r="M1422" s="181">
        <f>IF(Main[[#This Row],[Tech Start Date]]&lt;1/1/1990,"",IF(Main[[#This Row],[Class]]="C",WORKDAY(Main[[#This Row],[Tech Start Date]],9),IF(Main[[#This Row],[Class]]="B", WORKDAY(Main[[#This Row],[Tech Start Date]],6),IF(Main[[#This Row],[Class]]="A",WORKDAY(Main[[#This Row],[Tech Start Date]],2),""))))</f>
        <v>40955</v>
      </c>
      <c r="N1422" s="181">
        <f>IF(Main[[#This Row],[Tech Start Date]]&lt;1/1/1990,"",IF(Main[[#This Row],[Class]]="C",WORKDAY(Main[[#This Row],[Tech Start Date]],19),IF(Main[[#This Row],[Class]]="B", WORKDAY(Main[[#This Row],[Tech Start Date]],12),IF(Main[[#This Row],[Class]]="A",WORKDAY(Main[[#This Row],[Tech Start Date]],4),""))))</f>
        <v>40969</v>
      </c>
      <c r="O1422" s="181">
        <f>IF(Main[[#This Row],[Tech Start Date]]&lt;1/1/1990,"",IF(Main[[#This Row],[Class]]="C",WORKDAY(Main[[#This Row],[Tech Start Date]],23),IF(Main[[#This Row],[Class]]="B", WORKDAY(Main[[#This Row],[Tech Start Date]],15),IF(Main[[#This Row],[Class]]="A",WORKDAY(Main[[#This Row],[Tech Start Date]],5),""))))</f>
        <v>40975</v>
      </c>
      <c r="P1422" s="181">
        <f>IF(Main[[#This Row],[Tech Start Date]]&lt;1/1/1990,"",IF(Main[[#This Row],[Class]]="C",WORKDAY(Main[[#This Row],[Tech Start Date]],28),IF(Main[[#This Row],[Class]]="B", WORKDAY(Main[[#This Row],[Tech Start Date]],19),IF(Main[[#This Row],[Class]]="A",WORKDAY(Main[[#This Row],[Tech Start Date]],9),""))))</f>
        <v>40982</v>
      </c>
      <c r="Q1422" s="178">
        <v>40948</v>
      </c>
      <c r="R1422" s="178">
        <v>40955</v>
      </c>
      <c r="S1422" s="154" t="s">
        <v>11</v>
      </c>
      <c r="T1422" s="182" t="s">
        <v>3843</v>
      </c>
      <c r="U1422" s="154" t="s">
        <v>29</v>
      </c>
      <c r="V1422" s="154" t="s">
        <v>1933</v>
      </c>
      <c r="W1422" s="154" t="s">
        <v>1934</v>
      </c>
      <c r="X1422" s="154" t="s">
        <v>2899</v>
      </c>
      <c r="Y1422" s="154" t="s">
        <v>4</v>
      </c>
      <c r="Z1422" s="154" t="s">
        <v>2075</v>
      </c>
      <c r="AA1422" s="154" t="s">
        <v>2899</v>
      </c>
    </row>
    <row r="1423" spans="1:27" ht="18.600000000000001" customHeight="1">
      <c r="A1423" s="176" t="str">
        <f>IF(priority(Main[[#This Row],[Comments]])&lt;&gt;0, priority(Main[[#This Row],[Comments]]),"")</f>
        <v/>
      </c>
      <c r="B1423" s="146" t="s">
        <v>3702</v>
      </c>
      <c r="C1423" s="154" t="s">
        <v>2236</v>
      </c>
      <c r="D1423" s="177" t="s">
        <v>3844</v>
      </c>
      <c r="E1423" s="178">
        <v>40941.643043981479</v>
      </c>
      <c r="F1423" s="178">
        <v>40978</v>
      </c>
      <c r="G1423" s="179" t="str">
        <f>IF(stdProdLT(Main[[#This Row],[Comments]])=0.1,"N/A",IF(stdProdLT(Main[[#This Row],[Comments]])=0,"",stdProdLT(Main[[#This Row],[Comments]])))</f>
        <v/>
      </c>
      <c r="H1423" s="180">
        <f>IF(AND(Main[[#This Row],[In Stock Date]]&lt;&gt;"",Main[[#This Row],[Revised Due Date]]&lt;&gt;""),Main[[#This Row],[In Stock Date]]-Main[[#This Row],[Revised Due Date]],"")</f>
        <v>24</v>
      </c>
      <c r="I1423" s="154" t="s">
        <v>953</v>
      </c>
      <c r="J1423" s="154" t="s">
        <v>28</v>
      </c>
      <c r="K1423" s="154" t="s">
        <v>1941</v>
      </c>
      <c r="L1423" s="178">
        <v>40945</v>
      </c>
      <c r="M1423" s="181">
        <f>IF(Main[[#This Row],[Tech Start Date]]&lt;1/1/1990,"",IF(Main[[#This Row],[Class]]="C",WORKDAY(Main[[#This Row],[Tech Start Date]],9),IF(Main[[#This Row],[Class]]="B", WORKDAY(Main[[#This Row],[Tech Start Date]],6),IF(Main[[#This Row],[Class]]="A",WORKDAY(Main[[#This Row],[Tech Start Date]],2),""))))</f>
        <v>40947</v>
      </c>
      <c r="N1423" s="181">
        <f>IF(Main[[#This Row],[Tech Start Date]]&lt;1/1/1990,"",IF(Main[[#This Row],[Class]]="C",WORKDAY(Main[[#This Row],[Tech Start Date]],19),IF(Main[[#This Row],[Class]]="B", WORKDAY(Main[[#This Row],[Tech Start Date]],12),IF(Main[[#This Row],[Class]]="A",WORKDAY(Main[[#This Row],[Tech Start Date]],4),""))))</f>
        <v>40949</v>
      </c>
      <c r="O1423" s="181">
        <f>IF(Main[[#This Row],[Tech Start Date]]&lt;1/1/1990,"",IF(Main[[#This Row],[Class]]="C",WORKDAY(Main[[#This Row],[Tech Start Date]],23),IF(Main[[#This Row],[Class]]="B", WORKDAY(Main[[#This Row],[Tech Start Date]],15),IF(Main[[#This Row],[Class]]="A",WORKDAY(Main[[#This Row],[Tech Start Date]],5),""))))</f>
        <v>40952</v>
      </c>
      <c r="P1423" s="181">
        <f>IF(Main[[#This Row],[Tech Start Date]]&lt;1/1/1990,"",IF(Main[[#This Row],[Class]]="C",WORKDAY(Main[[#This Row],[Tech Start Date]],28),IF(Main[[#This Row],[Class]]="B", WORKDAY(Main[[#This Row],[Tech Start Date]],19),IF(Main[[#This Row],[Class]]="A",WORKDAY(Main[[#This Row],[Tech Start Date]],9),""))))</f>
        <v>40956</v>
      </c>
      <c r="Q1423" s="178">
        <v>40978</v>
      </c>
      <c r="R1423" s="178">
        <v>40954</v>
      </c>
      <c r="S1423" s="154" t="s">
        <v>11</v>
      </c>
      <c r="T1423" s="182" t="s">
        <v>3845</v>
      </c>
      <c r="U1423" s="154" t="s">
        <v>29</v>
      </c>
      <c r="V1423" s="154" t="s">
        <v>1933</v>
      </c>
      <c r="W1423" s="154" t="s">
        <v>1937</v>
      </c>
      <c r="X1423" s="154" t="s">
        <v>2899</v>
      </c>
      <c r="Y1423" s="154" t="s">
        <v>4</v>
      </c>
      <c r="Z1423" s="154" t="s">
        <v>2075</v>
      </c>
      <c r="AA1423" s="154" t="s">
        <v>2899</v>
      </c>
    </row>
    <row r="1424" spans="1:27" ht="18.600000000000001" customHeight="1">
      <c r="A1424" s="176" t="str">
        <f>IF(priority(Main[[#This Row],[Comments]])&lt;&gt;0, priority(Main[[#This Row],[Comments]]),"")</f>
        <v/>
      </c>
      <c r="B1424" s="146" t="s">
        <v>3682</v>
      </c>
      <c r="C1424" s="154" t="s">
        <v>2236</v>
      </c>
      <c r="D1424" s="177" t="s">
        <v>3846</v>
      </c>
      <c r="E1424" s="178">
        <v>40941.630740740744</v>
      </c>
      <c r="F1424" s="178">
        <v>40978</v>
      </c>
      <c r="G1424" s="179" t="str">
        <f>IF(stdProdLT(Main[[#This Row],[Comments]])=0.1,"N/A",IF(stdProdLT(Main[[#This Row],[Comments]])=0,"",stdProdLT(Main[[#This Row],[Comments]])))</f>
        <v/>
      </c>
      <c r="H1424" s="180">
        <f>IF(AND(Main[[#This Row],[In Stock Date]]&lt;&gt;"",Main[[#This Row],[Revised Due Date]]&lt;&gt;""),Main[[#This Row],[In Stock Date]]-Main[[#This Row],[Revised Due Date]],"")</f>
        <v>24</v>
      </c>
      <c r="I1424" s="154" t="s">
        <v>953</v>
      </c>
      <c r="J1424" s="154" t="s">
        <v>28</v>
      </c>
      <c r="K1424" s="154" t="s">
        <v>1941</v>
      </c>
      <c r="L1424" s="178">
        <v>40945</v>
      </c>
      <c r="M1424" s="181">
        <f>IF(Main[[#This Row],[Tech Start Date]]&lt;1/1/1990,"",IF(Main[[#This Row],[Class]]="C",WORKDAY(Main[[#This Row],[Tech Start Date]],9),IF(Main[[#This Row],[Class]]="B", WORKDAY(Main[[#This Row],[Tech Start Date]],6),IF(Main[[#This Row],[Class]]="A",WORKDAY(Main[[#This Row],[Tech Start Date]],2),""))))</f>
        <v>40947</v>
      </c>
      <c r="N1424" s="181">
        <f>IF(Main[[#This Row],[Tech Start Date]]&lt;1/1/1990,"",IF(Main[[#This Row],[Class]]="C",WORKDAY(Main[[#This Row],[Tech Start Date]],19),IF(Main[[#This Row],[Class]]="B", WORKDAY(Main[[#This Row],[Tech Start Date]],12),IF(Main[[#This Row],[Class]]="A",WORKDAY(Main[[#This Row],[Tech Start Date]],4),""))))</f>
        <v>40949</v>
      </c>
      <c r="O1424" s="181">
        <f>IF(Main[[#This Row],[Tech Start Date]]&lt;1/1/1990,"",IF(Main[[#This Row],[Class]]="C",WORKDAY(Main[[#This Row],[Tech Start Date]],23),IF(Main[[#This Row],[Class]]="B", WORKDAY(Main[[#This Row],[Tech Start Date]],15),IF(Main[[#This Row],[Class]]="A",WORKDAY(Main[[#This Row],[Tech Start Date]],5),""))))</f>
        <v>40952</v>
      </c>
      <c r="P1424" s="181">
        <f>IF(Main[[#This Row],[Tech Start Date]]&lt;1/1/1990,"",IF(Main[[#This Row],[Class]]="C",WORKDAY(Main[[#This Row],[Tech Start Date]],28),IF(Main[[#This Row],[Class]]="B", WORKDAY(Main[[#This Row],[Tech Start Date]],19),IF(Main[[#This Row],[Class]]="A",WORKDAY(Main[[#This Row],[Tech Start Date]],9),""))))</f>
        <v>40956</v>
      </c>
      <c r="Q1424" s="178">
        <v>40978</v>
      </c>
      <c r="R1424" s="178">
        <v>40954</v>
      </c>
      <c r="S1424" s="154" t="s">
        <v>11</v>
      </c>
      <c r="T1424" s="182" t="s">
        <v>3847</v>
      </c>
      <c r="U1424" s="154" t="s">
        <v>29</v>
      </c>
      <c r="V1424" s="154" t="s">
        <v>1933</v>
      </c>
      <c r="W1424" s="154" t="s">
        <v>1937</v>
      </c>
      <c r="X1424" s="154" t="s">
        <v>2899</v>
      </c>
      <c r="Y1424" s="154" t="s">
        <v>4</v>
      </c>
      <c r="Z1424" s="154" t="s">
        <v>2075</v>
      </c>
      <c r="AA1424" s="154" t="s">
        <v>2899</v>
      </c>
    </row>
    <row r="1425" spans="1:27" ht="18.600000000000001" customHeight="1">
      <c r="A1425" s="176" t="str">
        <f>IF(priority(Main[[#This Row],[Comments]])&lt;&gt;0, priority(Main[[#This Row],[Comments]]),"")</f>
        <v/>
      </c>
      <c r="B1425" s="146" t="s">
        <v>3683</v>
      </c>
      <c r="C1425" s="154" t="s">
        <v>2236</v>
      </c>
      <c r="D1425" s="177" t="s">
        <v>3848</v>
      </c>
      <c r="E1425" s="178">
        <v>40941.634687500002</v>
      </c>
      <c r="F1425" s="178">
        <v>40978</v>
      </c>
      <c r="G1425" s="179" t="str">
        <f>IF(stdProdLT(Main[[#This Row],[Comments]])=0.1,"N/A",IF(stdProdLT(Main[[#This Row],[Comments]])=0,"",stdProdLT(Main[[#This Row],[Comments]])))</f>
        <v/>
      </c>
      <c r="H1425" s="180">
        <f>IF(AND(Main[[#This Row],[In Stock Date]]&lt;&gt;"",Main[[#This Row],[Revised Due Date]]&lt;&gt;""),Main[[#This Row],[In Stock Date]]-Main[[#This Row],[Revised Due Date]],"")</f>
        <v>24</v>
      </c>
      <c r="I1425" s="154" t="s">
        <v>953</v>
      </c>
      <c r="J1425" s="154" t="s">
        <v>28</v>
      </c>
      <c r="K1425" s="154" t="s">
        <v>1941</v>
      </c>
      <c r="L1425" s="178">
        <v>40945</v>
      </c>
      <c r="M1425" s="181">
        <f>IF(Main[[#This Row],[Tech Start Date]]&lt;1/1/1990,"",IF(Main[[#This Row],[Class]]="C",WORKDAY(Main[[#This Row],[Tech Start Date]],9),IF(Main[[#This Row],[Class]]="B", WORKDAY(Main[[#This Row],[Tech Start Date]],6),IF(Main[[#This Row],[Class]]="A",WORKDAY(Main[[#This Row],[Tech Start Date]],2),""))))</f>
        <v>40947</v>
      </c>
      <c r="N1425" s="181">
        <f>IF(Main[[#This Row],[Tech Start Date]]&lt;1/1/1990,"",IF(Main[[#This Row],[Class]]="C",WORKDAY(Main[[#This Row],[Tech Start Date]],19),IF(Main[[#This Row],[Class]]="B", WORKDAY(Main[[#This Row],[Tech Start Date]],12),IF(Main[[#This Row],[Class]]="A",WORKDAY(Main[[#This Row],[Tech Start Date]],4),""))))</f>
        <v>40949</v>
      </c>
      <c r="O1425" s="181">
        <f>IF(Main[[#This Row],[Tech Start Date]]&lt;1/1/1990,"",IF(Main[[#This Row],[Class]]="C",WORKDAY(Main[[#This Row],[Tech Start Date]],23),IF(Main[[#This Row],[Class]]="B", WORKDAY(Main[[#This Row],[Tech Start Date]],15),IF(Main[[#This Row],[Class]]="A",WORKDAY(Main[[#This Row],[Tech Start Date]],5),""))))</f>
        <v>40952</v>
      </c>
      <c r="P1425" s="181">
        <f>IF(Main[[#This Row],[Tech Start Date]]&lt;1/1/1990,"",IF(Main[[#This Row],[Class]]="C",WORKDAY(Main[[#This Row],[Tech Start Date]],28),IF(Main[[#This Row],[Class]]="B", WORKDAY(Main[[#This Row],[Tech Start Date]],19),IF(Main[[#This Row],[Class]]="A",WORKDAY(Main[[#This Row],[Tech Start Date]],9),""))))</f>
        <v>40956</v>
      </c>
      <c r="Q1425" s="178">
        <v>40978</v>
      </c>
      <c r="R1425" s="178">
        <v>40954</v>
      </c>
      <c r="S1425" s="154" t="s">
        <v>11</v>
      </c>
      <c r="T1425" s="182" t="s">
        <v>3849</v>
      </c>
      <c r="U1425" s="154" t="s">
        <v>29</v>
      </c>
      <c r="V1425" s="154" t="s">
        <v>1933</v>
      </c>
      <c r="W1425" s="154" t="s">
        <v>1937</v>
      </c>
      <c r="X1425" s="154" t="s">
        <v>2899</v>
      </c>
      <c r="Y1425" s="154" t="s">
        <v>4</v>
      </c>
      <c r="Z1425" s="154" t="s">
        <v>2075</v>
      </c>
      <c r="AA1425" s="154" t="s">
        <v>2899</v>
      </c>
    </row>
    <row r="1426" spans="1:27" ht="18.600000000000001" customHeight="1">
      <c r="A1426" s="176" t="str">
        <f>IF(priority(Main[[#This Row],[Comments]])&lt;&gt;0, priority(Main[[#This Row],[Comments]]),"")</f>
        <v/>
      </c>
      <c r="B1426" s="146" t="s">
        <v>3700</v>
      </c>
      <c r="C1426" s="154" t="s">
        <v>2236</v>
      </c>
      <c r="D1426" s="177" t="s">
        <v>3850</v>
      </c>
      <c r="E1426" s="178">
        <v>40941.648611111108</v>
      </c>
      <c r="F1426" s="178">
        <v>40978</v>
      </c>
      <c r="G1426" s="179" t="str">
        <f>IF(stdProdLT(Main[[#This Row],[Comments]])=0.1,"N/A",IF(stdProdLT(Main[[#This Row],[Comments]])=0,"",stdProdLT(Main[[#This Row],[Comments]])))</f>
        <v/>
      </c>
      <c r="H1426" s="180">
        <f>IF(AND(Main[[#This Row],[In Stock Date]]&lt;&gt;"",Main[[#This Row],[Revised Due Date]]&lt;&gt;""),Main[[#This Row],[In Stock Date]]-Main[[#This Row],[Revised Due Date]],"")</f>
        <v>24</v>
      </c>
      <c r="I1426" s="154" t="s">
        <v>953</v>
      </c>
      <c r="J1426" s="154" t="s">
        <v>28</v>
      </c>
      <c r="K1426" s="154" t="s">
        <v>1941</v>
      </c>
      <c r="L1426" s="178">
        <v>40945</v>
      </c>
      <c r="M1426" s="181">
        <f>IF(Main[[#This Row],[Tech Start Date]]&lt;1/1/1990,"",IF(Main[[#This Row],[Class]]="C",WORKDAY(Main[[#This Row],[Tech Start Date]],9),IF(Main[[#This Row],[Class]]="B", WORKDAY(Main[[#This Row],[Tech Start Date]],6),IF(Main[[#This Row],[Class]]="A",WORKDAY(Main[[#This Row],[Tech Start Date]],2),""))))</f>
        <v>40947</v>
      </c>
      <c r="N1426" s="181">
        <f>IF(Main[[#This Row],[Tech Start Date]]&lt;1/1/1990,"",IF(Main[[#This Row],[Class]]="C",WORKDAY(Main[[#This Row],[Tech Start Date]],19),IF(Main[[#This Row],[Class]]="B", WORKDAY(Main[[#This Row],[Tech Start Date]],12),IF(Main[[#This Row],[Class]]="A",WORKDAY(Main[[#This Row],[Tech Start Date]],4),""))))</f>
        <v>40949</v>
      </c>
      <c r="O1426" s="181">
        <f>IF(Main[[#This Row],[Tech Start Date]]&lt;1/1/1990,"",IF(Main[[#This Row],[Class]]="C",WORKDAY(Main[[#This Row],[Tech Start Date]],23),IF(Main[[#This Row],[Class]]="B", WORKDAY(Main[[#This Row],[Tech Start Date]],15),IF(Main[[#This Row],[Class]]="A",WORKDAY(Main[[#This Row],[Tech Start Date]],5),""))))</f>
        <v>40952</v>
      </c>
      <c r="P1426" s="181">
        <f>IF(Main[[#This Row],[Tech Start Date]]&lt;1/1/1990,"",IF(Main[[#This Row],[Class]]="C",WORKDAY(Main[[#This Row],[Tech Start Date]],28),IF(Main[[#This Row],[Class]]="B", WORKDAY(Main[[#This Row],[Tech Start Date]],19),IF(Main[[#This Row],[Class]]="A",WORKDAY(Main[[#This Row],[Tech Start Date]],9),""))))</f>
        <v>40956</v>
      </c>
      <c r="Q1426" s="178">
        <v>40978</v>
      </c>
      <c r="R1426" s="178">
        <v>40954</v>
      </c>
      <c r="S1426" s="154" t="s">
        <v>11</v>
      </c>
      <c r="T1426" s="182" t="s">
        <v>3851</v>
      </c>
      <c r="U1426" s="154" t="s">
        <v>29</v>
      </c>
      <c r="V1426" s="154" t="s">
        <v>1933</v>
      </c>
      <c r="W1426" s="154" t="s">
        <v>1937</v>
      </c>
      <c r="X1426" s="154" t="s">
        <v>2899</v>
      </c>
      <c r="Y1426" s="154" t="s">
        <v>4</v>
      </c>
      <c r="Z1426" s="154" t="s">
        <v>2075</v>
      </c>
      <c r="AA1426" s="154" t="s">
        <v>2899</v>
      </c>
    </row>
    <row r="1427" spans="1:27" ht="18.600000000000001" customHeight="1">
      <c r="A1427" s="176" t="str">
        <f>IF(priority(Main[[#This Row],[Comments]])&lt;&gt;0, priority(Main[[#This Row],[Comments]]),"")</f>
        <v/>
      </c>
      <c r="B1427" s="146" t="s">
        <v>3701</v>
      </c>
      <c r="C1427" s="154" t="s">
        <v>2236</v>
      </c>
      <c r="D1427" s="177" t="s">
        <v>3852</v>
      </c>
      <c r="E1427" s="178">
        <v>40941.650891203702</v>
      </c>
      <c r="F1427" s="178">
        <v>40978</v>
      </c>
      <c r="G1427" s="179" t="str">
        <f>IF(stdProdLT(Main[[#This Row],[Comments]])=0.1,"N/A",IF(stdProdLT(Main[[#This Row],[Comments]])=0,"",stdProdLT(Main[[#This Row],[Comments]])))</f>
        <v/>
      </c>
      <c r="H1427" s="180">
        <f>IF(AND(Main[[#This Row],[In Stock Date]]&lt;&gt;"",Main[[#This Row],[Revised Due Date]]&lt;&gt;""),Main[[#This Row],[In Stock Date]]-Main[[#This Row],[Revised Due Date]],"")</f>
        <v>24</v>
      </c>
      <c r="I1427" s="154" t="s">
        <v>953</v>
      </c>
      <c r="J1427" s="154" t="s">
        <v>28</v>
      </c>
      <c r="K1427" s="154" t="s">
        <v>1941</v>
      </c>
      <c r="L1427" s="178">
        <v>40945</v>
      </c>
      <c r="M1427" s="181">
        <f>IF(Main[[#This Row],[Tech Start Date]]&lt;1/1/1990,"",IF(Main[[#This Row],[Class]]="C",WORKDAY(Main[[#This Row],[Tech Start Date]],9),IF(Main[[#This Row],[Class]]="B", WORKDAY(Main[[#This Row],[Tech Start Date]],6),IF(Main[[#This Row],[Class]]="A",WORKDAY(Main[[#This Row],[Tech Start Date]],2),""))))</f>
        <v>40947</v>
      </c>
      <c r="N1427" s="181">
        <f>IF(Main[[#This Row],[Tech Start Date]]&lt;1/1/1990,"",IF(Main[[#This Row],[Class]]="C",WORKDAY(Main[[#This Row],[Tech Start Date]],19),IF(Main[[#This Row],[Class]]="B", WORKDAY(Main[[#This Row],[Tech Start Date]],12),IF(Main[[#This Row],[Class]]="A",WORKDAY(Main[[#This Row],[Tech Start Date]],4),""))))</f>
        <v>40949</v>
      </c>
      <c r="O1427" s="181">
        <f>IF(Main[[#This Row],[Tech Start Date]]&lt;1/1/1990,"",IF(Main[[#This Row],[Class]]="C",WORKDAY(Main[[#This Row],[Tech Start Date]],23),IF(Main[[#This Row],[Class]]="B", WORKDAY(Main[[#This Row],[Tech Start Date]],15),IF(Main[[#This Row],[Class]]="A",WORKDAY(Main[[#This Row],[Tech Start Date]],5),""))))</f>
        <v>40952</v>
      </c>
      <c r="P1427" s="181">
        <f>IF(Main[[#This Row],[Tech Start Date]]&lt;1/1/1990,"",IF(Main[[#This Row],[Class]]="C",WORKDAY(Main[[#This Row],[Tech Start Date]],28),IF(Main[[#This Row],[Class]]="B", WORKDAY(Main[[#This Row],[Tech Start Date]],19),IF(Main[[#This Row],[Class]]="A",WORKDAY(Main[[#This Row],[Tech Start Date]],9),""))))</f>
        <v>40956</v>
      </c>
      <c r="Q1427" s="178">
        <v>40978</v>
      </c>
      <c r="R1427" s="178">
        <v>40954</v>
      </c>
      <c r="S1427" s="154" t="s">
        <v>11</v>
      </c>
      <c r="T1427" s="182" t="s">
        <v>3853</v>
      </c>
      <c r="U1427" s="154" t="s">
        <v>29</v>
      </c>
      <c r="V1427" s="154" t="s">
        <v>1933</v>
      </c>
      <c r="W1427" s="154" t="s">
        <v>1937</v>
      </c>
      <c r="X1427" s="154" t="s">
        <v>2899</v>
      </c>
      <c r="Y1427" s="154" t="s">
        <v>4</v>
      </c>
      <c r="Z1427" s="154" t="s">
        <v>2075</v>
      </c>
      <c r="AA1427" s="154" t="s">
        <v>2899</v>
      </c>
    </row>
    <row r="1428" spans="1:27" ht="18.600000000000001" customHeight="1">
      <c r="A1428" s="176" t="str">
        <f>IF(priority(Main[[#This Row],[Comments]])&lt;&gt;0, priority(Main[[#This Row],[Comments]]),"")</f>
        <v/>
      </c>
      <c r="B1428" s="146" t="s">
        <v>3699</v>
      </c>
      <c r="C1428" s="154" t="s">
        <v>2236</v>
      </c>
      <c r="D1428" s="177" t="s">
        <v>3854</v>
      </c>
      <c r="E1428" s="178">
        <v>40941.646319444444</v>
      </c>
      <c r="F1428" s="178">
        <v>40978</v>
      </c>
      <c r="G1428" s="179" t="str">
        <f>IF(stdProdLT(Main[[#This Row],[Comments]])=0.1,"N/A",IF(stdProdLT(Main[[#This Row],[Comments]])=0,"",stdProdLT(Main[[#This Row],[Comments]])))</f>
        <v/>
      </c>
      <c r="H1428" s="180">
        <f>IF(AND(Main[[#This Row],[In Stock Date]]&lt;&gt;"",Main[[#This Row],[Revised Due Date]]&lt;&gt;""),Main[[#This Row],[In Stock Date]]-Main[[#This Row],[Revised Due Date]],"")</f>
        <v>24</v>
      </c>
      <c r="I1428" s="154" t="s">
        <v>953</v>
      </c>
      <c r="J1428" s="154" t="s">
        <v>28</v>
      </c>
      <c r="K1428" s="154" t="s">
        <v>1941</v>
      </c>
      <c r="L1428" s="178">
        <v>40945</v>
      </c>
      <c r="M1428" s="181">
        <f>IF(Main[[#This Row],[Tech Start Date]]&lt;1/1/1990,"",IF(Main[[#This Row],[Class]]="C",WORKDAY(Main[[#This Row],[Tech Start Date]],9),IF(Main[[#This Row],[Class]]="B", WORKDAY(Main[[#This Row],[Tech Start Date]],6),IF(Main[[#This Row],[Class]]="A",WORKDAY(Main[[#This Row],[Tech Start Date]],2),""))))</f>
        <v>40947</v>
      </c>
      <c r="N1428" s="181">
        <f>IF(Main[[#This Row],[Tech Start Date]]&lt;1/1/1990,"",IF(Main[[#This Row],[Class]]="C",WORKDAY(Main[[#This Row],[Tech Start Date]],19),IF(Main[[#This Row],[Class]]="B", WORKDAY(Main[[#This Row],[Tech Start Date]],12),IF(Main[[#This Row],[Class]]="A",WORKDAY(Main[[#This Row],[Tech Start Date]],4),""))))</f>
        <v>40949</v>
      </c>
      <c r="O1428" s="181">
        <f>IF(Main[[#This Row],[Tech Start Date]]&lt;1/1/1990,"",IF(Main[[#This Row],[Class]]="C",WORKDAY(Main[[#This Row],[Tech Start Date]],23),IF(Main[[#This Row],[Class]]="B", WORKDAY(Main[[#This Row],[Tech Start Date]],15),IF(Main[[#This Row],[Class]]="A",WORKDAY(Main[[#This Row],[Tech Start Date]],5),""))))</f>
        <v>40952</v>
      </c>
      <c r="P1428" s="181">
        <f>IF(Main[[#This Row],[Tech Start Date]]&lt;1/1/1990,"",IF(Main[[#This Row],[Class]]="C",WORKDAY(Main[[#This Row],[Tech Start Date]],28),IF(Main[[#This Row],[Class]]="B", WORKDAY(Main[[#This Row],[Tech Start Date]],19),IF(Main[[#This Row],[Class]]="A",WORKDAY(Main[[#This Row],[Tech Start Date]],9),""))))</f>
        <v>40956</v>
      </c>
      <c r="Q1428" s="178">
        <v>40978</v>
      </c>
      <c r="R1428" s="178">
        <v>40954</v>
      </c>
      <c r="S1428" s="154" t="s">
        <v>11</v>
      </c>
      <c r="T1428" s="182" t="s">
        <v>3855</v>
      </c>
      <c r="U1428" s="154" t="s">
        <v>29</v>
      </c>
      <c r="V1428" s="154" t="s">
        <v>1933</v>
      </c>
      <c r="W1428" s="154" t="s">
        <v>1937</v>
      </c>
      <c r="X1428" s="154" t="s">
        <v>2899</v>
      </c>
      <c r="Y1428" s="154" t="s">
        <v>4</v>
      </c>
      <c r="Z1428" s="154" t="s">
        <v>2075</v>
      </c>
      <c r="AA1428" s="154" t="s">
        <v>2899</v>
      </c>
    </row>
    <row r="1429" spans="1:27" ht="18.600000000000001" customHeight="1">
      <c r="A1429" s="176" t="str">
        <f>IF(priority(Main[[#This Row],[Comments]])&lt;&gt;0, priority(Main[[#This Row],[Comments]]),"")</f>
        <v/>
      </c>
      <c r="B1429" s="146" t="s">
        <v>3550</v>
      </c>
      <c r="C1429" s="154" t="s">
        <v>122</v>
      </c>
      <c r="D1429" s="177" t="s">
        <v>3856</v>
      </c>
      <c r="E1429" s="178">
        <v>40940.308703703704</v>
      </c>
      <c r="F1429" s="178"/>
      <c r="G1429" s="179" t="str">
        <f>IF(stdProdLT(Main[[#This Row],[Comments]])=0.1,"N/A",IF(stdProdLT(Main[[#This Row],[Comments]])=0,"",stdProdLT(Main[[#This Row],[Comments]])))</f>
        <v>N/A</v>
      </c>
      <c r="H1429" s="180" t="str">
        <f>IF(AND(Main[[#This Row],[In Stock Date]]&lt;&gt;"",Main[[#This Row],[Revised Due Date]]&lt;&gt;""),Main[[#This Row],[In Stock Date]]-Main[[#This Row],[Revised Due Date]],"")</f>
        <v/>
      </c>
      <c r="I1429" s="154" t="s">
        <v>923</v>
      </c>
      <c r="J1429" s="154" t="s">
        <v>52</v>
      </c>
      <c r="K1429" s="154" t="s">
        <v>1941</v>
      </c>
      <c r="L1429" s="178">
        <v>40945</v>
      </c>
      <c r="M1429" s="181">
        <f>IF(Main[[#This Row],[Tech Start Date]]&lt;1/1/1990,"",IF(Main[[#This Row],[Class]]="C",WORKDAY(Main[[#This Row],[Tech Start Date]],9),IF(Main[[#This Row],[Class]]="B", WORKDAY(Main[[#This Row],[Tech Start Date]],6),IF(Main[[#This Row],[Class]]="A",WORKDAY(Main[[#This Row],[Tech Start Date]],2),""))))</f>
        <v>40947</v>
      </c>
      <c r="N1429" s="181">
        <f>IF(Main[[#This Row],[Tech Start Date]]&lt;1/1/1990,"",IF(Main[[#This Row],[Class]]="C",WORKDAY(Main[[#This Row],[Tech Start Date]],19),IF(Main[[#This Row],[Class]]="B", WORKDAY(Main[[#This Row],[Tech Start Date]],12),IF(Main[[#This Row],[Class]]="A",WORKDAY(Main[[#This Row],[Tech Start Date]],4),""))))</f>
        <v>40949</v>
      </c>
      <c r="O1429" s="181">
        <f>IF(Main[[#This Row],[Tech Start Date]]&lt;1/1/1990,"",IF(Main[[#This Row],[Class]]="C",WORKDAY(Main[[#This Row],[Tech Start Date]],23),IF(Main[[#This Row],[Class]]="B", WORKDAY(Main[[#This Row],[Tech Start Date]],15),IF(Main[[#This Row],[Class]]="A",WORKDAY(Main[[#This Row],[Tech Start Date]],5),""))))</f>
        <v>40952</v>
      </c>
      <c r="P1429" s="181">
        <f>IF(Main[[#This Row],[Tech Start Date]]&lt;1/1/1990,"",IF(Main[[#This Row],[Class]]="C",WORKDAY(Main[[#This Row],[Tech Start Date]],28),IF(Main[[#This Row],[Class]]="B", WORKDAY(Main[[#This Row],[Tech Start Date]],19),IF(Main[[#This Row],[Class]]="A",WORKDAY(Main[[#This Row],[Tech Start Date]],9),""))))</f>
        <v>40956</v>
      </c>
      <c r="Q1429" s="178"/>
      <c r="R1429" s="178"/>
      <c r="S1429" s="154" t="s">
        <v>11</v>
      </c>
      <c r="T1429" s="182" t="s">
        <v>3346</v>
      </c>
      <c r="U1429" s="154" t="s">
        <v>7</v>
      </c>
      <c r="V1429" s="154" t="s">
        <v>1932</v>
      </c>
      <c r="W1429" s="154" t="s">
        <v>1934</v>
      </c>
      <c r="X1429" s="154" t="s">
        <v>2936</v>
      </c>
      <c r="Y1429" s="154" t="s">
        <v>3077</v>
      </c>
      <c r="Z1429" s="154" t="s">
        <v>129</v>
      </c>
      <c r="AA1429" s="154" t="s">
        <v>2936</v>
      </c>
    </row>
    <row r="1430" spans="1:27" ht="18.600000000000001" customHeight="1">
      <c r="A1430" s="176" t="str">
        <f>IF(priority(Main[[#This Row],[Comments]])&lt;&gt;0, priority(Main[[#This Row],[Comments]]),"")</f>
        <v/>
      </c>
      <c r="B1430" s="146" t="s">
        <v>3857</v>
      </c>
      <c r="C1430" s="154" t="s">
        <v>2236</v>
      </c>
      <c r="D1430" s="177" t="s">
        <v>3858</v>
      </c>
      <c r="E1430" s="178">
        <v>40946.395277777781</v>
      </c>
      <c r="F1430" s="178">
        <v>40984</v>
      </c>
      <c r="G1430" s="179" t="str">
        <f>IF(stdProdLT(Main[[#This Row],[Comments]])=0.1,"N/A",IF(stdProdLT(Main[[#This Row],[Comments]])=0,"",stdProdLT(Main[[#This Row],[Comments]])))</f>
        <v/>
      </c>
      <c r="H1430" s="180">
        <f>IF(AND(Main[[#This Row],[In Stock Date]]&lt;&gt;"",Main[[#This Row],[Revised Due Date]]&lt;&gt;""),Main[[#This Row],[In Stock Date]]-Main[[#This Row],[Revised Due Date]],"")</f>
        <v>30</v>
      </c>
      <c r="I1430" s="154" t="s">
        <v>953</v>
      </c>
      <c r="J1430" s="154" t="s">
        <v>28</v>
      </c>
      <c r="K1430" s="154" t="s">
        <v>1941</v>
      </c>
      <c r="L1430" s="178">
        <v>40946</v>
      </c>
      <c r="M1430" s="181">
        <f>IF(Main[[#This Row],[Tech Start Date]]&lt;1/1/1990,"",IF(Main[[#This Row],[Class]]="C",WORKDAY(Main[[#This Row],[Tech Start Date]],9),IF(Main[[#This Row],[Class]]="B", WORKDAY(Main[[#This Row],[Tech Start Date]],6),IF(Main[[#This Row],[Class]]="A",WORKDAY(Main[[#This Row],[Tech Start Date]],2),""))))</f>
        <v>40948</v>
      </c>
      <c r="N1430" s="181">
        <f>IF(Main[[#This Row],[Tech Start Date]]&lt;1/1/1990,"",IF(Main[[#This Row],[Class]]="C",WORKDAY(Main[[#This Row],[Tech Start Date]],19),IF(Main[[#This Row],[Class]]="B", WORKDAY(Main[[#This Row],[Tech Start Date]],12),IF(Main[[#This Row],[Class]]="A",WORKDAY(Main[[#This Row],[Tech Start Date]],4),""))))</f>
        <v>40952</v>
      </c>
      <c r="O1430" s="181">
        <f>IF(Main[[#This Row],[Tech Start Date]]&lt;1/1/1990,"",IF(Main[[#This Row],[Class]]="C",WORKDAY(Main[[#This Row],[Tech Start Date]],23),IF(Main[[#This Row],[Class]]="B", WORKDAY(Main[[#This Row],[Tech Start Date]],15),IF(Main[[#This Row],[Class]]="A",WORKDAY(Main[[#This Row],[Tech Start Date]],5),""))))</f>
        <v>40953</v>
      </c>
      <c r="P1430" s="181">
        <f>IF(Main[[#This Row],[Tech Start Date]]&lt;1/1/1990,"",IF(Main[[#This Row],[Class]]="C",WORKDAY(Main[[#This Row],[Tech Start Date]],28),IF(Main[[#This Row],[Class]]="B", WORKDAY(Main[[#This Row],[Tech Start Date]],19),IF(Main[[#This Row],[Class]]="A",WORKDAY(Main[[#This Row],[Tech Start Date]],9),""))))</f>
        <v>40959</v>
      </c>
      <c r="Q1430" s="178">
        <v>40984</v>
      </c>
      <c r="R1430" s="178">
        <v>40954</v>
      </c>
      <c r="S1430" s="154" t="s">
        <v>11</v>
      </c>
      <c r="T1430" s="182" t="s">
        <v>4</v>
      </c>
      <c r="U1430" s="154" t="s">
        <v>29</v>
      </c>
      <c r="V1430" s="154" t="s">
        <v>1933</v>
      </c>
      <c r="W1430" s="154" t="s">
        <v>1937</v>
      </c>
      <c r="X1430" s="154" t="s">
        <v>2899</v>
      </c>
      <c r="Y1430" s="154" t="s">
        <v>4</v>
      </c>
      <c r="Z1430" s="154" t="s">
        <v>2075</v>
      </c>
      <c r="AA1430" s="154" t="s">
        <v>2899</v>
      </c>
    </row>
    <row r="1431" spans="1:27" ht="18.600000000000001" customHeight="1">
      <c r="A1431" s="176" t="str">
        <f>IF(priority(Main[[#This Row],[Comments]])&lt;&gt;0, priority(Main[[#This Row],[Comments]]),"")</f>
        <v/>
      </c>
      <c r="B1431" s="146" t="s">
        <v>3859</v>
      </c>
      <c r="C1431" s="154" t="s">
        <v>2236</v>
      </c>
      <c r="D1431" s="177" t="s">
        <v>3860</v>
      </c>
      <c r="E1431" s="178">
        <v>40945.409432870372</v>
      </c>
      <c r="F1431" s="178">
        <v>40982</v>
      </c>
      <c r="G1431" s="179" t="str">
        <f>IF(stdProdLT(Main[[#This Row],[Comments]])=0.1,"N/A",IF(stdProdLT(Main[[#This Row],[Comments]])=0,"",stdProdLT(Main[[#This Row],[Comments]])))</f>
        <v/>
      </c>
      <c r="H1431" s="180">
        <f>IF(AND(Main[[#This Row],[In Stock Date]]&lt;&gt;"",Main[[#This Row],[Revised Due Date]]&lt;&gt;""),Main[[#This Row],[In Stock Date]]-Main[[#This Row],[Revised Due Date]],"")</f>
        <v>28</v>
      </c>
      <c r="I1431" s="154" t="s">
        <v>953</v>
      </c>
      <c r="J1431" s="154" t="s">
        <v>28</v>
      </c>
      <c r="K1431" s="154" t="s">
        <v>1941</v>
      </c>
      <c r="L1431" s="178">
        <v>40946</v>
      </c>
      <c r="M1431" s="181">
        <f>IF(Main[[#This Row],[Tech Start Date]]&lt;1/1/1990,"",IF(Main[[#This Row],[Class]]="C",WORKDAY(Main[[#This Row],[Tech Start Date]],9),IF(Main[[#This Row],[Class]]="B", WORKDAY(Main[[#This Row],[Tech Start Date]],6),IF(Main[[#This Row],[Class]]="A",WORKDAY(Main[[#This Row],[Tech Start Date]],2),""))))</f>
        <v>40948</v>
      </c>
      <c r="N1431" s="181">
        <f>IF(Main[[#This Row],[Tech Start Date]]&lt;1/1/1990,"",IF(Main[[#This Row],[Class]]="C",WORKDAY(Main[[#This Row],[Tech Start Date]],19),IF(Main[[#This Row],[Class]]="B", WORKDAY(Main[[#This Row],[Tech Start Date]],12),IF(Main[[#This Row],[Class]]="A",WORKDAY(Main[[#This Row],[Tech Start Date]],4),""))))</f>
        <v>40952</v>
      </c>
      <c r="O1431" s="181">
        <f>IF(Main[[#This Row],[Tech Start Date]]&lt;1/1/1990,"",IF(Main[[#This Row],[Class]]="C",WORKDAY(Main[[#This Row],[Tech Start Date]],23),IF(Main[[#This Row],[Class]]="B", WORKDAY(Main[[#This Row],[Tech Start Date]],15),IF(Main[[#This Row],[Class]]="A",WORKDAY(Main[[#This Row],[Tech Start Date]],5),""))))</f>
        <v>40953</v>
      </c>
      <c r="P1431" s="181">
        <f>IF(Main[[#This Row],[Tech Start Date]]&lt;1/1/1990,"",IF(Main[[#This Row],[Class]]="C",WORKDAY(Main[[#This Row],[Tech Start Date]],28),IF(Main[[#This Row],[Class]]="B", WORKDAY(Main[[#This Row],[Tech Start Date]],19),IF(Main[[#This Row],[Class]]="A",WORKDAY(Main[[#This Row],[Tech Start Date]],9),""))))</f>
        <v>40959</v>
      </c>
      <c r="Q1431" s="178">
        <v>40982</v>
      </c>
      <c r="R1431" s="178">
        <v>40954</v>
      </c>
      <c r="S1431" s="154" t="s">
        <v>11</v>
      </c>
      <c r="T1431" s="182" t="s">
        <v>4</v>
      </c>
      <c r="U1431" s="154" t="s">
        <v>29</v>
      </c>
      <c r="V1431" s="154" t="s">
        <v>1933</v>
      </c>
      <c r="W1431" s="154" t="s">
        <v>1937</v>
      </c>
      <c r="X1431" s="154" t="s">
        <v>2899</v>
      </c>
      <c r="Y1431" s="154" t="s">
        <v>4</v>
      </c>
      <c r="Z1431" s="154" t="s">
        <v>2075</v>
      </c>
      <c r="AA1431" s="154" t="s">
        <v>2899</v>
      </c>
    </row>
    <row r="1432" spans="1:27" ht="18.600000000000001" customHeight="1">
      <c r="A1432" s="176" t="str">
        <f>IF(priority(Main[[#This Row],[Comments]])&lt;&gt;0, priority(Main[[#This Row],[Comments]]),"")</f>
        <v/>
      </c>
      <c r="B1432" s="146" t="s">
        <v>3861</v>
      </c>
      <c r="C1432" s="154" t="s">
        <v>3862</v>
      </c>
      <c r="D1432" s="177" t="s">
        <v>3863</v>
      </c>
      <c r="E1432" s="178">
        <v>40945.715231481481</v>
      </c>
      <c r="F1432" s="178"/>
      <c r="G1432" s="179" t="str">
        <f>IF(stdProdLT(Main[[#This Row],[Comments]])=0.1,"N/A",IF(stdProdLT(Main[[#This Row],[Comments]])=0,"",stdProdLT(Main[[#This Row],[Comments]])))</f>
        <v>N/A</v>
      </c>
      <c r="H1432" s="180" t="str">
        <f>IF(AND(Main[[#This Row],[In Stock Date]]&lt;&gt;"",Main[[#This Row],[Revised Due Date]]&lt;&gt;""),Main[[#This Row],[In Stock Date]]-Main[[#This Row],[Revised Due Date]],"")</f>
        <v/>
      </c>
      <c r="I1432" s="154" t="s">
        <v>952</v>
      </c>
      <c r="J1432" s="154" t="s">
        <v>28</v>
      </c>
      <c r="K1432" s="154" t="s">
        <v>1939</v>
      </c>
      <c r="L1432" s="178">
        <v>40946</v>
      </c>
      <c r="M1432" s="181">
        <f>IF(Main[[#This Row],[Tech Start Date]]&lt;1/1/1990,"",IF(Main[[#This Row],[Class]]="C",WORKDAY(Main[[#This Row],[Tech Start Date]],9),IF(Main[[#This Row],[Class]]="B", WORKDAY(Main[[#This Row],[Tech Start Date]],6),IF(Main[[#This Row],[Class]]="A",WORKDAY(Main[[#This Row],[Tech Start Date]],2),""))))</f>
        <v>40954</v>
      </c>
      <c r="N1432" s="181">
        <f>IF(Main[[#This Row],[Tech Start Date]]&lt;1/1/1990,"",IF(Main[[#This Row],[Class]]="C",WORKDAY(Main[[#This Row],[Tech Start Date]],19),IF(Main[[#This Row],[Class]]="B", WORKDAY(Main[[#This Row],[Tech Start Date]],12),IF(Main[[#This Row],[Class]]="A",WORKDAY(Main[[#This Row],[Tech Start Date]],4),""))))</f>
        <v>40962</v>
      </c>
      <c r="O1432" s="181">
        <f>IF(Main[[#This Row],[Tech Start Date]]&lt;1/1/1990,"",IF(Main[[#This Row],[Class]]="C",WORKDAY(Main[[#This Row],[Tech Start Date]],23),IF(Main[[#This Row],[Class]]="B", WORKDAY(Main[[#This Row],[Tech Start Date]],15),IF(Main[[#This Row],[Class]]="A",WORKDAY(Main[[#This Row],[Tech Start Date]],5),""))))</f>
        <v>40967</v>
      </c>
      <c r="P1432" s="181">
        <f>IF(Main[[#This Row],[Tech Start Date]]&lt;1/1/1990,"",IF(Main[[#This Row],[Class]]="C",WORKDAY(Main[[#This Row],[Tech Start Date]],28),IF(Main[[#This Row],[Class]]="B", WORKDAY(Main[[#This Row],[Tech Start Date]],19),IF(Main[[#This Row],[Class]]="A",WORKDAY(Main[[#This Row],[Tech Start Date]],9),""))))</f>
        <v>40973</v>
      </c>
      <c r="Q1432" s="178">
        <v>40952</v>
      </c>
      <c r="R1432" s="178">
        <v>40967</v>
      </c>
      <c r="S1432" s="154" t="s">
        <v>11</v>
      </c>
      <c r="T1432" s="182" t="s">
        <v>3346</v>
      </c>
      <c r="U1432" s="154" t="s">
        <v>29</v>
      </c>
      <c r="V1432" s="154" t="s">
        <v>1933</v>
      </c>
      <c r="W1432" s="154" t="s">
        <v>1934</v>
      </c>
      <c r="X1432" s="154" t="s">
        <v>2899</v>
      </c>
      <c r="Y1432" s="154" t="s">
        <v>4</v>
      </c>
      <c r="Z1432" s="154" t="s">
        <v>2075</v>
      </c>
      <c r="AA1432" s="154" t="s">
        <v>2899</v>
      </c>
    </row>
    <row r="1433" spans="1:27" ht="18.600000000000001" customHeight="1">
      <c r="A1433" s="176" t="str">
        <f>IF(priority(Main[[#This Row],[Comments]])&lt;&gt;0, priority(Main[[#This Row],[Comments]]),"")</f>
        <v/>
      </c>
      <c r="B1433" s="146" t="s">
        <v>3544</v>
      </c>
      <c r="C1433" s="154" t="s">
        <v>2722</v>
      </c>
      <c r="D1433" s="177" t="s">
        <v>3545</v>
      </c>
      <c r="E1433" s="178">
        <v>40939.753379629627</v>
      </c>
      <c r="F1433" s="178">
        <v>41013</v>
      </c>
      <c r="G1433" s="179">
        <f>IF(stdProdLT(Main[[#This Row],[Comments]])=0.1,"N/A",IF(stdProdLT(Main[[#This Row],[Comments]])=0,"",stdProdLT(Main[[#This Row],[Comments]])))</f>
        <v>84</v>
      </c>
      <c r="H1433" s="180">
        <f>IF(AND(Main[[#This Row],[In Stock Date]]&lt;&gt;"",Main[[#This Row],[Revised Due Date]]&lt;&gt;""),Main[[#This Row],[In Stock Date]]-Main[[#This Row],[Revised Due Date]],"")</f>
        <v>60</v>
      </c>
      <c r="I1433" s="154" t="s">
        <v>2066</v>
      </c>
      <c r="J1433" s="154" t="s">
        <v>28</v>
      </c>
      <c r="K1433" s="154" t="s">
        <v>1941</v>
      </c>
      <c r="L1433" s="178">
        <v>40946</v>
      </c>
      <c r="M1433" s="181">
        <f>IF(Main[[#This Row],[Tech Start Date]]&lt;1/1/1990,"",IF(Main[[#This Row],[Class]]="C",WORKDAY(Main[[#This Row],[Tech Start Date]],9),IF(Main[[#This Row],[Class]]="B", WORKDAY(Main[[#This Row],[Tech Start Date]],6),IF(Main[[#This Row],[Class]]="A",WORKDAY(Main[[#This Row],[Tech Start Date]],2),""))))</f>
        <v>40948</v>
      </c>
      <c r="N1433" s="181">
        <f>IF(Main[[#This Row],[Tech Start Date]]&lt;1/1/1990,"",IF(Main[[#This Row],[Class]]="C",WORKDAY(Main[[#This Row],[Tech Start Date]],19),IF(Main[[#This Row],[Class]]="B", WORKDAY(Main[[#This Row],[Tech Start Date]],12),IF(Main[[#This Row],[Class]]="A",WORKDAY(Main[[#This Row],[Tech Start Date]],4),""))))</f>
        <v>40952</v>
      </c>
      <c r="O1433" s="181">
        <f>IF(Main[[#This Row],[Tech Start Date]]&lt;1/1/1990,"",IF(Main[[#This Row],[Class]]="C",WORKDAY(Main[[#This Row],[Tech Start Date]],23),IF(Main[[#This Row],[Class]]="B", WORKDAY(Main[[#This Row],[Tech Start Date]],15),IF(Main[[#This Row],[Class]]="A",WORKDAY(Main[[#This Row],[Tech Start Date]],5),""))))</f>
        <v>40953</v>
      </c>
      <c r="P1433" s="181">
        <f>IF(Main[[#This Row],[Tech Start Date]]&lt;1/1/1990,"",IF(Main[[#This Row],[Class]]="C",WORKDAY(Main[[#This Row],[Tech Start Date]],28),IF(Main[[#This Row],[Class]]="B", WORKDAY(Main[[#This Row],[Tech Start Date]],19),IF(Main[[#This Row],[Class]]="A",WORKDAY(Main[[#This Row],[Tech Start Date]],9),""))))</f>
        <v>40959</v>
      </c>
      <c r="Q1433" s="178">
        <v>40915</v>
      </c>
      <c r="R1433" s="178">
        <v>40953</v>
      </c>
      <c r="S1433" s="154" t="s">
        <v>11</v>
      </c>
      <c r="T1433" s="182" t="s">
        <v>3381</v>
      </c>
      <c r="U1433" s="154" t="s">
        <v>29</v>
      </c>
      <c r="V1433" s="154" t="s">
        <v>1942</v>
      </c>
      <c r="W1433" s="154" t="s">
        <v>1940</v>
      </c>
      <c r="X1433" s="154" t="s">
        <v>3546</v>
      </c>
      <c r="Y1433" s="154" t="s">
        <v>4</v>
      </c>
      <c r="Z1433" s="154" t="s">
        <v>535</v>
      </c>
      <c r="AA1433" s="154" t="s">
        <v>3546</v>
      </c>
    </row>
    <row r="1434" spans="1:27" ht="18.600000000000001" customHeight="1">
      <c r="A1434" s="176" t="str">
        <f>IF(priority(Main[[#This Row],[Comments]])&lt;&gt;0, priority(Main[[#This Row],[Comments]]),"")</f>
        <v/>
      </c>
      <c r="B1434" s="146" t="s">
        <v>3865</v>
      </c>
      <c r="C1434" s="154" t="s">
        <v>4</v>
      </c>
      <c r="D1434" s="177" t="s">
        <v>3866</v>
      </c>
      <c r="E1434" s="178">
        <v>40947.374143518522</v>
      </c>
      <c r="F1434" s="178"/>
      <c r="G1434" s="179" t="str">
        <f>IF(stdProdLT(Main[[#This Row],[Comments]])=0.1,"N/A",IF(stdProdLT(Main[[#This Row],[Comments]])=0,"",stdProdLT(Main[[#This Row],[Comments]])))</f>
        <v/>
      </c>
      <c r="H1434" s="180" t="str">
        <f>IF(AND(Main[[#This Row],[In Stock Date]]&lt;&gt;"",Main[[#This Row],[Revised Due Date]]&lt;&gt;""),Main[[#This Row],[In Stock Date]]-Main[[#This Row],[Revised Due Date]],"")</f>
        <v/>
      </c>
      <c r="I1434" s="154" t="s">
        <v>954</v>
      </c>
      <c r="J1434" s="154" t="s">
        <v>28</v>
      </c>
      <c r="K1434" s="154" t="s">
        <v>1939</v>
      </c>
      <c r="L1434" s="178">
        <v>40947</v>
      </c>
      <c r="M1434" s="181">
        <f>IF(Main[[#This Row],[Tech Start Date]]&lt;1/1/1990,"",IF(Main[[#This Row],[Class]]="C",WORKDAY(Main[[#This Row],[Tech Start Date]],9),IF(Main[[#This Row],[Class]]="B", WORKDAY(Main[[#This Row],[Tech Start Date]],6),IF(Main[[#This Row],[Class]]="A",WORKDAY(Main[[#This Row],[Tech Start Date]],2),""))))</f>
        <v>40955</v>
      </c>
      <c r="N1434" s="181">
        <f>IF(Main[[#This Row],[Tech Start Date]]&lt;1/1/1990,"",IF(Main[[#This Row],[Class]]="C",WORKDAY(Main[[#This Row],[Tech Start Date]],19),IF(Main[[#This Row],[Class]]="B", WORKDAY(Main[[#This Row],[Tech Start Date]],12),IF(Main[[#This Row],[Class]]="A",WORKDAY(Main[[#This Row],[Tech Start Date]],4),""))))</f>
        <v>40963</v>
      </c>
      <c r="O1434" s="181">
        <f>IF(Main[[#This Row],[Tech Start Date]]&lt;1/1/1990,"",IF(Main[[#This Row],[Class]]="C",WORKDAY(Main[[#This Row],[Tech Start Date]],23),IF(Main[[#This Row],[Class]]="B", WORKDAY(Main[[#This Row],[Tech Start Date]],15),IF(Main[[#This Row],[Class]]="A",WORKDAY(Main[[#This Row],[Tech Start Date]],5),""))))</f>
        <v>40968</v>
      </c>
      <c r="P1434" s="181">
        <f>IF(Main[[#This Row],[Tech Start Date]]&lt;1/1/1990,"",IF(Main[[#This Row],[Class]]="C",WORKDAY(Main[[#This Row],[Tech Start Date]],28),IF(Main[[#This Row],[Class]]="B", WORKDAY(Main[[#This Row],[Tech Start Date]],19),IF(Main[[#This Row],[Class]]="A",WORKDAY(Main[[#This Row],[Tech Start Date]],9),""))))</f>
        <v>40974</v>
      </c>
      <c r="Q1434" s="178"/>
      <c r="R1434" s="178">
        <v>40956</v>
      </c>
      <c r="S1434" s="154" t="s">
        <v>6</v>
      </c>
      <c r="T1434" s="182" t="s">
        <v>4</v>
      </c>
      <c r="U1434" s="154" t="s">
        <v>29</v>
      </c>
      <c r="V1434" s="154" t="s">
        <v>1933</v>
      </c>
      <c r="W1434" s="154" t="s">
        <v>1937</v>
      </c>
      <c r="X1434" s="154" t="s">
        <v>2075</v>
      </c>
      <c r="Y1434" s="154" t="s">
        <v>3242</v>
      </c>
      <c r="Z1434" s="154" t="s">
        <v>2075</v>
      </c>
      <c r="AA1434" s="154" t="s">
        <v>2075</v>
      </c>
    </row>
    <row r="1435" spans="1:27" ht="18.600000000000001" customHeight="1">
      <c r="A1435" s="176" t="str">
        <f>IF(priority(Main[[#This Row],[Comments]])&lt;&gt;0, priority(Main[[#This Row],[Comments]]),"")</f>
        <v/>
      </c>
      <c r="B1435" s="146" t="s">
        <v>3426</v>
      </c>
      <c r="C1435" s="154" t="s">
        <v>4</v>
      </c>
      <c r="D1435" s="177" t="s">
        <v>3868</v>
      </c>
      <c r="E1435" s="178">
        <v>40933.750428240739</v>
      </c>
      <c r="F1435" s="178">
        <v>40969</v>
      </c>
      <c r="G1435" s="179" t="str">
        <f>IF(stdProdLT(Main[[#This Row],[Comments]])=0.1,"N/A",IF(stdProdLT(Main[[#This Row],[Comments]])=0,"",stdProdLT(Main[[#This Row],[Comments]])))</f>
        <v>N/A</v>
      </c>
      <c r="H1435" s="180">
        <f>IF(AND(Main[[#This Row],[In Stock Date]]&lt;&gt;"",Main[[#This Row],[Revised Due Date]]&lt;&gt;""),Main[[#This Row],[In Stock Date]]-Main[[#This Row],[Revised Due Date]],"")</f>
        <v>-8</v>
      </c>
      <c r="I1435" s="154" t="s">
        <v>2066</v>
      </c>
      <c r="J1435" s="154" t="s">
        <v>28</v>
      </c>
      <c r="K1435" s="154" t="s">
        <v>1945</v>
      </c>
      <c r="L1435" s="178">
        <v>40948</v>
      </c>
      <c r="M1435" s="181">
        <f>IF(Main[[#This Row],[Tech Start Date]]&lt;1/1/1990,"",IF(Main[[#This Row],[Class]]="C",WORKDAY(Main[[#This Row],[Tech Start Date]],9),IF(Main[[#This Row],[Class]]="B", WORKDAY(Main[[#This Row],[Tech Start Date]],6),IF(Main[[#This Row],[Class]]="A",WORKDAY(Main[[#This Row],[Tech Start Date]],2),""))))</f>
        <v>40961</v>
      </c>
      <c r="N1435" s="181">
        <f>IF(Main[[#This Row],[Tech Start Date]]&lt;1/1/1990,"",IF(Main[[#This Row],[Class]]="C",WORKDAY(Main[[#This Row],[Tech Start Date]],19),IF(Main[[#This Row],[Class]]="B", WORKDAY(Main[[#This Row],[Tech Start Date]],12),IF(Main[[#This Row],[Class]]="A",WORKDAY(Main[[#This Row],[Tech Start Date]],4),""))))</f>
        <v>40975</v>
      </c>
      <c r="O1435" s="181">
        <f>IF(Main[[#This Row],[Tech Start Date]]&lt;1/1/1990,"",IF(Main[[#This Row],[Class]]="C",WORKDAY(Main[[#This Row],[Tech Start Date]],23),IF(Main[[#This Row],[Class]]="B", WORKDAY(Main[[#This Row],[Tech Start Date]],15),IF(Main[[#This Row],[Class]]="A",WORKDAY(Main[[#This Row],[Tech Start Date]],5),""))))</f>
        <v>40981</v>
      </c>
      <c r="P1435" s="181">
        <f>IF(Main[[#This Row],[Tech Start Date]]&lt;1/1/1990,"",IF(Main[[#This Row],[Class]]="C",WORKDAY(Main[[#This Row],[Tech Start Date]],28),IF(Main[[#This Row],[Class]]="B", WORKDAY(Main[[#This Row],[Tech Start Date]],19),IF(Main[[#This Row],[Class]]="A",WORKDAY(Main[[#This Row],[Tech Start Date]],9),""))))</f>
        <v>40988</v>
      </c>
      <c r="Q1435" s="178">
        <v>40969</v>
      </c>
      <c r="R1435" s="178">
        <v>40977</v>
      </c>
      <c r="S1435" s="154" t="s">
        <v>11</v>
      </c>
      <c r="T1435" s="182" t="s">
        <v>3346</v>
      </c>
      <c r="U1435" s="154" t="s">
        <v>29</v>
      </c>
      <c r="V1435" s="154" t="s">
        <v>1935</v>
      </c>
      <c r="W1435" s="154" t="s">
        <v>1937</v>
      </c>
      <c r="X1435" s="154" t="s">
        <v>559</v>
      </c>
      <c r="Y1435" s="154" t="s">
        <v>3039</v>
      </c>
      <c r="Z1435" s="154" t="s">
        <v>535</v>
      </c>
      <c r="AA1435" s="154" t="s">
        <v>559</v>
      </c>
    </row>
    <row r="1436" spans="1:27" ht="18.600000000000001" customHeight="1">
      <c r="A1436" s="176" t="str">
        <f>IF(priority(Main[[#This Row],[Comments]])&lt;&gt;0, priority(Main[[#This Row],[Comments]]),"")</f>
        <v/>
      </c>
      <c r="B1436" s="146" t="s">
        <v>3869</v>
      </c>
      <c r="C1436" s="154" t="s">
        <v>122</v>
      </c>
      <c r="D1436" s="177" t="s">
        <v>3870</v>
      </c>
      <c r="E1436" s="178">
        <v>40946.693032407406</v>
      </c>
      <c r="F1436" s="178"/>
      <c r="G1436" s="179" t="str">
        <f>IF(stdProdLT(Main[[#This Row],[Comments]])=0.1,"N/A",IF(stdProdLT(Main[[#This Row],[Comments]])=0,"",stdProdLT(Main[[#This Row],[Comments]])))</f>
        <v/>
      </c>
      <c r="H1436" s="180" t="str">
        <f>IF(AND(Main[[#This Row],[In Stock Date]]&lt;&gt;"",Main[[#This Row],[Revised Due Date]]&lt;&gt;""),Main[[#This Row],[In Stock Date]]-Main[[#This Row],[Revised Due Date]],"")</f>
        <v/>
      </c>
      <c r="I1436" s="154" t="s">
        <v>567</v>
      </c>
      <c r="J1436" s="154" t="s">
        <v>21</v>
      </c>
      <c r="K1436" s="154" t="s">
        <v>1941</v>
      </c>
      <c r="L1436" s="178">
        <v>40948</v>
      </c>
      <c r="M1436" s="181">
        <f>IF(Main[[#This Row],[Tech Start Date]]&lt;1/1/1990,"",IF(Main[[#This Row],[Class]]="C",WORKDAY(Main[[#This Row],[Tech Start Date]],9),IF(Main[[#This Row],[Class]]="B", WORKDAY(Main[[#This Row],[Tech Start Date]],6),IF(Main[[#This Row],[Class]]="A",WORKDAY(Main[[#This Row],[Tech Start Date]],2),""))))</f>
        <v>40952</v>
      </c>
      <c r="N1436" s="181">
        <f>IF(Main[[#This Row],[Tech Start Date]]&lt;1/1/1990,"",IF(Main[[#This Row],[Class]]="C",WORKDAY(Main[[#This Row],[Tech Start Date]],19),IF(Main[[#This Row],[Class]]="B", WORKDAY(Main[[#This Row],[Tech Start Date]],12),IF(Main[[#This Row],[Class]]="A",WORKDAY(Main[[#This Row],[Tech Start Date]],4),""))))</f>
        <v>40954</v>
      </c>
      <c r="O1436" s="181">
        <f>IF(Main[[#This Row],[Tech Start Date]]&lt;1/1/1990,"",IF(Main[[#This Row],[Class]]="C",WORKDAY(Main[[#This Row],[Tech Start Date]],23),IF(Main[[#This Row],[Class]]="B", WORKDAY(Main[[#This Row],[Tech Start Date]],15),IF(Main[[#This Row],[Class]]="A",WORKDAY(Main[[#This Row],[Tech Start Date]],5),""))))</f>
        <v>40955</v>
      </c>
      <c r="P1436" s="181">
        <f>IF(Main[[#This Row],[Tech Start Date]]&lt;1/1/1990,"",IF(Main[[#This Row],[Class]]="C",WORKDAY(Main[[#This Row],[Tech Start Date]],28),IF(Main[[#This Row],[Class]]="B", WORKDAY(Main[[#This Row],[Tech Start Date]],19),IF(Main[[#This Row],[Class]]="A",WORKDAY(Main[[#This Row],[Tech Start Date]],9),""))))</f>
        <v>40961</v>
      </c>
      <c r="Q1436" s="178"/>
      <c r="R1436" s="178">
        <v>40959</v>
      </c>
      <c r="S1436" s="154" t="s">
        <v>17</v>
      </c>
      <c r="T1436" s="182" t="s">
        <v>4</v>
      </c>
      <c r="U1436" s="154" t="s">
        <v>29</v>
      </c>
      <c r="V1436" s="154" t="s">
        <v>1932</v>
      </c>
      <c r="W1436" s="154" t="s">
        <v>1934</v>
      </c>
      <c r="X1436" s="154" t="s">
        <v>2923</v>
      </c>
      <c r="Y1436" s="154" t="s">
        <v>3057</v>
      </c>
      <c r="Z1436" s="154" t="s">
        <v>129</v>
      </c>
      <c r="AA1436" s="154" t="s">
        <v>2923</v>
      </c>
    </row>
    <row r="1437" spans="1:27" ht="18.600000000000001" customHeight="1">
      <c r="A1437" s="176" t="str">
        <f>IF(priority(Main[[#This Row],[Comments]])&lt;&gt;0, priority(Main[[#This Row],[Comments]]),"")</f>
        <v/>
      </c>
      <c r="B1437" s="146" t="s">
        <v>3871</v>
      </c>
      <c r="C1437" s="154" t="s">
        <v>3743</v>
      </c>
      <c r="D1437" s="177" t="s">
        <v>3872</v>
      </c>
      <c r="E1437" s="178">
        <v>40946.686157407406</v>
      </c>
      <c r="F1437" s="178"/>
      <c r="G1437" s="179" t="str">
        <f>IF(stdProdLT(Main[[#This Row],[Comments]])=0.1,"N/A",IF(stdProdLT(Main[[#This Row],[Comments]])=0,"",stdProdLT(Main[[#This Row],[Comments]])))</f>
        <v/>
      </c>
      <c r="H1437" s="180" t="str">
        <f>IF(AND(Main[[#This Row],[In Stock Date]]&lt;&gt;"",Main[[#This Row],[Revised Due Date]]&lt;&gt;""),Main[[#This Row],[In Stock Date]]-Main[[#This Row],[Revised Due Date]],"")</f>
        <v/>
      </c>
      <c r="I1437" s="154" t="s">
        <v>126</v>
      </c>
      <c r="J1437" s="154" t="s">
        <v>28</v>
      </c>
      <c r="K1437" s="154" t="s">
        <v>1939</v>
      </c>
      <c r="L1437" s="178">
        <v>40948</v>
      </c>
      <c r="M1437" s="181">
        <f>IF(Main[[#This Row],[Tech Start Date]]&lt;1/1/1990,"",IF(Main[[#This Row],[Class]]="C",WORKDAY(Main[[#This Row],[Tech Start Date]],9),IF(Main[[#This Row],[Class]]="B", WORKDAY(Main[[#This Row],[Tech Start Date]],6),IF(Main[[#This Row],[Class]]="A",WORKDAY(Main[[#This Row],[Tech Start Date]],2),""))))</f>
        <v>40956</v>
      </c>
      <c r="N1437" s="181">
        <f>IF(Main[[#This Row],[Tech Start Date]]&lt;1/1/1990,"",IF(Main[[#This Row],[Class]]="C",WORKDAY(Main[[#This Row],[Tech Start Date]],19),IF(Main[[#This Row],[Class]]="B", WORKDAY(Main[[#This Row],[Tech Start Date]],12),IF(Main[[#This Row],[Class]]="A",WORKDAY(Main[[#This Row],[Tech Start Date]],4),""))))</f>
        <v>40966</v>
      </c>
      <c r="O1437" s="181">
        <f>IF(Main[[#This Row],[Tech Start Date]]&lt;1/1/1990,"",IF(Main[[#This Row],[Class]]="C",WORKDAY(Main[[#This Row],[Tech Start Date]],23),IF(Main[[#This Row],[Class]]="B", WORKDAY(Main[[#This Row],[Tech Start Date]],15),IF(Main[[#This Row],[Class]]="A",WORKDAY(Main[[#This Row],[Tech Start Date]],5),""))))</f>
        <v>40969</v>
      </c>
      <c r="P1437" s="181">
        <f>IF(Main[[#This Row],[Tech Start Date]]&lt;1/1/1990,"",IF(Main[[#This Row],[Class]]="C",WORKDAY(Main[[#This Row],[Tech Start Date]],28),IF(Main[[#This Row],[Class]]="B", WORKDAY(Main[[#This Row],[Tech Start Date]],19),IF(Main[[#This Row],[Class]]="A",WORKDAY(Main[[#This Row],[Tech Start Date]],9),""))))</f>
        <v>40975</v>
      </c>
      <c r="Q1437" s="178"/>
      <c r="R1437" s="178">
        <v>40969</v>
      </c>
      <c r="S1437" s="154" t="s">
        <v>11</v>
      </c>
      <c r="T1437" s="182" t="s">
        <v>4</v>
      </c>
      <c r="U1437" s="154" t="s">
        <v>29</v>
      </c>
      <c r="V1437" s="154" t="s">
        <v>1932</v>
      </c>
      <c r="W1437" s="154" t="s">
        <v>1943</v>
      </c>
      <c r="X1437" s="154" t="s">
        <v>2923</v>
      </c>
      <c r="Y1437" s="154" t="s">
        <v>3057</v>
      </c>
      <c r="Z1437" s="154" t="s">
        <v>129</v>
      </c>
      <c r="AA1437" s="154" t="s">
        <v>2923</v>
      </c>
    </row>
  </sheetData>
  <sheetProtection formatCells="0" formatColumns="0" formatRows="0" insertColumns="0" insertRows="0" insertHyperlinks="0" deleteColumns="0" deleteRows="0" selectLockedCells="1" sort="0" autoFilter="0" pivotTables="0"/>
  <dataConsolidate/>
  <mergeCells count="4">
    <mergeCell ref="AB5:AI5"/>
    <mergeCell ref="A1:B1"/>
    <mergeCell ref="C2:C4"/>
    <mergeCell ref="A2:B4"/>
  </mergeCells>
  <conditionalFormatting sqref="B6:B1437">
    <cfRule type="expression" dxfId="74" priority="19">
      <formula>atat($T6)=1</formula>
    </cfRule>
  </conditionalFormatting>
  <conditionalFormatting sqref="M6:P1437">
    <cfRule type="colorScale" priority="13">
      <colorScale>
        <cfvo type="num" val="TODAY()"/>
        <cfvo type="num" val="TODAY()+2"/>
        <cfvo type="num" val="TODAY()+4"/>
        <color rgb="FFD36767"/>
        <color rgb="FFFFFFD1"/>
        <color rgb="FFC0E391"/>
      </colorScale>
    </cfRule>
  </conditionalFormatting>
  <conditionalFormatting sqref="C6:R1048576">
    <cfRule type="expression" dxfId="73" priority="1451">
      <formula>OR($J6="Document Control", $J6="Quality")</formula>
    </cfRule>
  </conditionalFormatting>
  <conditionalFormatting sqref="C6:U1048576">
    <cfRule type="expression" dxfId="72" priority="1636">
      <formula>OR($U6="Design Hold", $U6="Define Requirements")</formula>
    </cfRule>
  </conditionalFormatting>
  <conditionalFormatting sqref="H6:H1437">
    <cfRule type="expression" priority="1" stopIfTrue="1">
      <formula>OR($G6="",$G6="N/A",$H6="")</formula>
    </cfRule>
    <cfRule type="cellIs" dxfId="71" priority="9" operator="greaterThan">
      <formula>$G6</formula>
    </cfRule>
  </conditionalFormatting>
  <conditionalFormatting sqref="H6:H1437">
    <cfRule type="cellIs" dxfId="70" priority="610" operator="between">
      <formula>$G6-7</formula>
      <formula>$G6</formula>
    </cfRule>
  </conditionalFormatting>
  <conditionalFormatting sqref="H5:H1355 H1357:H1375 H1377:H1392 H1395:H1402 H1404:H1406 H1408:H1412 H1414:H1437">
    <cfRule type="cellIs" dxfId="69" priority="2" operator="lessThan">
      <formula>$G6-7</formula>
    </cfRule>
  </conditionalFormatting>
  <conditionalFormatting sqref="H1393">
    <cfRule type="cellIs" dxfId="68" priority="1813" operator="lessThan">
      <formula>$G1437-7</formula>
    </cfRule>
  </conditionalFormatting>
  <conditionalFormatting sqref="H1403">
    <cfRule type="cellIs" dxfId="67" priority="1835" operator="lessThan">
      <formula>$G1437-7</formula>
    </cfRule>
  </conditionalFormatting>
  <conditionalFormatting sqref="H1407">
    <cfRule type="cellIs" dxfId="66" priority="1857" operator="lessThan">
      <formula>$G1437-7</formula>
    </cfRule>
  </conditionalFormatting>
  <conditionalFormatting sqref="H1413">
    <cfRule type="cellIs" dxfId="65" priority="1879" operator="lessThan">
      <formula>$G1437-7</formula>
    </cfRule>
  </conditionalFormatting>
  <printOptions horizontalCentered="1"/>
  <pageMargins left="0.05" right="0.05" top="0.5" bottom="0.2" header="0.15" footer="0.1"/>
  <pageSetup paperSize="119" scale="65" orientation="landscape" r:id="rId1"/>
  <headerFooter alignWithMargins="0">
    <oddHeader>&amp;L&amp;G
&amp;C&amp;G&amp;R&amp;D Flow Control Sustaining Priorities</oddHeader>
    <oddFooter>&amp;R&amp;P of &amp;N</oddFooter>
  </headerFooter>
  <drawing r:id="rId2"/>
  <legacyDrawing r:id="rId3"/>
  <legacyDrawingHF r:id="rId4"/>
  <controls>
    <mc:AlternateContent xmlns:mc="http://schemas.openxmlformats.org/markup-compatibility/2006">
      <mc:Choice Requires="x14">
        <control shapeId="9980" r:id="rId5" name="softSht">
          <controlPr defaultSize="0" print="0" autoLine="0" r:id="rId6">
            <anchor moveWithCells="1">
              <from>
                <xdr:col>3</xdr:col>
                <xdr:colOff>2476500</xdr:colOff>
                <xdr:row>2</xdr:row>
                <xdr:rowOff>533400</xdr:rowOff>
              </from>
              <to>
                <xdr:col>3</xdr:col>
                <xdr:colOff>2790825</xdr:colOff>
                <xdr:row>2</xdr:row>
                <xdr:rowOff>857250</xdr:rowOff>
              </to>
            </anchor>
          </controlPr>
        </control>
      </mc:Choice>
      <mc:Fallback>
        <control shapeId="9980" r:id="rId5" name="softSht"/>
      </mc:Fallback>
    </mc:AlternateContent>
    <mc:AlternateContent xmlns:mc="http://schemas.openxmlformats.org/markup-compatibility/2006">
      <mc:Choice Requires="x14">
        <control shapeId="9979" r:id="rId7" name="diSht">
          <controlPr defaultSize="0" print="0" autoLine="0" r:id="rId6">
            <anchor moveWithCells="1">
              <from>
                <xdr:col>3</xdr:col>
                <xdr:colOff>2476500</xdr:colOff>
                <xdr:row>2</xdr:row>
                <xdr:rowOff>142875</xdr:rowOff>
              </from>
              <to>
                <xdr:col>3</xdr:col>
                <xdr:colOff>2790825</xdr:colOff>
                <xdr:row>2</xdr:row>
                <xdr:rowOff>466725</xdr:rowOff>
              </to>
            </anchor>
          </controlPr>
        </control>
      </mc:Choice>
      <mc:Fallback>
        <control shapeId="9979" r:id="rId7" name="diSht"/>
      </mc:Fallback>
    </mc:AlternateContent>
    <mc:AlternateContent xmlns:mc="http://schemas.openxmlformats.org/markup-compatibility/2006">
      <mc:Choice Requires="x14">
        <control shapeId="9978" r:id="rId8" name="fcSht">
          <controlPr defaultSize="0" print="0" autoLine="0" r:id="rId6">
            <anchor moveWithCells="1">
              <from>
                <xdr:col>3</xdr:col>
                <xdr:colOff>2476500</xdr:colOff>
                <xdr:row>1</xdr:row>
                <xdr:rowOff>581025</xdr:rowOff>
              </from>
              <to>
                <xdr:col>3</xdr:col>
                <xdr:colOff>2790825</xdr:colOff>
                <xdr:row>2</xdr:row>
                <xdr:rowOff>85725</xdr:rowOff>
              </to>
            </anchor>
          </controlPr>
        </control>
      </mc:Choice>
      <mc:Fallback>
        <control shapeId="9978" r:id="rId8" name="fcSht"/>
      </mc:Fallback>
    </mc:AlternateContent>
    <mc:AlternateContent xmlns:mc="http://schemas.openxmlformats.org/markup-compatibility/2006">
      <mc:Choice Requires="x14">
        <control shapeId="9976" r:id="rId9" name="pmSht">
          <controlPr defaultSize="0" print="0" autoLine="0" r:id="rId6">
            <anchor moveWithCells="1">
              <from>
                <xdr:col>3</xdr:col>
                <xdr:colOff>2476500</xdr:colOff>
                <xdr:row>1</xdr:row>
                <xdr:rowOff>200025</xdr:rowOff>
              </from>
              <to>
                <xdr:col>3</xdr:col>
                <xdr:colOff>2790825</xdr:colOff>
                <xdr:row>1</xdr:row>
                <xdr:rowOff>523875</xdr:rowOff>
              </to>
            </anchor>
          </controlPr>
        </control>
      </mc:Choice>
      <mc:Fallback>
        <control shapeId="9976" r:id="rId9" name="pmSht"/>
      </mc:Fallback>
    </mc:AlternateContent>
    <mc:AlternateContent xmlns:mc="http://schemas.openxmlformats.org/markup-compatibility/2006">
      <mc:Choice Requires="x14">
        <control shapeId="9975" r:id="rId10" name="fullScreenMode">
          <controlPr defaultSize="0" print="0" autoLine="0" r:id="rId11">
            <anchor moveWithCells="1">
              <from>
                <xdr:col>2</xdr:col>
                <xdr:colOff>200025</xdr:colOff>
                <xdr:row>1</xdr:row>
                <xdr:rowOff>28575</xdr:rowOff>
              </from>
              <to>
                <xdr:col>2</xdr:col>
                <xdr:colOff>1590675</xdr:colOff>
                <xdr:row>1</xdr:row>
                <xdr:rowOff>285750</xdr:rowOff>
              </to>
            </anchor>
          </controlPr>
        </control>
      </mc:Choice>
      <mc:Fallback>
        <control shapeId="9975" r:id="rId10" name="fullScreenMode"/>
      </mc:Fallback>
    </mc:AlternateContent>
    <mc:AlternateContent xmlns:mc="http://schemas.openxmlformats.org/markup-compatibility/2006">
      <mc:Choice Requires="x14">
        <control shapeId="9974" r:id="rId12" name="posReturn">
          <controlPr defaultSize="0" print="0" autoLine="0" r:id="rId13">
            <anchor moveWithCells="1">
              <from>
                <xdr:col>0</xdr:col>
                <xdr:colOff>104775</xdr:colOff>
                <xdr:row>2</xdr:row>
                <xdr:rowOff>657225</xdr:rowOff>
              </from>
              <to>
                <xdr:col>1</xdr:col>
                <xdr:colOff>647700</xdr:colOff>
                <xdr:row>3</xdr:row>
                <xdr:rowOff>161925</xdr:rowOff>
              </to>
            </anchor>
          </controlPr>
        </control>
      </mc:Choice>
      <mc:Fallback>
        <control shapeId="9974" r:id="rId12" name="posReturn"/>
      </mc:Fallback>
    </mc:AlternateContent>
    <mc:AlternateContent xmlns:mc="http://schemas.openxmlformats.org/markup-compatibility/2006">
      <mc:Choice Requires="x14">
        <control shapeId="9973" r:id="rId14" name="refreshMain">
          <controlPr defaultSize="0" print="0" autoLine="0" r:id="rId15">
            <anchor moveWithCells="1">
              <from>
                <xdr:col>0</xdr:col>
                <xdr:colOff>114300</xdr:colOff>
                <xdr:row>2</xdr:row>
                <xdr:rowOff>266700</xdr:rowOff>
              </from>
              <to>
                <xdr:col>1</xdr:col>
                <xdr:colOff>590550</xdr:colOff>
                <xdr:row>2</xdr:row>
                <xdr:rowOff>619125</xdr:rowOff>
              </to>
            </anchor>
          </controlPr>
        </control>
      </mc:Choice>
      <mc:Fallback>
        <control shapeId="9973" r:id="rId14" name="refreshMain"/>
      </mc:Fallback>
    </mc:AlternateContent>
    <mc:AlternateContent xmlns:mc="http://schemas.openxmlformats.org/markup-compatibility/2006">
      <mc:Choice Requires="x14">
        <control shapeId="9972" r:id="rId16" name="ClearSort">
          <controlPr defaultSize="0" print="0" autoLine="0" r:id="rId17">
            <anchor moveWithCells="1">
              <from>
                <xdr:col>0</xdr:col>
                <xdr:colOff>209550</xdr:colOff>
                <xdr:row>1</xdr:row>
                <xdr:rowOff>95250</xdr:rowOff>
              </from>
              <to>
                <xdr:col>1</xdr:col>
                <xdr:colOff>495300</xdr:colOff>
                <xdr:row>1</xdr:row>
                <xdr:rowOff>438150</xdr:rowOff>
              </to>
            </anchor>
          </controlPr>
        </control>
      </mc:Choice>
      <mc:Fallback>
        <control shapeId="9972" r:id="rId16" name="ClearSort"/>
      </mc:Fallback>
    </mc:AlternateContent>
    <mc:AlternateContent xmlns:mc="http://schemas.openxmlformats.org/markup-compatibility/2006">
      <mc:Choice Requires="x14">
        <control shapeId="9971" r:id="rId18" name="gotoDept">
          <controlPr defaultSize="0" print="0" autoLine="0" r:id="rId19">
            <anchor moveWithCells="1">
              <from>
                <xdr:col>0</xdr:col>
                <xdr:colOff>161925</xdr:colOff>
                <xdr:row>1</xdr:row>
                <xdr:rowOff>514350</xdr:rowOff>
              </from>
              <to>
                <xdr:col>1</xdr:col>
                <xdr:colOff>581025</xdr:colOff>
                <xdr:row>2</xdr:row>
                <xdr:rowOff>200025</xdr:rowOff>
              </to>
            </anchor>
          </controlPr>
        </control>
      </mc:Choice>
      <mc:Fallback>
        <control shapeId="9971" r:id="rId18" name="gotoDept"/>
      </mc:Fallback>
    </mc:AlternateContent>
    <mc:AlternateContent xmlns:mc="http://schemas.openxmlformats.org/markup-compatibility/2006">
      <mc:Choice Requires="x14">
        <control shapeId="9970" r:id="rId20" name="prioritizer">
          <controlPr defaultSize="0" print="0" autoFill="0" autoLine="0" r:id="rId21">
            <anchor moveWithCells="1">
              <from>
                <xdr:col>2</xdr:col>
                <xdr:colOff>76200</xdr:colOff>
                <xdr:row>2</xdr:row>
                <xdr:rowOff>381000</xdr:rowOff>
              </from>
              <to>
                <xdr:col>2</xdr:col>
                <xdr:colOff>1714500</xdr:colOff>
                <xdr:row>2</xdr:row>
                <xdr:rowOff>781050</xdr:rowOff>
              </to>
            </anchor>
          </controlPr>
        </control>
      </mc:Choice>
      <mc:Fallback>
        <control shapeId="9970" r:id="rId20" name="prioritizer"/>
      </mc:Fallback>
    </mc:AlternateContent>
    <mc:AlternateContent xmlns:mc="http://schemas.openxmlformats.org/markup-compatibility/2006">
      <mc:Choice Requires="x14">
        <control shapeId="9969" r:id="rId22" name="printReport">
          <controlPr defaultSize="0" print="0" autoFill="0" autoLine="0" r:id="rId23">
            <anchor moveWithCells="1">
              <from>
                <xdr:col>2</xdr:col>
                <xdr:colOff>76200</xdr:colOff>
                <xdr:row>1</xdr:row>
                <xdr:rowOff>771525</xdr:rowOff>
              </from>
              <to>
                <xdr:col>2</xdr:col>
                <xdr:colOff>1714500</xdr:colOff>
                <xdr:row>2</xdr:row>
                <xdr:rowOff>352425</xdr:rowOff>
              </to>
            </anchor>
          </controlPr>
        </control>
      </mc:Choice>
      <mc:Fallback>
        <control shapeId="9969" r:id="rId22" name="printReport"/>
      </mc:Fallback>
    </mc:AlternateContent>
    <mc:AlternateContent xmlns:mc="http://schemas.openxmlformats.org/markup-compatibility/2006">
      <mc:Choice Requires="x14">
        <control shapeId="9968" r:id="rId24" name="tools">
          <controlPr defaultSize="0" print="0" autoFill="0" autoLine="0" r:id="rId25">
            <anchor moveWithCells="1">
              <from>
                <xdr:col>2</xdr:col>
                <xdr:colOff>76200</xdr:colOff>
                <xdr:row>1</xdr:row>
                <xdr:rowOff>342900</xdr:rowOff>
              </from>
              <to>
                <xdr:col>2</xdr:col>
                <xdr:colOff>1714500</xdr:colOff>
                <xdr:row>1</xdr:row>
                <xdr:rowOff>742950</xdr:rowOff>
              </to>
            </anchor>
          </controlPr>
        </control>
      </mc:Choice>
      <mc:Fallback>
        <control shapeId="9968" r:id="rId24" name="tools"/>
      </mc:Fallback>
    </mc:AlternateContent>
    <mc:AlternateContent xmlns:mc="http://schemas.openxmlformats.org/markup-compatibility/2006">
      <mc:Choice Requires="x14">
        <control shapeId="9967" r:id="rId26" name="searchButton">
          <controlPr defaultSize="0" print="0" autoLine="0" r:id="rId27">
            <anchor moveWithCells="1">
              <from>
                <xdr:col>2</xdr:col>
                <xdr:colOff>1143000</xdr:colOff>
                <xdr:row>2</xdr:row>
                <xdr:rowOff>819150</xdr:rowOff>
              </from>
              <to>
                <xdr:col>2</xdr:col>
                <xdr:colOff>1524000</xdr:colOff>
                <xdr:row>3</xdr:row>
                <xdr:rowOff>219075</xdr:rowOff>
              </to>
            </anchor>
          </controlPr>
        </control>
      </mc:Choice>
      <mc:Fallback>
        <control shapeId="9967" r:id="rId26" name="searchButton"/>
      </mc:Fallback>
    </mc:AlternateContent>
    <mc:AlternateContent xmlns:mc="http://schemas.openxmlformats.org/markup-compatibility/2006">
      <mc:Choice Requires="x14">
        <control shapeId="9961" r:id="rId28" name="rtasearch">
          <controlPr defaultSize="0" print="0" autoLine="0" listFillRange="B6:B2248" r:id="rId29">
            <anchor moveWithCells="1">
              <from>
                <xdr:col>2</xdr:col>
                <xdr:colOff>276225</xdr:colOff>
                <xdr:row>2</xdr:row>
                <xdr:rowOff>819150</xdr:rowOff>
              </from>
              <to>
                <xdr:col>2</xdr:col>
                <xdr:colOff>1114425</xdr:colOff>
                <xdr:row>3</xdr:row>
                <xdr:rowOff>209550</xdr:rowOff>
              </to>
            </anchor>
          </controlPr>
        </control>
      </mc:Choice>
      <mc:Fallback>
        <control shapeId="9961" r:id="rId28" name="rtasearch"/>
      </mc:Fallback>
    </mc:AlternateContent>
    <mc:AlternateContent xmlns:mc="http://schemas.openxmlformats.org/markup-compatibility/2006">
      <mc:Choice Requires="x14">
        <control shapeId="1045" r:id="rId30" name="PM">
          <controlPr defaultSize="0" print="0" autoFill="0" autoLine="0" r:id="rId31">
            <anchor moveWithCells="1">
              <from>
                <xdr:col>3</xdr:col>
                <xdr:colOff>209550</xdr:colOff>
                <xdr:row>1</xdr:row>
                <xdr:rowOff>200025</xdr:rowOff>
              </from>
              <to>
                <xdr:col>3</xdr:col>
                <xdr:colOff>2400300</xdr:colOff>
                <xdr:row>1</xdr:row>
                <xdr:rowOff>523875</xdr:rowOff>
              </to>
            </anchor>
          </controlPr>
        </control>
      </mc:Choice>
      <mc:Fallback>
        <control shapeId="1045" r:id="rId30" name="PM"/>
      </mc:Fallback>
    </mc:AlternateContent>
    <mc:AlternateContent xmlns:mc="http://schemas.openxmlformats.org/markup-compatibility/2006">
      <mc:Choice Requires="x14">
        <control shapeId="1046" r:id="rId32" name="fc">
          <controlPr defaultSize="0" print="0" autoFill="0" autoLine="0" r:id="rId33">
            <anchor moveWithCells="1">
              <from>
                <xdr:col>3</xdr:col>
                <xdr:colOff>209550</xdr:colOff>
                <xdr:row>1</xdr:row>
                <xdr:rowOff>581025</xdr:rowOff>
              </from>
              <to>
                <xdr:col>3</xdr:col>
                <xdr:colOff>2400300</xdr:colOff>
                <xdr:row>2</xdr:row>
                <xdr:rowOff>85725</xdr:rowOff>
              </to>
            </anchor>
          </controlPr>
        </control>
      </mc:Choice>
      <mc:Fallback>
        <control shapeId="1046" r:id="rId32" name="fc"/>
      </mc:Fallback>
    </mc:AlternateContent>
    <mc:AlternateContent xmlns:mc="http://schemas.openxmlformats.org/markup-compatibility/2006">
      <mc:Choice Requires="x14">
        <control shapeId="1047" r:id="rId34" name="di">
          <controlPr defaultSize="0" print="0" autoFill="0" autoLine="0" r:id="rId35">
            <anchor moveWithCells="1">
              <from>
                <xdr:col>3</xdr:col>
                <xdr:colOff>209550</xdr:colOff>
                <xdr:row>2</xdr:row>
                <xdr:rowOff>142875</xdr:rowOff>
              </from>
              <to>
                <xdr:col>3</xdr:col>
                <xdr:colOff>2400300</xdr:colOff>
                <xdr:row>2</xdr:row>
                <xdr:rowOff>466725</xdr:rowOff>
              </to>
            </anchor>
          </controlPr>
        </control>
      </mc:Choice>
      <mc:Fallback>
        <control shapeId="1047" r:id="rId34" name="di"/>
      </mc:Fallback>
    </mc:AlternateContent>
    <mc:AlternateContent xmlns:mc="http://schemas.openxmlformats.org/markup-compatibility/2006">
      <mc:Choice Requires="x14">
        <control shapeId="1048" r:id="rId36" name="soft">
          <controlPr defaultSize="0" print="0" autoFill="0" autoLine="0" r:id="rId37">
            <anchor moveWithCells="1">
              <from>
                <xdr:col>3</xdr:col>
                <xdr:colOff>209550</xdr:colOff>
                <xdr:row>2</xdr:row>
                <xdr:rowOff>533400</xdr:rowOff>
              </from>
              <to>
                <xdr:col>3</xdr:col>
                <xdr:colOff>2400300</xdr:colOff>
                <xdr:row>2</xdr:row>
                <xdr:rowOff>857250</xdr:rowOff>
              </to>
            </anchor>
          </controlPr>
        </control>
      </mc:Choice>
      <mc:Fallback>
        <control shapeId="1048" r:id="rId36" name="soft"/>
      </mc:Fallback>
    </mc:AlternateContent>
    <mc:AlternateContent xmlns:mc="http://schemas.openxmlformats.org/markup-compatibility/2006">
      <mc:Choice Requires="x14">
        <control shapeId="1055" r:id="rId38" name="sheetView">
          <controlPr defaultSize="0" print="0" autoLine="0" r:id="rId39">
            <anchor moveWithCells="1">
              <from>
                <xdr:col>3</xdr:col>
                <xdr:colOff>133350</xdr:colOff>
                <xdr:row>0</xdr:row>
                <xdr:rowOff>66675</xdr:rowOff>
              </from>
              <to>
                <xdr:col>3</xdr:col>
                <xdr:colOff>2819400</xdr:colOff>
                <xdr:row>1</xdr:row>
                <xdr:rowOff>190500</xdr:rowOff>
              </to>
            </anchor>
          </controlPr>
        </control>
      </mc:Choice>
      <mc:Fallback>
        <control shapeId="1055" r:id="rId38" name="sheetView"/>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iconSet" priority="1880" id="{A1FC3F13-76EB-4633-85C9-6092B91F0CE3}">
            <x14:iconSet iconSet="3Symbols2" custom="1">
              <x14:cfvo type="percent">
                <xm:f>0</xm:f>
              </x14:cfvo>
              <x14:cfvo type="num">
                <xm:f>TODAY()</xm:f>
              </x14:cfvo>
              <x14:cfvo type="num">
                <xm:f>TODAY()+2</xm:f>
              </x14:cfvo>
              <x14:cfIcon iconSet="3Signs" iconId="0"/>
              <x14:cfIcon iconSet="3Symbols2" iconId="1"/>
              <x14:cfIcon iconSet="NoIcons" iconId="0"/>
            </x14:iconSet>
          </x14:cfRule>
          <xm:sqref>R6:R1437</xm:sqref>
        </x14:conditionalFormatting>
        <x14:conditionalFormatting xmlns:xm="http://schemas.microsoft.com/office/excel/2006/main">
          <x14:cfRule type="iconSet" priority="1882" id="{2117E296-A918-4CFC-A156-CEDDE2B84118}">
            <x14:iconSet iconSet="3Symbols" custom="1">
              <x14:cfvo type="percent">
                <xm:f>0</xm:f>
              </x14:cfvo>
              <x14:cfvo type="num" gte="0">
                <xm:f>TODAY()</xm:f>
              </x14:cfvo>
              <x14:cfvo type="num" gte="0">
                <xm:f>TODAY()+4</xm:f>
              </x14:cfvo>
              <x14:cfIcon iconSet="3Signs" iconId="0"/>
              <x14:cfIcon iconSet="3Symbols2" iconId="1"/>
              <x14:cfIcon iconSet="3Symbols2" iconId="2"/>
            </x14:iconSet>
          </x14:cfRule>
          <xm:sqref>Q6:Q1437</xm:sqref>
        </x14:conditionalFormatting>
        <x14:conditionalFormatting xmlns:xm="http://schemas.microsoft.com/office/excel/2006/main">
          <x14:cfRule type="colorScale" priority="1884" id="{4B0BC6B7-F52E-48C0-A0DE-8DA28A8CD3F2}">
            <x14:colorScale>
              <x14:cfvo type="formula">
                <xm:f>Settings!#REF!</xm:f>
              </x14:cfvo>
              <x14:cfvo type="percent">
                <xm:f>65</xm:f>
              </x14:cfvo>
              <x14:cfvo type="formula">
                <xm:f>Settings!#REF!</xm:f>
              </x14:cfvo>
              <x14:color rgb="FFD7796F"/>
              <x14:color rgb="FFFFEB84"/>
              <x14:color rgb="FFC0E391"/>
            </x14:colorScale>
          </x14:cfRule>
          <xm:sqref>G6:G1437</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39997558519241921"/>
  </sheetPr>
  <dimension ref="A1:Y92"/>
  <sheetViews>
    <sheetView showGridLines="0" showRowColHeaders="0" topLeftCell="G1" zoomScale="70" zoomScaleNormal="70" workbookViewId="0">
      <selection activeCell="O3" sqref="O3:P7"/>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7" width="20.375" style="4" customWidth="1"/>
    <col min="18" max="18" width="27.75" style="4" customWidth="1"/>
    <col min="19" max="26" width="15.5" style="4" customWidth="1"/>
    <col min="27" max="16384" width="15.5" style="4"/>
  </cols>
  <sheetData>
    <row r="1" spans="2:18" ht="15" customHeight="1" thickBot="1"/>
    <row r="2" spans="2:18" ht="54" customHeight="1" thickTop="1" thickBot="1">
      <c r="B2" s="208" t="s">
        <v>1010</v>
      </c>
      <c r="C2" s="209"/>
      <c r="D2" s="209"/>
      <c r="E2" s="209"/>
      <c r="F2" s="209"/>
      <c r="G2" s="209"/>
      <c r="H2" s="209"/>
      <c r="I2" s="209"/>
      <c r="J2" s="209"/>
      <c r="K2" s="209"/>
      <c r="L2" s="209"/>
      <c r="M2" s="210"/>
      <c r="O2" s="196" t="s">
        <v>1950</v>
      </c>
      <c r="P2" s="197"/>
      <c r="Q2" s="196" t="s">
        <v>1963</v>
      </c>
      <c r="R2" s="197"/>
    </row>
    <row r="3" spans="2:18" s="7" customFormat="1" ht="19.5" customHeight="1" thickTop="1">
      <c r="B3" s="211" t="s">
        <v>994</v>
      </c>
      <c r="C3" s="23" t="s">
        <v>998</v>
      </c>
      <c r="D3" s="17" t="s">
        <v>11</v>
      </c>
      <c r="E3" s="18"/>
      <c r="F3" s="18"/>
      <c r="G3" s="18"/>
      <c r="H3" s="18"/>
      <c r="I3" s="18"/>
      <c r="J3" s="18"/>
      <c r="K3" s="18"/>
      <c r="L3" s="18"/>
      <c r="M3" s="19"/>
      <c r="N3" s="9"/>
      <c r="O3" s="198" t="s">
        <v>3873</v>
      </c>
      <c r="P3" s="198"/>
      <c r="Q3" s="198" t="s">
        <v>2705</v>
      </c>
      <c r="R3" s="198"/>
    </row>
    <row r="4" spans="2:18" s="7" customFormat="1" ht="19.5" customHeight="1">
      <c r="B4" s="212"/>
      <c r="C4" s="24" t="s">
        <v>1955</v>
      </c>
      <c r="D4" s="29" t="s">
        <v>1932</v>
      </c>
      <c r="E4" s="30"/>
      <c r="F4" s="30"/>
      <c r="G4" s="30"/>
      <c r="H4" s="30"/>
      <c r="I4" s="30"/>
      <c r="J4" s="30"/>
      <c r="K4" s="30"/>
      <c r="L4" s="30"/>
      <c r="M4" s="31"/>
      <c r="N4" s="9"/>
      <c r="O4" s="199"/>
      <c r="P4" s="199"/>
      <c r="Q4" s="199"/>
      <c r="R4" s="199"/>
    </row>
    <row r="5" spans="2:18" s="8" customFormat="1" ht="19.5" customHeight="1">
      <c r="B5" s="212"/>
      <c r="C5" s="24" t="s">
        <v>999</v>
      </c>
      <c r="D5" s="20">
        <v>1</v>
      </c>
      <c r="E5" s="21">
        <v>2</v>
      </c>
      <c r="F5" s="21">
        <v>3</v>
      </c>
      <c r="G5" s="21">
        <v>4</v>
      </c>
      <c r="H5" s="21">
        <v>5</v>
      </c>
      <c r="I5" s="21">
        <v>6</v>
      </c>
      <c r="J5" s="21">
        <v>7</v>
      </c>
      <c r="K5" s="21">
        <v>0</v>
      </c>
      <c r="L5" s="21">
        <v>0</v>
      </c>
      <c r="M5" s="22">
        <v>0</v>
      </c>
      <c r="N5" s="9"/>
      <c r="O5" s="199"/>
      <c r="P5" s="199"/>
      <c r="Q5" s="199"/>
      <c r="R5" s="199"/>
    </row>
    <row r="6" spans="2:18" ht="19.5" customHeight="1">
      <c r="B6" s="212"/>
      <c r="C6" s="24" t="s">
        <v>1000</v>
      </c>
      <c r="D6" s="20" t="s">
        <v>7</v>
      </c>
      <c r="E6" s="21" t="s">
        <v>29</v>
      </c>
      <c r="F6" s="21" t="s">
        <v>539</v>
      </c>
      <c r="G6" s="21" t="s">
        <v>703</v>
      </c>
      <c r="H6" s="21"/>
      <c r="I6" s="21"/>
      <c r="J6" s="21"/>
      <c r="K6" s="21"/>
      <c r="L6" s="21"/>
      <c r="M6" s="22"/>
      <c r="O6" s="199"/>
      <c r="P6" s="199"/>
      <c r="Q6" s="199"/>
      <c r="R6" s="199"/>
    </row>
    <row r="7" spans="2:18" ht="19.5" customHeight="1" thickBot="1">
      <c r="B7" s="212"/>
      <c r="C7" s="24" t="s">
        <v>3253</v>
      </c>
      <c r="D7" s="27" t="s">
        <v>7</v>
      </c>
      <c r="E7" s="27" t="s">
        <v>29</v>
      </c>
      <c r="F7" s="27" t="s">
        <v>539</v>
      </c>
      <c r="G7" s="27" t="s">
        <v>703</v>
      </c>
      <c r="H7" s="27"/>
      <c r="I7" s="27"/>
      <c r="J7" s="27"/>
      <c r="K7" s="27"/>
      <c r="L7" s="27"/>
      <c r="M7" s="27"/>
      <c r="O7" s="199"/>
      <c r="P7" s="199"/>
      <c r="Q7" s="199"/>
      <c r="R7" s="199"/>
    </row>
    <row r="8" spans="2:18" ht="19.5" customHeight="1" thickTop="1" thickBot="1">
      <c r="B8" s="213"/>
      <c r="C8" s="25" t="s">
        <v>3254</v>
      </c>
      <c r="D8" s="28" t="s">
        <v>3318</v>
      </c>
      <c r="E8" s="28"/>
      <c r="F8" s="28"/>
      <c r="G8" s="28"/>
      <c r="H8" s="28"/>
      <c r="I8" s="28"/>
      <c r="J8" s="28"/>
      <c r="K8" s="28"/>
      <c r="L8" s="28"/>
      <c r="M8" s="28"/>
      <c r="O8" s="200" t="s">
        <v>2181</v>
      </c>
      <c r="P8" s="200"/>
      <c r="Q8" s="200" t="s">
        <v>3274</v>
      </c>
      <c r="R8" s="200"/>
    </row>
    <row r="9" spans="2:18" ht="19.5" customHeight="1" thickTop="1" thickBot="1">
      <c r="B9" s="211" t="s">
        <v>995</v>
      </c>
      <c r="C9" s="23" t="s">
        <v>1001</v>
      </c>
      <c r="D9" s="17" t="s">
        <v>11</v>
      </c>
      <c r="E9" s="18"/>
      <c r="F9" s="18"/>
      <c r="G9" s="18"/>
      <c r="H9" s="18"/>
      <c r="I9" s="18"/>
      <c r="J9" s="18"/>
      <c r="K9" s="18"/>
      <c r="L9" s="18"/>
      <c r="M9" s="19"/>
      <c r="O9" s="201">
        <v>0</v>
      </c>
      <c r="P9" s="201"/>
      <c r="Q9" s="201" t="b">
        <v>1</v>
      </c>
      <c r="R9" s="201"/>
    </row>
    <row r="10" spans="2:18" s="7" customFormat="1" ht="19.5" customHeight="1" thickTop="1" thickBot="1">
      <c r="B10" s="212"/>
      <c r="C10" s="24" t="s">
        <v>1958</v>
      </c>
      <c r="D10" s="29" t="s">
        <v>1935</v>
      </c>
      <c r="E10" s="30" t="s">
        <v>1942</v>
      </c>
      <c r="F10" s="30"/>
      <c r="G10" s="30"/>
      <c r="H10" s="30"/>
      <c r="I10" s="30"/>
      <c r="J10" s="30"/>
      <c r="K10" s="30"/>
      <c r="L10" s="30"/>
      <c r="M10" s="31"/>
      <c r="N10" s="9"/>
      <c r="O10" s="200" t="s">
        <v>2293</v>
      </c>
      <c r="P10" s="200"/>
      <c r="Q10" s="200" t="s">
        <v>2294</v>
      </c>
      <c r="R10" s="200"/>
    </row>
    <row r="11" spans="2:18" ht="19.5" customHeight="1" thickTop="1" thickBot="1">
      <c r="B11" s="212"/>
      <c r="C11" s="24" t="s">
        <v>1002</v>
      </c>
      <c r="D11" s="20">
        <v>1</v>
      </c>
      <c r="E11" s="21">
        <v>2</v>
      </c>
      <c r="F11" s="21">
        <v>3</v>
      </c>
      <c r="G11" s="21">
        <v>4</v>
      </c>
      <c r="H11" s="21">
        <v>5</v>
      </c>
      <c r="I11" s="21">
        <v>6</v>
      </c>
      <c r="J11" s="21">
        <v>7</v>
      </c>
      <c r="K11" s="21">
        <v>0</v>
      </c>
      <c r="L11" s="21">
        <v>0</v>
      </c>
      <c r="M11" s="22">
        <v>0</v>
      </c>
      <c r="O11" s="201" t="s">
        <v>86</v>
      </c>
      <c r="P11" s="201"/>
      <c r="Q11" s="201" t="s">
        <v>1941</v>
      </c>
      <c r="R11" s="201"/>
    </row>
    <row r="12" spans="2:18" ht="19.5" customHeight="1" thickTop="1" thickBot="1">
      <c r="B12" s="212"/>
      <c r="C12" s="24" t="s">
        <v>1003</v>
      </c>
      <c r="D12" s="20" t="s">
        <v>7</v>
      </c>
      <c r="E12" s="21" t="s">
        <v>29</v>
      </c>
      <c r="F12" s="21" t="s">
        <v>539</v>
      </c>
      <c r="G12" s="21" t="s">
        <v>703</v>
      </c>
      <c r="H12" s="21"/>
      <c r="I12" s="21"/>
      <c r="J12" s="21"/>
      <c r="K12" s="21"/>
      <c r="L12" s="21"/>
      <c r="M12" s="22"/>
      <c r="O12" s="200" t="s">
        <v>3252</v>
      </c>
      <c r="P12" s="200"/>
      <c r="Q12" s="200"/>
      <c r="R12" s="200"/>
    </row>
    <row r="13" spans="2:18" ht="19.5" customHeight="1" thickTop="1" thickBot="1">
      <c r="B13" s="212"/>
      <c r="C13" s="24" t="s">
        <v>3255</v>
      </c>
      <c r="D13" s="27"/>
      <c r="E13" s="27"/>
      <c r="F13" s="27"/>
      <c r="G13" s="27"/>
      <c r="H13" s="27"/>
      <c r="I13" s="27"/>
      <c r="J13" s="27"/>
      <c r="K13" s="27"/>
      <c r="L13" s="27"/>
      <c r="M13" s="27"/>
      <c r="O13" s="201"/>
      <c r="P13" s="201"/>
      <c r="Q13" s="201"/>
      <c r="R13" s="201"/>
    </row>
    <row r="14" spans="2:18" ht="19.5" customHeight="1" thickTop="1" thickBot="1">
      <c r="B14" s="213"/>
      <c r="C14" s="25" t="s">
        <v>3256</v>
      </c>
      <c r="D14" s="28"/>
      <c r="E14" s="28"/>
      <c r="F14" s="28"/>
      <c r="G14" s="28"/>
      <c r="H14" s="28"/>
      <c r="I14" s="28"/>
      <c r="J14" s="28"/>
      <c r="K14" s="28"/>
      <c r="L14" s="28"/>
      <c r="M14" s="28"/>
      <c r="O14" s="7"/>
      <c r="P14" s="7"/>
      <c r="Q14" s="7"/>
      <c r="R14" s="7"/>
    </row>
    <row r="15" spans="2:18" ht="19.5" customHeight="1" thickTop="1">
      <c r="B15" s="211" t="s">
        <v>996</v>
      </c>
      <c r="C15" s="23" t="s">
        <v>1004</v>
      </c>
      <c r="D15" s="17" t="s">
        <v>11</v>
      </c>
      <c r="E15" s="18"/>
      <c r="F15" s="18"/>
      <c r="G15" s="18"/>
      <c r="H15" s="18"/>
      <c r="I15" s="18"/>
      <c r="J15" s="18"/>
      <c r="K15" s="18"/>
      <c r="L15" s="18"/>
      <c r="M15" s="19"/>
      <c r="O15" s="7"/>
      <c r="P15" s="7"/>
      <c r="Q15" s="7"/>
      <c r="R15" s="7"/>
    </row>
    <row r="16" spans="2:18" ht="19.5" customHeight="1">
      <c r="B16" s="212"/>
      <c r="C16" s="24" t="s">
        <v>1957</v>
      </c>
      <c r="D16" s="29" t="s">
        <v>1933</v>
      </c>
      <c r="E16" s="30"/>
      <c r="F16" s="30"/>
      <c r="G16" s="30"/>
      <c r="H16" s="30"/>
      <c r="I16" s="30"/>
      <c r="J16" s="30"/>
      <c r="K16" s="30"/>
      <c r="L16" s="30"/>
      <c r="M16" s="31"/>
      <c r="O16" s="7"/>
      <c r="P16" s="7"/>
      <c r="Q16" s="7"/>
      <c r="R16" s="7"/>
    </row>
    <row r="17" spans="1:24" ht="19.5" customHeight="1">
      <c r="B17" s="212"/>
      <c r="C17" s="24" t="s">
        <v>1005</v>
      </c>
      <c r="D17" s="20">
        <v>1</v>
      </c>
      <c r="E17" s="21">
        <v>2</v>
      </c>
      <c r="F17" s="21">
        <v>3</v>
      </c>
      <c r="G17" s="21">
        <v>4</v>
      </c>
      <c r="H17" s="21">
        <v>5</v>
      </c>
      <c r="I17" s="21">
        <v>6</v>
      </c>
      <c r="J17" s="21">
        <v>7</v>
      </c>
      <c r="K17" s="21">
        <v>0</v>
      </c>
      <c r="L17" s="21">
        <v>0</v>
      </c>
      <c r="M17" s="22">
        <v>0</v>
      </c>
      <c r="O17" s="7"/>
      <c r="P17" s="7"/>
      <c r="Q17" s="7"/>
      <c r="R17" s="7"/>
    </row>
    <row r="18" spans="1:24" ht="19.5" customHeight="1">
      <c r="B18" s="212"/>
      <c r="C18" s="24" t="s">
        <v>1006</v>
      </c>
      <c r="D18" s="20" t="s">
        <v>7</v>
      </c>
      <c r="E18" s="21" t="s">
        <v>29</v>
      </c>
      <c r="F18" s="21" t="s">
        <v>539</v>
      </c>
      <c r="G18" s="21" t="s">
        <v>703</v>
      </c>
      <c r="H18" s="21"/>
      <c r="I18" s="21"/>
      <c r="J18" s="21"/>
      <c r="K18" s="21"/>
      <c r="L18" s="21"/>
      <c r="M18" s="22"/>
    </row>
    <row r="19" spans="1:24" ht="19.5" customHeight="1">
      <c r="B19" s="212"/>
      <c r="C19" s="24" t="s">
        <v>3257</v>
      </c>
      <c r="D19" s="27" t="s">
        <v>7</v>
      </c>
      <c r="E19" s="27" t="s">
        <v>29</v>
      </c>
      <c r="F19" s="27" t="s">
        <v>539</v>
      </c>
      <c r="G19" s="27" t="s">
        <v>703</v>
      </c>
      <c r="H19" s="27"/>
      <c r="I19" s="27"/>
      <c r="J19" s="27"/>
      <c r="K19" s="27"/>
      <c r="L19" s="27"/>
      <c r="M19" s="27"/>
    </row>
    <row r="20" spans="1:24" ht="19.5" customHeight="1" thickBot="1">
      <c r="B20" s="213"/>
      <c r="C20" s="25" t="s">
        <v>3258</v>
      </c>
      <c r="D20" s="28"/>
      <c r="E20" s="28"/>
      <c r="F20" s="28"/>
      <c r="G20" s="28"/>
      <c r="H20" s="28"/>
      <c r="I20" s="28"/>
      <c r="J20" s="28"/>
      <c r="K20" s="28"/>
      <c r="L20" s="28"/>
      <c r="M20" s="28"/>
    </row>
    <row r="21" spans="1:24" ht="19.5" customHeight="1" thickTop="1">
      <c r="B21" s="211" t="s">
        <v>997</v>
      </c>
      <c r="C21" s="23" t="s">
        <v>1007</v>
      </c>
      <c r="D21" s="17" t="s">
        <v>11</v>
      </c>
      <c r="E21" s="18"/>
      <c r="F21" s="18"/>
      <c r="G21" s="18"/>
      <c r="H21" s="18"/>
      <c r="I21" s="18"/>
      <c r="J21" s="18"/>
      <c r="K21" s="18"/>
      <c r="L21" s="18"/>
      <c r="M21" s="19"/>
    </row>
    <row r="22" spans="1:24" ht="19.5" customHeight="1">
      <c r="B22" s="212"/>
      <c r="C22" s="24" t="s">
        <v>1956</v>
      </c>
      <c r="D22" s="29" t="s">
        <v>1947</v>
      </c>
      <c r="E22" s="30"/>
      <c r="F22" s="30"/>
      <c r="G22" s="30"/>
      <c r="H22" s="30"/>
      <c r="I22" s="30"/>
      <c r="J22" s="30"/>
      <c r="K22" s="30"/>
      <c r="L22" s="30"/>
      <c r="M22" s="31"/>
    </row>
    <row r="23" spans="1:24" ht="19.5" customHeight="1">
      <c r="B23" s="212"/>
      <c r="C23" s="24" t="s">
        <v>1008</v>
      </c>
      <c r="D23" s="20">
        <v>1</v>
      </c>
      <c r="E23" s="21">
        <v>2</v>
      </c>
      <c r="F23" s="21">
        <v>3</v>
      </c>
      <c r="G23" s="21">
        <v>4</v>
      </c>
      <c r="H23" s="21">
        <v>5</v>
      </c>
      <c r="I23" s="21">
        <v>6</v>
      </c>
      <c r="J23" s="21">
        <v>7</v>
      </c>
      <c r="K23" s="21">
        <v>0</v>
      </c>
      <c r="L23" s="21">
        <v>0</v>
      </c>
      <c r="M23" s="22">
        <v>0</v>
      </c>
    </row>
    <row r="24" spans="1:24" ht="19.5" customHeight="1">
      <c r="B24" s="212"/>
      <c r="C24" s="24" t="s">
        <v>1009</v>
      </c>
      <c r="D24" s="20" t="s">
        <v>7</v>
      </c>
      <c r="E24" s="21" t="s">
        <v>29</v>
      </c>
      <c r="F24" s="21" t="s">
        <v>539</v>
      </c>
      <c r="G24" s="21" t="s">
        <v>703</v>
      </c>
      <c r="H24" s="21"/>
      <c r="I24" s="21"/>
      <c r="J24" s="21"/>
      <c r="K24" s="21"/>
      <c r="L24" s="21"/>
      <c r="M24" s="22"/>
    </row>
    <row r="25" spans="1:24" ht="19.5" customHeight="1">
      <c r="B25" s="212"/>
      <c r="C25" s="24" t="s">
        <v>3259</v>
      </c>
      <c r="D25" s="27"/>
      <c r="E25" s="27"/>
      <c r="F25" s="27"/>
      <c r="G25" s="27"/>
      <c r="H25" s="27"/>
      <c r="I25" s="27"/>
      <c r="J25" s="27"/>
      <c r="K25" s="27"/>
      <c r="L25" s="27"/>
      <c r="M25" s="27"/>
    </row>
    <row r="26" spans="1:24" ht="19.5" customHeight="1" thickBot="1">
      <c r="B26" s="213"/>
      <c r="C26" s="25" t="s">
        <v>3260</v>
      </c>
      <c r="D26" s="28"/>
      <c r="E26" s="28"/>
      <c r="F26" s="28"/>
      <c r="G26" s="28"/>
      <c r="H26" s="28"/>
      <c r="I26" s="28"/>
      <c r="J26" s="28"/>
      <c r="K26" s="28"/>
      <c r="L26" s="28"/>
      <c r="M26" s="28"/>
    </row>
    <row r="27" spans="1:24" ht="35.25" customHeight="1" thickTop="1" thickBot="1">
      <c r="C27" s="202" t="s">
        <v>988</v>
      </c>
      <c r="D27" s="203"/>
      <c r="E27" s="203"/>
      <c r="F27" s="204"/>
      <c r="G27" s="202" t="s">
        <v>993</v>
      </c>
      <c r="H27" s="203"/>
      <c r="I27" s="203"/>
      <c r="J27" s="203"/>
      <c r="K27" s="205" t="s">
        <v>1948</v>
      </c>
      <c r="L27" s="206"/>
      <c r="M27" s="206"/>
      <c r="N27" s="206"/>
      <c r="O27" s="207"/>
    </row>
    <row r="28" spans="1:24" s="11" customFormat="1" ht="21" thickTop="1">
      <c r="A28" s="10"/>
      <c r="B28" s="10"/>
      <c r="C28" s="13" t="s">
        <v>994</v>
      </c>
      <c r="D28" s="13" t="s">
        <v>995</v>
      </c>
      <c r="E28" s="13" t="s">
        <v>996</v>
      </c>
      <c r="F28" s="13" t="s">
        <v>1011</v>
      </c>
      <c r="G28" s="16" t="s">
        <v>1013</v>
      </c>
      <c r="H28" s="14" t="s">
        <v>979</v>
      </c>
      <c r="I28" s="14" t="s">
        <v>3</v>
      </c>
      <c r="J28" s="15" t="s">
        <v>1019</v>
      </c>
      <c r="K28" s="26" t="s">
        <v>978</v>
      </c>
      <c r="L28" s="12" t="s">
        <v>976</v>
      </c>
      <c r="M28" s="12" t="s">
        <v>977</v>
      </c>
      <c r="N28" s="12" t="s">
        <v>989</v>
      </c>
      <c r="O28" s="12" t="s">
        <v>990</v>
      </c>
      <c r="X28" s="4"/>
    </row>
    <row r="29" spans="1:24" ht="17.25" customHeight="1">
      <c r="C29" s="2" t="s">
        <v>888</v>
      </c>
      <c r="D29" s="2" t="s">
        <v>1996</v>
      </c>
      <c r="E29" s="2" t="s">
        <v>968</v>
      </c>
      <c r="F29" s="12" t="s">
        <v>2237</v>
      </c>
      <c r="G29" t="s">
        <v>3392</v>
      </c>
      <c r="H29" s="2" t="s">
        <v>11</v>
      </c>
      <c r="I29" s="2" t="s">
        <v>14</v>
      </c>
      <c r="J29" s="12" t="s">
        <v>1940</v>
      </c>
      <c r="K29" s="12" t="s">
        <v>1941</v>
      </c>
      <c r="L29" s="12">
        <v>2</v>
      </c>
      <c r="M29" s="12">
        <v>4</v>
      </c>
      <c r="N29" s="12">
        <v>5</v>
      </c>
      <c r="O29" s="12">
        <v>9</v>
      </c>
      <c r="X29" s="11"/>
    </row>
    <row r="30" spans="1:24" ht="17.25" customHeight="1">
      <c r="C30" s="2" t="s">
        <v>50</v>
      </c>
      <c r="D30" s="2" t="s">
        <v>983</v>
      </c>
      <c r="E30" s="2" t="s">
        <v>50</v>
      </c>
      <c r="F30" s="12" t="s">
        <v>2034</v>
      </c>
      <c r="G30" t="s">
        <v>2651</v>
      </c>
      <c r="H30" s="2" t="s">
        <v>17</v>
      </c>
      <c r="I30" s="2" t="s">
        <v>991</v>
      </c>
      <c r="J30" s="12" t="s">
        <v>1938</v>
      </c>
      <c r="K30" s="12" t="s">
        <v>1939</v>
      </c>
      <c r="L30" s="12">
        <v>6</v>
      </c>
      <c r="M30" s="12">
        <v>12</v>
      </c>
      <c r="N30" s="12">
        <v>15</v>
      </c>
      <c r="O30" s="12">
        <v>19</v>
      </c>
    </row>
    <row r="31" spans="1:24" ht="17.25" customHeight="1">
      <c r="C31" s="2" t="s">
        <v>980</v>
      </c>
      <c r="D31" s="2" t="s">
        <v>2073</v>
      </c>
      <c r="E31" s="2" t="s">
        <v>2670</v>
      </c>
      <c r="F31" s="12" t="s">
        <v>2232</v>
      </c>
      <c r="G31" t="s">
        <v>2048</v>
      </c>
      <c r="H31" s="2" t="s">
        <v>416</v>
      </c>
      <c r="I31" s="3" t="s">
        <v>12</v>
      </c>
      <c r="J31" s="12" t="s">
        <v>1946</v>
      </c>
      <c r="K31" s="12" t="s">
        <v>1945</v>
      </c>
      <c r="L31" s="12">
        <v>9</v>
      </c>
      <c r="M31" s="12">
        <v>19</v>
      </c>
      <c r="N31" s="12">
        <v>23</v>
      </c>
      <c r="O31" s="12">
        <v>28</v>
      </c>
    </row>
    <row r="32" spans="1:24" ht="17.25" customHeight="1">
      <c r="C32" s="2" t="s">
        <v>310</v>
      </c>
      <c r="D32" s="2" t="s">
        <v>242</v>
      </c>
      <c r="E32" s="2" t="s">
        <v>310</v>
      </c>
      <c r="F32" s="12" t="s">
        <v>403</v>
      </c>
      <c r="G32" t="s">
        <v>75</v>
      </c>
      <c r="H32" s="2" t="s">
        <v>6</v>
      </c>
      <c r="I32" s="2" t="s">
        <v>703</v>
      </c>
      <c r="J32" s="12" t="s">
        <v>1934</v>
      </c>
      <c r="K32" s="12" t="s">
        <v>1944</v>
      </c>
      <c r="L32" s="12">
        <v>15</v>
      </c>
      <c r="M32" s="12">
        <v>19</v>
      </c>
      <c r="N32" s="12">
        <v>35</v>
      </c>
      <c r="O32" s="12">
        <v>60</v>
      </c>
    </row>
    <row r="33" spans="3:14" ht="17.25" customHeight="1">
      <c r="C33" s="2" t="s">
        <v>44</v>
      </c>
      <c r="D33" s="2" t="s">
        <v>2066</v>
      </c>
      <c r="E33" s="2" t="s">
        <v>403</v>
      </c>
      <c r="F33" s="12" t="s">
        <v>958</v>
      </c>
      <c r="G33" t="s">
        <v>1998</v>
      </c>
      <c r="H33" s="3" t="s">
        <v>300</v>
      </c>
      <c r="I33" s="2" t="s">
        <v>539</v>
      </c>
      <c r="J33" s="12" t="s">
        <v>1936</v>
      </c>
      <c r="K33" s="9"/>
      <c r="L33" s="4"/>
      <c r="M33" s="4"/>
      <c r="N33" s="4"/>
    </row>
    <row r="34" spans="3:14" ht="17.25" customHeight="1">
      <c r="C34" s="2" t="s">
        <v>403</v>
      </c>
      <c r="D34" s="2" t="s">
        <v>81</v>
      </c>
      <c r="E34" s="2" t="s">
        <v>422</v>
      </c>
      <c r="F34" s="39" t="s">
        <v>102</v>
      </c>
      <c r="G34" t="s">
        <v>70</v>
      </c>
      <c r="H34" s="2" t="s">
        <v>322</v>
      </c>
      <c r="I34" s="2" t="s">
        <v>103</v>
      </c>
      <c r="J34" s="12" t="s">
        <v>1937</v>
      </c>
      <c r="K34" s="9"/>
      <c r="L34" s="4"/>
      <c r="M34" s="4"/>
      <c r="N34" s="4"/>
    </row>
    <row r="35" spans="3:14" ht="17.25" customHeight="1">
      <c r="C35" s="2" t="s">
        <v>422</v>
      </c>
      <c r="D35" s="2" t="s">
        <v>50</v>
      </c>
      <c r="E35" s="2" t="s">
        <v>2278</v>
      </c>
      <c r="F35" s="39" t="s">
        <v>2234</v>
      </c>
      <c r="G35" t="s">
        <v>2238</v>
      </c>
      <c r="H35" s="2" t="s">
        <v>23</v>
      </c>
      <c r="I35" s="2" t="s">
        <v>7</v>
      </c>
      <c r="J35" s="12" t="s">
        <v>1943</v>
      </c>
      <c r="K35" s="9"/>
      <c r="L35" s="4"/>
      <c r="M35" s="4"/>
      <c r="N35" s="4"/>
    </row>
    <row r="36" spans="3:14" ht="17.25" customHeight="1">
      <c r="C36" s="2" t="s">
        <v>918</v>
      </c>
      <c r="D36" s="2" t="s">
        <v>755</v>
      </c>
      <c r="E36" s="2" t="s">
        <v>958</v>
      </c>
      <c r="F36" s="40" t="s">
        <v>933</v>
      </c>
      <c r="G36" t="s">
        <v>51</v>
      </c>
      <c r="H36" s="2" t="s">
        <v>49</v>
      </c>
      <c r="I36" s="2" t="s">
        <v>29</v>
      </c>
      <c r="K36" s="9"/>
      <c r="L36" s="4"/>
      <c r="M36" s="4"/>
      <c r="N36" s="4"/>
    </row>
    <row r="37" spans="3:14" ht="17.25" customHeight="1">
      <c r="C37" s="2" t="s">
        <v>567</v>
      </c>
      <c r="D37" s="2" t="s">
        <v>980</v>
      </c>
      <c r="E37" s="2" t="s">
        <v>954</v>
      </c>
      <c r="F37" s="40" t="s">
        <v>2035</v>
      </c>
      <c r="G37" t="s">
        <v>992</v>
      </c>
      <c r="K37" s="9"/>
      <c r="L37" s="4"/>
      <c r="M37" s="4"/>
      <c r="N37" s="4"/>
    </row>
    <row r="38" spans="3:14" ht="17.25" customHeight="1">
      <c r="C38" s="2" t="s">
        <v>102</v>
      </c>
      <c r="D38" s="2" t="s">
        <v>894</v>
      </c>
      <c r="E38" s="2" t="s">
        <v>102</v>
      </c>
      <c r="F38" s="40" t="s">
        <v>2040</v>
      </c>
      <c r="G38" t="s">
        <v>52</v>
      </c>
      <c r="H38" s="5"/>
      <c r="K38" s="9"/>
      <c r="L38" s="4"/>
      <c r="M38" s="4"/>
      <c r="N38" s="4"/>
    </row>
    <row r="39" spans="3:14" ht="17.25" customHeight="1">
      <c r="C39" s="2" t="s">
        <v>718</v>
      </c>
      <c r="D39" s="2" t="s">
        <v>310</v>
      </c>
      <c r="E39" s="2" t="s">
        <v>952</v>
      </c>
      <c r="F39" s="4"/>
      <c r="G39" t="s">
        <v>21</v>
      </c>
      <c r="K39" s="9"/>
      <c r="L39" s="4"/>
      <c r="M39" s="4"/>
      <c r="N39" s="4"/>
    </row>
    <row r="40" spans="3:14" ht="17.25" customHeight="1">
      <c r="C40" s="2" t="s">
        <v>2234</v>
      </c>
      <c r="D40" s="2" t="s">
        <v>44</v>
      </c>
      <c r="E40" s="2" t="s">
        <v>2234</v>
      </c>
      <c r="G40" t="s">
        <v>28</v>
      </c>
      <c r="K40" s="9"/>
      <c r="L40" s="4"/>
      <c r="M40" s="4"/>
      <c r="N40" s="4"/>
    </row>
    <row r="41" spans="3:14" ht="17.25" customHeight="1">
      <c r="C41" s="2" t="s">
        <v>900</v>
      </c>
      <c r="D41" s="2" t="s">
        <v>2047</v>
      </c>
      <c r="E41" s="2" t="s">
        <v>900</v>
      </c>
      <c r="K41" s="9"/>
      <c r="L41" s="4"/>
      <c r="M41" s="4"/>
      <c r="N41" s="4"/>
    </row>
    <row r="42" spans="3:14" ht="17.25" customHeight="1">
      <c r="C42" s="2" t="s">
        <v>2074</v>
      </c>
      <c r="D42" s="2" t="s">
        <v>403</v>
      </c>
      <c r="E42" s="2" t="s">
        <v>108</v>
      </c>
      <c r="K42" s="9"/>
      <c r="L42" s="4"/>
      <c r="M42" s="4"/>
      <c r="N42" s="4"/>
    </row>
    <row r="43" spans="3:14" ht="17.25" customHeight="1">
      <c r="C43" s="2" t="s">
        <v>126</v>
      </c>
      <c r="D43" s="2" t="s">
        <v>420</v>
      </c>
      <c r="E43" s="34" t="s">
        <v>987</v>
      </c>
      <c r="K43" s="9"/>
    </row>
    <row r="44" spans="3:14" ht="17.25" customHeight="1">
      <c r="C44" s="2" t="s">
        <v>129</v>
      </c>
      <c r="D44" s="2" t="s">
        <v>422</v>
      </c>
      <c r="E44" s="34" t="s">
        <v>953</v>
      </c>
      <c r="K44" s="9"/>
    </row>
    <row r="45" spans="3:14" ht="17.25" customHeight="1">
      <c r="C45" s="2" t="s">
        <v>933</v>
      </c>
      <c r="D45" s="2" t="s">
        <v>984</v>
      </c>
      <c r="E45" s="34" t="s">
        <v>2075</v>
      </c>
      <c r="J45" s="5"/>
      <c r="K45" s="9"/>
    </row>
    <row r="46" spans="3:14" ht="17.25" customHeight="1">
      <c r="C46" s="2" t="s">
        <v>905</v>
      </c>
      <c r="D46" s="2" t="s">
        <v>165</v>
      </c>
      <c r="E46" s="34" t="s">
        <v>981</v>
      </c>
      <c r="H46" s="1"/>
      <c r="I46" s="5"/>
      <c r="J46" s="5"/>
      <c r="K46" s="9"/>
    </row>
    <row r="47" spans="3:14" ht="17.25" customHeight="1">
      <c r="C47" s="2" t="s">
        <v>436</v>
      </c>
      <c r="D47" s="2" t="s">
        <v>131</v>
      </c>
      <c r="E47" s="4"/>
      <c r="H47" s="1"/>
    </row>
    <row r="48" spans="3:14" ht="17.25" customHeight="1">
      <c r="C48" s="2" t="s">
        <v>923</v>
      </c>
      <c r="D48" s="2" t="s">
        <v>102</v>
      </c>
      <c r="H48" s="1"/>
    </row>
    <row r="49" spans="3:25" ht="17.25" customHeight="1">
      <c r="C49" s="2" t="s">
        <v>2672</v>
      </c>
      <c r="D49" s="2" t="s">
        <v>65</v>
      </c>
      <c r="H49" s="1"/>
    </row>
    <row r="50" spans="3:25" ht="17.25" customHeight="1">
      <c r="C50" s="2" t="s">
        <v>949</v>
      </c>
      <c r="D50" s="2" t="s">
        <v>2234</v>
      </c>
      <c r="H50" s="1"/>
    </row>
    <row r="51" spans="3:25" ht="17.25" customHeight="1">
      <c r="C51" s="2" t="s">
        <v>981</v>
      </c>
      <c r="D51" s="2" t="s">
        <v>2074</v>
      </c>
      <c r="G51" s="5"/>
      <c r="H51" s="1"/>
      <c r="N51" s="1"/>
      <c r="O51" s="1"/>
    </row>
    <row r="52" spans="3:25" ht="17.25" customHeight="1">
      <c r="C52" s="2" t="s">
        <v>897</v>
      </c>
      <c r="D52" s="2" t="s">
        <v>659</v>
      </c>
      <c r="H52" s="1"/>
      <c r="L52" s="1"/>
      <c r="M52" s="1"/>
      <c r="N52" s="1"/>
      <c r="O52" s="1"/>
    </row>
    <row r="53" spans="3:25" ht="17.25" customHeight="1">
      <c r="C53" s="34" t="s">
        <v>982</v>
      </c>
      <c r="D53" s="2" t="s">
        <v>863</v>
      </c>
      <c r="H53" s="1"/>
      <c r="J53" s="1"/>
      <c r="L53" s="1"/>
      <c r="M53" s="1"/>
      <c r="N53" s="1"/>
      <c r="O53" s="1"/>
    </row>
    <row r="54" spans="3:25" ht="17.25" customHeight="1">
      <c r="C54" s="4"/>
      <c r="D54" s="2" t="s">
        <v>3770</v>
      </c>
      <c r="H54" s="1"/>
      <c r="I54" s="1"/>
      <c r="J54" s="1"/>
      <c r="L54" s="1"/>
      <c r="M54" s="1"/>
      <c r="N54" s="1"/>
      <c r="O54" s="1"/>
      <c r="P54" s="1"/>
      <c r="Q54" s="1"/>
      <c r="R54" s="1"/>
      <c r="S54" s="1"/>
      <c r="T54" s="1"/>
      <c r="U54" s="1"/>
      <c r="V54" s="1"/>
      <c r="W54" s="1"/>
      <c r="X54" s="1"/>
      <c r="Y54" s="1"/>
    </row>
    <row r="55" spans="3:25" ht="17.25" customHeight="1">
      <c r="D55" s="2" t="s">
        <v>30</v>
      </c>
      <c r="H55" s="1"/>
      <c r="I55" s="1"/>
      <c r="J55" s="1"/>
      <c r="K55" s="1"/>
      <c r="L55" s="1"/>
      <c r="M55" s="1"/>
      <c r="N55" s="1"/>
      <c r="O55" s="1"/>
      <c r="P55" s="1"/>
      <c r="Q55" s="1"/>
      <c r="R55" s="1"/>
      <c r="S55" s="1"/>
      <c r="T55" s="1"/>
      <c r="U55" s="1"/>
      <c r="V55" s="1"/>
      <c r="W55" s="1"/>
      <c r="X55" s="1"/>
      <c r="Y55" s="1"/>
    </row>
    <row r="56" spans="3:25" ht="17.25" customHeight="1">
      <c r="D56" s="2" t="s">
        <v>905</v>
      </c>
      <c r="H56" s="1"/>
      <c r="I56" s="1"/>
      <c r="J56" s="1"/>
      <c r="K56" s="1"/>
      <c r="L56" s="1"/>
      <c r="M56" s="1"/>
      <c r="N56" s="1"/>
      <c r="O56" s="1"/>
      <c r="P56" s="1"/>
      <c r="Q56" s="1"/>
      <c r="R56" s="1"/>
      <c r="S56" s="1"/>
      <c r="T56" s="1"/>
      <c r="U56" s="1"/>
      <c r="V56" s="1"/>
      <c r="W56" s="1"/>
      <c r="X56" s="1"/>
      <c r="Y56" s="1"/>
    </row>
    <row r="57" spans="3:25" ht="17.25" customHeight="1">
      <c r="D57" s="2" t="s">
        <v>535</v>
      </c>
      <c r="H57" s="1"/>
      <c r="I57" s="1"/>
      <c r="J57" s="1"/>
      <c r="K57" s="1"/>
      <c r="L57" s="1"/>
      <c r="M57" s="1"/>
      <c r="N57" s="1"/>
      <c r="O57" s="1"/>
      <c r="P57" s="1"/>
      <c r="Q57" s="1"/>
      <c r="R57" s="1"/>
      <c r="S57" s="1"/>
      <c r="T57" s="1"/>
      <c r="U57" s="1"/>
      <c r="V57" s="1"/>
      <c r="W57" s="1"/>
      <c r="X57" s="1"/>
      <c r="Y57" s="1"/>
    </row>
    <row r="58" spans="3:25" ht="17.25" customHeight="1">
      <c r="D58" s="2" t="s">
        <v>436</v>
      </c>
      <c r="H58" s="1"/>
      <c r="I58" s="1"/>
      <c r="J58" s="1"/>
      <c r="K58" s="1"/>
      <c r="L58" s="1"/>
      <c r="M58" s="1"/>
      <c r="N58" s="1"/>
      <c r="O58" s="1"/>
      <c r="P58" s="1"/>
      <c r="Q58" s="1"/>
      <c r="R58" s="1"/>
      <c r="S58" s="1"/>
      <c r="T58" s="1"/>
      <c r="U58" s="1"/>
      <c r="V58" s="1"/>
      <c r="W58" s="1"/>
      <c r="X58" s="1"/>
      <c r="Y58" s="1"/>
    </row>
    <row r="59" spans="3:25" ht="17.25" customHeight="1">
      <c r="D59" s="2" t="s">
        <v>74</v>
      </c>
      <c r="G59" s="1"/>
      <c r="H59" s="1"/>
      <c r="I59" s="1"/>
      <c r="J59" s="1"/>
      <c r="K59" s="1"/>
      <c r="L59" s="1"/>
      <c r="M59" s="1"/>
      <c r="N59" s="1"/>
      <c r="O59" s="1"/>
      <c r="P59" s="1"/>
      <c r="Q59" s="1"/>
      <c r="R59" s="1"/>
      <c r="S59" s="1"/>
      <c r="T59" s="1"/>
      <c r="U59" s="1"/>
      <c r="V59" s="1"/>
      <c r="W59" s="1"/>
      <c r="X59" s="1"/>
      <c r="Y59" s="1"/>
    </row>
    <row r="60" spans="3:25" ht="17.25" customHeight="1">
      <c r="D60" s="2" t="s">
        <v>909</v>
      </c>
      <c r="G60" s="1"/>
      <c r="H60" s="1"/>
      <c r="I60" s="1"/>
      <c r="J60" s="1"/>
      <c r="K60" s="1"/>
      <c r="L60" s="1"/>
      <c r="M60" s="1"/>
      <c r="N60" s="1"/>
      <c r="O60" s="1"/>
      <c r="P60" s="1"/>
      <c r="Q60" s="1"/>
      <c r="R60" s="1"/>
      <c r="S60" s="1"/>
      <c r="T60" s="1"/>
      <c r="U60" s="1"/>
      <c r="V60" s="1"/>
      <c r="W60" s="1"/>
      <c r="X60" s="1"/>
      <c r="Y60" s="1"/>
    </row>
    <row r="61" spans="3:25" ht="17.25" customHeight="1">
      <c r="D61" s="2" t="s">
        <v>2065</v>
      </c>
      <c r="G61" s="1"/>
      <c r="H61" s="1"/>
      <c r="I61" s="1"/>
      <c r="J61" s="1"/>
      <c r="K61" s="1"/>
      <c r="L61" s="1"/>
      <c r="M61" s="1"/>
      <c r="N61" s="1"/>
      <c r="O61" s="1"/>
      <c r="P61" s="1"/>
      <c r="Q61" s="1"/>
      <c r="R61" s="1"/>
      <c r="S61" s="1"/>
      <c r="T61" s="1"/>
      <c r="U61" s="1"/>
      <c r="V61" s="1"/>
      <c r="W61" s="1"/>
      <c r="X61" s="1"/>
      <c r="Y61" s="1"/>
    </row>
    <row r="62" spans="3:25" ht="17.25" customHeight="1">
      <c r="D62" s="2" t="s">
        <v>276</v>
      </c>
      <c r="G62" s="1"/>
      <c r="H62" s="1"/>
      <c r="I62" s="1"/>
      <c r="J62" s="1"/>
      <c r="K62" s="1"/>
      <c r="L62" s="1"/>
      <c r="M62" s="1"/>
      <c r="N62" s="1"/>
      <c r="O62" s="1"/>
      <c r="P62" s="1"/>
      <c r="Q62" s="1"/>
      <c r="R62" s="1"/>
      <c r="S62" s="1"/>
      <c r="T62" s="1"/>
      <c r="U62" s="1"/>
      <c r="V62" s="1"/>
      <c r="W62" s="1"/>
      <c r="X62" s="1"/>
      <c r="Y62" s="1"/>
    </row>
    <row r="63" spans="3:25" ht="17.25" customHeight="1">
      <c r="D63" s="2" t="s">
        <v>985</v>
      </c>
      <c r="F63" s="1"/>
      <c r="G63" s="1"/>
      <c r="H63" s="1"/>
      <c r="I63" s="1"/>
      <c r="J63" s="1"/>
      <c r="K63" s="1"/>
      <c r="L63" s="1"/>
      <c r="M63" s="1"/>
      <c r="N63" s="1"/>
      <c r="O63" s="1"/>
      <c r="P63" s="1"/>
      <c r="Q63" s="1"/>
      <c r="R63" s="1"/>
      <c r="S63" s="1"/>
      <c r="T63" s="1"/>
      <c r="U63" s="1"/>
      <c r="V63" s="1"/>
      <c r="W63" s="1"/>
      <c r="X63" s="1"/>
      <c r="Y63" s="1"/>
    </row>
    <row r="64" spans="3:25" ht="17.25" customHeight="1">
      <c r="D64" s="2" t="s">
        <v>559</v>
      </c>
      <c r="F64" s="1"/>
      <c r="G64" s="1"/>
      <c r="H64" s="1"/>
      <c r="I64" s="1"/>
      <c r="J64" s="1"/>
      <c r="K64" s="1"/>
      <c r="L64" s="1"/>
      <c r="M64" s="1"/>
      <c r="N64" s="1"/>
      <c r="O64" s="1"/>
      <c r="P64" s="1"/>
      <c r="Q64" s="1"/>
      <c r="R64" s="1"/>
      <c r="S64" s="1"/>
      <c r="T64" s="1"/>
      <c r="U64" s="1"/>
      <c r="V64" s="1"/>
      <c r="W64" s="1"/>
      <c r="X64" s="1"/>
      <c r="Y64" s="1"/>
    </row>
    <row r="65" spans="4:25" ht="17.25" customHeight="1">
      <c r="D65" s="2" t="s">
        <v>494</v>
      </c>
      <c r="F65" s="1"/>
      <c r="G65" s="1"/>
      <c r="H65" s="1"/>
      <c r="I65" s="1"/>
      <c r="J65" s="1"/>
      <c r="K65" s="1"/>
      <c r="L65" s="1"/>
      <c r="M65" s="1"/>
      <c r="N65" s="1"/>
      <c r="O65" s="1"/>
      <c r="P65" s="1"/>
      <c r="Q65" s="1"/>
      <c r="R65" s="1"/>
      <c r="S65" s="1"/>
      <c r="T65" s="1"/>
      <c r="U65" s="1"/>
      <c r="V65" s="1"/>
      <c r="W65" s="1"/>
      <c r="X65" s="1"/>
      <c r="Y65" s="1"/>
    </row>
    <row r="66" spans="4:25" ht="17.25" customHeight="1">
      <c r="D66" s="34" t="s">
        <v>775</v>
      </c>
      <c r="F66" s="1"/>
      <c r="G66" s="1"/>
      <c r="H66" s="1"/>
      <c r="I66" s="1"/>
      <c r="J66" s="1"/>
      <c r="K66" s="1"/>
      <c r="L66" s="1"/>
      <c r="M66" s="1"/>
      <c r="N66" s="1"/>
      <c r="O66" s="1"/>
      <c r="P66" s="1"/>
      <c r="Q66" s="1"/>
      <c r="R66" s="1"/>
      <c r="S66" s="1"/>
      <c r="T66" s="1"/>
      <c r="U66" s="1"/>
      <c r="V66" s="1"/>
      <c r="W66" s="1"/>
      <c r="X66" s="1"/>
      <c r="Y66" s="1"/>
    </row>
    <row r="67" spans="4:25" ht="17.25" customHeight="1">
      <c r="D67" s="34" t="s">
        <v>3815</v>
      </c>
      <c r="F67" s="1"/>
      <c r="G67" s="1"/>
      <c r="H67" s="1"/>
      <c r="I67" s="1"/>
      <c r="J67" s="1"/>
      <c r="K67" s="1"/>
      <c r="L67" s="1"/>
      <c r="M67" s="1"/>
      <c r="N67" s="1"/>
      <c r="O67" s="1"/>
      <c r="P67" s="1"/>
      <c r="Q67" s="1"/>
      <c r="R67" s="1"/>
      <c r="S67" s="1"/>
      <c r="T67" s="1"/>
      <c r="U67" s="1"/>
      <c r="V67" s="1"/>
      <c r="W67" s="1"/>
      <c r="X67" s="1"/>
      <c r="Y67" s="1"/>
    </row>
    <row r="68" spans="4:25" ht="17.25" customHeight="1">
      <c r="D68" s="34" t="s">
        <v>434</v>
      </c>
      <c r="F68" s="1"/>
      <c r="G68" s="1"/>
      <c r="H68" s="1"/>
      <c r="I68" s="1"/>
      <c r="J68" s="1"/>
      <c r="K68" s="1"/>
      <c r="L68" s="1"/>
      <c r="M68" s="1"/>
      <c r="N68" s="1"/>
      <c r="O68" s="1"/>
      <c r="P68" s="1"/>
      <c r="Q68" s="1"/>
      <c r="R68" s="1"/>
      <c r="S68" s="1"/>
      <c r="T68" s="1"/>
      <c r="U68" s="1"/>
      <c r="V68" s="1"/>
      <c r="W68" s="1"/>
      <c r="X68" s="1"/>
      <c r="Y68" s="1"/>
    </row>
    <row r="69" spans="4:25" ht="17.25" customHeight="1">
      <c r="D69" s="34" t="s">
        <v>986</v>
      </c>
      <c r="F69" s="1"/>
      <c r="G69" s="1"/>
      <c r="H69" s="1"/>
      <c r="I69" s="1"/>
      <c r="J69" s="1"/>
      <c r="K69" s="1"/>
      <c r="L69" s="1"/>
      <c r="M69" s="1"/>
      <c r="N69" s="1"/>
      <c r="O69" s="1"/>
      <c r="P69" s="1"/>
      <c r="Q69" s="1"/>
      <c r="R69" s="1"/>
      <c r="S69" s="1"/>
      <c r="T69" s="1"/>
      <c r="U69" s="1"/>
      <c r="V69" s="1"/>
      <c r="W69" s="1"/>
      <c r="X69" s="1"/>
      <c r="Y69" s="1"/>
    </row>
    <row r="70" spans="4:25" ht="17.25" customHeight="1">
      <c r="D70" s="34" t="s">
        <v>2448</v>
      </c>
      <c r="F70" s="1"/>
      <c r="G70" s="1"/>
      <c r="H70" s="1"/>
      <c r="I70" s="1"/>
      <c r="J70" s="1"/>
      <c r="K70" s="1"/>
      <c r="L70" s="1"/>
      <c r="M70" s="1"/>
      <c r="N70" s="1"/>
      <c r="O70" s="1"/>
      <c r="P70" s="1"/>
      <c r="Q70" s="1"/>
      <c r="R70" s="1"/>
      <c r="S70" s="1"/>
      <c r="T70" s="1"/>
      <c r="U70" s="1"/>
      <c r="V70" s="1"/>
      <c r="W70" s="1"/>
      <c r="X70" s="1"/>
      <c r="Y70" s="1"/>
    </row>
    <row r="71" spans="4:25" ht="17.25" customHeight="1">
      <c r="D71" s="34" t="s">
        <v>69</v>
      </c>
      <c r="F71" s="1"/>
      <c r="G71" s="1"/>
      <c r="H71" s="1"/>
      <c r="I71" s="1"/>
      <c r="J71" s="1"/>
      <c r="K71" s="1"/>
      <c r="L71" s="1"/>
      <c r="M71" s="1"/>
      <c r="N71" s="1"/>
      <c r="O71" s="1"/>
      <c r="P71" s="1"/>
      <c r="Q71" s="1"/>
      <c r="R71" s="1"/>
      <c r="S71" s="1"/>
      <c r="T71" s="1"/>
      <c r="U71" s="1"/>
      <c r="V71" s="1"/>
      <c r="W71" s="1"/>
      <c r="X71" s="1"/>
      <c r="Y71" s="1"/>
    </row>
    <row r="72" spans="4:25" ht="17.25" customHeight="1">
      <c r="D72" s="34" t="s">
        <v>982</v>
      </c>
      <c r="F72" s="1"/>
      <c r="G72" s="1"/>
      <c r="H72" s="1"/>
      <c r="I72" s="1"/>
      <c r="J72" s="1"/>
      <c r="K72" s="1"/>
      <c r="L72" s="1"/>
      <c r="M72" s="1"/>
      <c r="N72" s="1"/>
      <c r="O72" s="1"/>
      <c r="P72" s="1"/>
      <c r="Q72" s="1"/>
      <c r="R72" s="1"/>
      <c r="S72" s="1"/>
      <c r="T72" s="1"/>
      <c r="U72" s="1"/>
      <c r="V72" s="1"/>
      <c r="W72" s="1"/>
      <c r="X72" s="1"/>
      <c r="Y72" s="1"/>
    </row>
    <row r="73" spans="4:25" ht="17.25" customHeight="1">
      <c r="D73" s="34" t="s">
        <v>374</v>
      </c>
      <c r="F73" s="1"/>
      <c r="G73" s="1"/>
      <c r="H73" s="1"/>
      <c r="I73" s="1"/>
      <c r="J73" s="1"/>
      <c r="K73" s="1"/>
      <c r="L73" s="1"/>
      <c r="M73" s="1"/>
      <c r="N73" s="1"/>
      <c r="O73" s="1"/>
      <c r="P73" s="1"/>
      <c r="Q73" s="1"/>
      <c r="R73" s="1"/>
      <c r="S73" s="1"/>
      <c r="T73" s="1"/>
      <c r="U73" s="1"/>
      <c r="V73" s="1"/>
      <c r="W73" s="1"/>
      <c r="X73" s="1"/>
      <c r="Y73" s="1"/>
    </row>
    <row r="74" spans="4:25" ht="17.25" customHeight="1">
      <c r="D74" s="34" t="s">
        <v>173</v>
      </c>
      <c r="F74" s="1"/>
      <c r="G74" s="1"/>
      <c r="H74" s="1"/>
      <c r="I74" s="1"/>
      <c r="J74" s="1"/>
      <c r="K74" s="1"/>
      <c r="L74" s="1"/>
      <c r="M74" s="1"/>
      <c r="N74" s="1"/>
      <c r="O74" s="1"/>
      <c r="P74" s="1"/>
      <c r="Q74" s="1"/>
      <c r="R74" s="1"/>
      <c r="S74" s="1"/>
      <c r="T74" s="1"/>
      <c r="U74" s="1"/>
      <c r="V74" s="1"/>
      <c r="W74" s="1"/>
      <c r="X74" s="1"/>
      <c r="Y74" s="1"/>
    </row>
    <row r="75" spans="4:25" ht="17.25" customHeight="1">
      <c r="D75" s="4"/>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c r="G88" s="1"/>
    </row>
    <row r="89" spans="6:25" ht="17.25" customHeight="1">
      <c r="F89" s="1"/>
    </row>
    <row r="90" spans="6:25" ht="17.25" customHeight="1">
      <c r="F90" s="1"/>
    </row>
    <row r="91" spans="6:25" ht="17.25" customHeight="1">
      <c r="F91" s="1"/>
    </row>
    <row r="92" spans="6:25" ht="17.25" customHeight="1">
      <c r="F92" s="1"/>
    </row>
  </sheetData>
  <dataConsolidate/>
  <mergeCells count="24">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O12:P12"/>
    <mergeCell ref="O13:P13"/>
    <mergeCell ref="Q2:R2"/>
    <mergeCell ref="Q3:R7"/>
    <mergeCell ref="Q10:R10"/>
    <mergeCell ref="Q12:R12"/>
    <mergeCell ref="Q13:R13"/>
    <mergeCell ref="Q11:R11"/>
    <mergeCell ref="Q8:R8"/>
    <mergeCell ref="Q9:R9"/>
  </mergeCells>
  <pageMargins left="0.7" right="0.7" top="0.75" bottom="0.75" header="0.3" footer="0.3"/>
  <pageSetup paperSize="3" orientation="portrait" verticalDpi="300"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H21"/>
  <sheetViews>
    <sheetView zoomScale="85" zoomScaleNormal="85" workbookViewId="0">
      <selection activeCell="A2" sqref="A2"/>
    </sheetView>
  </sheetViews>
  <sheetFormatPr defaultColWidth="15.875" defaultRowHeight="20.100000000000001" customHeight="1"/>
  <cols>
    <col min="1" max="1" width="8.25" style="32" customWidth="1"/>
    <col min="2" max="2" width="20.5" style="32" customWidth="1"/>
    <col min="3" max="3" width="64.375" style="32" customWidth="1"/>
    <col min="4" max="4" width="37.25" style="32" customWidth="1"/>
    <col min="5" max="7" width="15.875" style="32"/>
    <col min="8" max="8" width="16.625" style="33" customWidth="1"/>
    <col min="9" max="16384" width="15.875" style="32"/>
  </cols>
  <sheetData>
    <row r="1" spans="1:8" s="34" customFormat="1" ht="30" customHeight="1">
      <c r="A1" s="36" t="s">
        <v>979</v>
      </c>
      <c r="B1" s="36" t="s">
        <v>1959</v>
      </c>
      <c r="C1" s="36" t="s">
        <v>0</v>
      </c>
      <c r="D1" s="36" t="s">
        <v>2</v>
      </c>
      <c r="E1" s="36" t="s">
        <v>1960</v>
      </c>
      <c r="F1" s="36" t="s">
        <v>1931</v>
      </c>
      <c r="G1" s="36" t="s">
        <v>1961</v>
      </c>
      <c r="H1" s="37" t="s">
        <v>1962</v>
      </c>
    </row>
    <row r="2" spans="1:8" ht="14.25">
      <c r="A2" s="38"/>
      <c r="B2" s="38"/>
      <c r="C2" s="35"/>
      <c r="D2" s="35"/>
    </row>
    <row r="3" spans="1:8" ht="20.100000000000001" customHeight="1">
      <c r="A3" s="38"/>
      <c r="B3" s="38"/>
      <c r="C3" s="35"/>
      <c r="D3" s="35"/>
    </row>
    <row r="4" spans="1:8" ht="20.100000000000001" customHeight="1">
      <c r="A4" s="38"/>
      <c r="B4" s="38"/>
      <c r="C4" s="35"/>
      <c r="D4" s="35"/>
    </row>
    <row r="5" spans="1:8" ht="20.100000000000001" customHeight="1">
      <c r="A5" s="38"/>
      <c r="B5" s="38"/>
      <c r="C5" s="35"/>
      <c r="D5" s="35"/>
    </row>
    <row r="6" spans="1:8" ht="20.100000000000001" customHeight="1">
      <c r="A6" s="38"/>
      <c r="B6" s="38"/>
      <c r="C6" s="35"/>
      <c r="D6" s="35"/>
    </row>
    <row r="7" spans="1:8" ht="20.100000000000001" customHeight="1">
      <c r="A7" s="38"/>
      <c r="B7" s="38"/>
      <c r="C7" s="35"/>
      <c r="D7" s="35"/>
    </row>
    <row r="8" spans="1:8" ht="20.100000000000001" customHeight="1">
      <c r="A8" s="38"/>
      <c r="B8" s="38"/>
      <c r="C8" s="35"/>
      <c r="D8" s="35"/>
    </row>
    <row r="9" spans="1:8" ht="20.100000000000001" customHeight="1">
      <c r="A9" s="38"/>
      <c r="B9" s="38"/>
      <c r="C9" s="35"/>
      <c r="D9" s="35"/>
    </row>
    <row r="10" spans="1:8" ht="20.100000000000001" customHeight="1">
      <c r="A10" s="38"/>
      <c r="B10" s="38"/>
      <c r="C10" s="35"/>
      <c r="D10" s="35"/>
    </row>
    <row r="11" spans="1:8" ht="20.100000000000001" customHeight="1">
      <c r="A11" s="38"/>
      <c r="B11" s="38"/>
      <c r="C11" s="35"/>
      <c r="D11" s="35"/>
    </row>
    <row r="12" spans="1:8" ht="20.100000000000001" customHeight="1">
      <c r="A12" s="38"/>
      <c r="B12" s="38"/>
      <c r="C12" s="35"/>
      <c r="D12" s="35"/>
    </row>
    <row r="13" spans="1:8" ht="20.100000000000001" customHeight="1">
      <c r="A13" s="38"/>
      <c r="B13" s="38"/>
      <c r="C13" s="35"/>
      <c r="D13" s="35"/>
    </row>
    <row r="14" spans="1:8" ht="20.100000000000001" customHeight="1">
      <c r="A14" s="38"/>
      <c r="B14" s="38"/>
      <c r="C14" s="35"/>
      <c r="D14" s="35"/>
    </row>
    <row r="15" spans="1:8" ht="20.100000000000001" customHeight="1">
      <c r="A15" s="38"/>
      <c r="B15" s="38"/>
      <c r="C15" s="35"/>
      <c r="D15" s="35"/>
    </row>
    <row r="16" spans="1:8" ht="20.100000000000001" customHeight="1">
      <c r="A16" s="38"/>
      <c r="B16" s="38"/>
      <c r="C16" s="35"/>
      <c r="D16" s="35"/>
    </row>
    <row r="17" spans="1:4" ht="20.100000000000001" customHeight="1">
      <c r="A17" s="38"/>
      <c r="B17" s="38"/>
      <c r="C17" s="35"/>
      <c r="D17" s="35"/>
    </row>
    <row r="18" spans="1:4" ht="20.100000000000001" customHeight="1">
      <c r="C18" s="35"/>
      <c r="D18" s="35"/>
    </row>
    <row r="19" spans="1:4" ht="20.100000000000001" customHeight="1">
      <c r="C19" s="35"/>
      <c r="D19" s="35"/>
    </row>
    <row r="20" spans="1:4" ht="20.100000000000001" customHeight="1">
      <c r="C20" s="35"/>
      <c r="D20" s="35"/>
    </row>
    <row r="21" spans="1:4" ht="20.100000000000001" customHeight="1">
      <c r="C21" s="35"/>
      <c r="D21" s="35"/>
    </row>
  </sheetData>
  <dataConsolid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C22"/>
  <sheetViews>
    <sheetView topLeftCell="A18" workbookViewId="0">
      <selection activeCell="C36" sqref="C36"/>
    </sheetView>
  </sheetViews>
  <sheetFormatPr defaultColWidth="15.875" defaultRowHeight="20.100000000000001" customHeight="1"/>
  <cols>
    <col min="1" max="1" width="8.25" style="32" customWidth="1"/>
    <col min="2" max="2" width="20.5" style="32" customWidth="1"/>
    <col min="3" max="3" width="79.625" style="32" customWidth="1"/>
    <col min="4" max="16384" width="15.875" style="32"/>
  </cols>
  <sheetData>
    <row r="1" spans="1:3" s="34" customFormat="1" ht="30" customHeight="1">
      <c r="A1" s="36" t="s">
        <v>979</v>
      </c>
      <c r="B1" s="36" t="s">
        <v>1959</v>
      </c>
      <c r="C1" s="36" t="s">
        <v>2</v>
      </c>
    </row>
    <row r="2" spans="1:3" ht="20.100000000000001" customHeight="1">
      <c r="A2" s="38"/>
      <c r="B2" s="38"/>
      <c r="C2" s="35"/>
    </row>
    <row r="3" spans="1:3" ht="20.100000000000001" customHeight="1">
      <c r="A3" s="38"/>
      <c r="B3" s="38"/>
      <c r="C3" s="35"/>
    </row>
    <row r="4" spans="1:3" ht="20.100000000000001" customHeight="1">
      <c r="A4" s="38"/>
      <c r="B4" s="38"/>
      <c r="C4" s="35"/>
    </row>
    <row r="5" spans="1:3" ht="20.100000000000001" customHeight="1">
      <c r="A5" s="38"/>
      <c r="B5" s="38"/>
      <c r="C5" s="35"/>
    </row>
    <row r="6" spans="1:3" ht="20.100000000000001" customHeight="1">
      <c r="A6" s="38"/>
      <c r="B6" s="38"/>
      <c r="C6" s="35"/>
    </row>
    <row r="7" spans="1:3" ht="20.100000000000001" customHeight="1">
      <c r="A7" s="38"/>
      <c r="B7" s="38"/>
      <c r="C7" s="35"/>
    </row>
    <row r="8" spans="1:3" ht="20.100000000000001" customHeight="1">
      <c r="A8" s="38"/>
      <c r="B8" s="38"/>
      <c r="C8" s="35"/>
    </row>
    <row r="9" spans="1:3" ht="20.100000000000001" customHeight="1">
      <c r="A9" s="38"/>
      <c r="B9" s="38"/>
      <c r="C9" s="35"/>
    </row>
    <row r="10" spans="1:3" ht="20.100000000000001" customHeight="1">
      <c r="A10" s="38"/>
      <c r="B10" s="38"/>
      <c r="C10" s="35"/>
    </row>
    <row r="11" spans="1:3" ht="20.100000000000001" customHeight="1">
      <c r="A11" s="38"/>
      <c r="B11" s="38"/>
      <c r="C11" s="35"/>
    </row>
    <row r="12" spans="1:3" ht="20.100000000000001" customHeight="1">
      <c r="A12" s="38"/>
      <c r="B12" s="38"/>
      <c r="C12" s="35"/>
    </row>
    <row r="13" spans="1:3" ht="20.100000000000001" customHeight="1">
      <c r="A13" s="38"/>
      <c r="B13" s="38"/>
      <c r="C13" s="35"/>
    </row>
    <row r="14" spans="1:3" ht="20.100000000000001" customHeight="1">
      <c r="A14" s="38"/>
      <c r="B14" s="38"/>
      <c r="C14" s="35"/>
    </row>
    <row r="15" spans="1:3" ht="20.100000000000001" customHeight="1">
      <c r="A15" s="38"/>
      <c r="B15" s="38"/>
      <c r="C15" s="35"/>
    </row>
    <row r="16" spans="1:3" ht="20.100000000000001" customHeight="1">
      <c r="A16" s="38"/>
      <c r="B16" s="38"/>
      <c r="C16" s="35"/>
    </row>
    <row r="17" spans="1:3" ht="20.100000000000001" customHeight="1">
      <c r="A17" s="38"/>
      <c r="B17" s="38"/>
      <c r="C17" s="35"/>
    </row>
    <row r="18" spans="1:3" ht="20.100000000000001" customHeight="1">
      <c r="A18" s="38"/>
      <c r="B18" s="38"/>
      <c r="C18" s="35"/>
    </row>
    <row r="19" spans="1:3" ht="20.100000000000001" customHeight="1">
      <c r="C19" s="35"/>
    </row>
    <row r="20" spans="1:3" ht="20.100000000000001" customHeight="1">
      <c r="C20" s="35"/>
    </row>
    <row r="21" spans="1:3" ht="20.100000000000001" customHeight="1">
      <c r="C21" s="35"/>
    </row>
    <row r="22" spans="1:3" ht="20.100000000000001" customHeight="1">
      <c r="C22" s="35"/>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D67F2"/>
  </sheetPr>
  <dimension ref="A1:H3"/>
  <sheetViews>
    <sheetView zoomScaleNormal="100" workbookViewId="0">
      <selection activeCell="A3" sqref="A3:XFD40"/>
    </sheetView>
  </sheetViews>
  <sheetFormatPr defaultRowHeight="15.95" customHeight="1"/>
  <cols>
    <col min="1" max="1" width="3.875" style="42" customWidth="1"/>
    <col min="2" max="2" width="9.625" style="42" customWidth="1"/>
    <col min="3" max="3" width="13" style="42" customWidth="1"/>
    <col min="4" max="4" width="32.125" style="42" customWidth="1"/>
    <col min="5" max="5" width="11.875" style="42" customWidth="1"/>
    <col min="6" max="6" width="19.875" style="42" customWidth="1"/>
    <col min="7" max="7" width="14.25" style="42" customWidth="1"/>
    <col min="8" max="8" width="12" style="42" customWidth="1"/>
    <col min="9" max="16384" width="9" style="42"/>
  </cols>
  <sheetData>
    <row r="1" spans="1:8" ht="68.25" customHeight="1">
      <c r="A1" s="214" t="s">
        <v>3319</v>
      </c>
      <c r="B1" s="214"/>
      <c r="C1" s="214"/>
      <c r="D1" s="214"/>
      <c r="E1" s="214"/>
      <c r="F1" s="41"/>
    </row>
    <row r="2" spans="1:8" ht="33.75" customHeight="1">
      <c r="A2" s="34" t="s">
        <v>1989</v>
      </c>
      <c r="B2" s="34" t="s">
        <v>975</v>
      </c>
      <c r="C2" s="34" t="s">
        <v>1014</v>
      </c>
      <c r="D2" s="34" t="s">
        <v>0</v>
      </c>
      <c r="E2" s="34" t="s">
        <v>1990</v>
      </c>
      <c r="F2" s="34" t="s">
        <v>1931</v>
      </c>
      <c r="G2" s="34" t="s">
        <v>1988</v>
      </c>
      <c r="H2" s="34" t="s">
        <v>1991</v>
      </c>
    </row>
    <row r="3" spans="1:8" ht="15.95" customHeight="1">
      <c r="A3" s="43"/>
      <c r="B3" s="43"/>
      <c r="C3" s="43"/>
      <c r="D3" s="62"/>
      <c r="E3" s="44"/>
      <c r="F3" s="43"/>
      <c r="G3" s="43"/>
      <c r="H3" s="44"/>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Intro Checker</vt:lpstr>
      <vt:lpstr>RTA Manager</vt:lpstr>
      <vt:lpstr>Settings</vt:lpstr>
      <vt:lpstr>RTAimport</vt:lpstr>
      <vt:lpstr>PriorityLoad</vt:lpstr>
      <vt:lpstr>Report</vt:lpstr>
      <vt:lpstr>aisHide</vt:lpstr>
      <vt:lpstr>ATTRclass</vt:lpstr>
      <vt:lpstr>cFilt</vt:lpstr>
      <vt:lpstr>deptHide</vt:lpstr>
      <vt:lpstr>DIcode</vt:lpstr>
      <vt:lpstr>DIgroup</vt:lpstr>
      <vt:lpstr>DIgroupDelim</vt:lpstr>
      <vt:lpstr>DIlab</vt:lpstr>
      <vt:lpstr>DIstate</vt:lpstr>
      <vt:lpstr>DItype</vt:lpstr>
      <vt:lpstr>FCcode</vt:lpstr>
      <vt:lpstr>FCgroup</vt:lpstr>
      <vt:lpstr>FCgroupDelim</vt:lpstr>
      <vt:lpstr>FClab</vt:lpstr>
      <vt:lpstr>FCstate</vt:lpstr>
      <vt:lpstr>FCtype</vt:lpstr>
      <vt:lpstr>FullScreenMode</vt:lpstr>
      <vt:lpstr>inProc</vt:lpstr>
      <vt:lpstr>nameQuery</vt:lpstr>
      <vt:lpstr>PMcode</vt:lpstr>
      <vt:lpstr>PMgroup</vt:lpstr>
      <vt:lpstr>PMgroupDelim</vt:lpstr>
      <vt:lpstr>PMlab</vt:lpstr>
      <vt:lpstr>PMstate</vt:lpstr>
      <vt:lpstr>PMThide</vt:lpstr>
      <vt:lpstr>PMtype</vt:lpstr>
      <vt:lpstr>'RTA Manager'!Print_Area</vt:lpstr>
      <vt:lpstr>reportHide</vt:lpstr>
      <vt:lpstr>rtaDatesHide</vt:lpstr>
      <vt:lpstr>schedHide</vt:lpstr>
      <vt:lpstr>Scode</vt:lpstr>
      <vt:lpstr>Sgroup</vt:lpstr>
      <vt:lpstr>SgroupDelim</vt:lpstr>
      <vt:lpstr>sheetViewMode</vt:lpstr>
      <vt:lpstr>showAll</vt:lpstr>
      <vt:lpstr>Slab</vt:lpstr>
      <vt:lpstr>sortCol</vt:lpstr>
      <vt:lpstr>sortOrder</vt:lpstr>
      <vt:lpstr>Sstate</vt:lpstr>
      <vt:lpstr>Stype</vt:lpstr>
      <vt:lpstr>trackRtaHide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2012-01-15T05:16:41Z</cp:lastPrinted>
  <dcterms:created xsi:type="dcterms:W3CDTF">2011-06-24T10:58:18Z</dcterms:created>
  <dcterms:modified xsi:type="dcterms:W3CDTF">2012-02-13T07:44:57Z</dcterms:modified>
</cp:coreProperties>
</file>